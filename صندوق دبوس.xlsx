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عمليات\"/>
    </mc:Choice>
  </mc:AlternateContent>
  <xr:revisionPtr revIDLastSave="0" documentId="13_ncr:1_{767C5395-6D9C-4F7E-A4F7-C46C10465EE6}" xr6:coauthVersionLast="47" xr6:coauthVersionMax="47" xr10:uidLastSave="{00000000-0000-0000-0000-000000000000}"/>
  <bookViews>
    <workbookView xWindow="-108" yWindow="-108" windowWidth="23256" windowHeight="12456" firstSheet="22" activeTab="31" xr2:uid="{C4F432EB-7CB8-4BA9-B73B-A114A2165636}"/>
  </bookViews>
  <sheets>
    <sheet name="الصندوق" sheetId="4" r:id="rId1"/>
    <sheet name="5-3" sheetId="2" r:id="rId2"/>
    <sheet name="6-3" sheetId="5" r:id="rId3"/>
    <sheet name="7-3" sheetId="6" r:id="rId4"/>
    <sheet name="9-3" sheetId="7" r:id="rId5"/>
    <sheet name="10-3" sheetId="8" r:id="rId6"/>
    <sheet name="11-3" sheetId="9" r:id="rId7"/>
    <sheet name="12-3" sheetId="10" r:id="rId8"/>
    <sheet name="13-3" sheetId="11" r:id="rId9"/>
    <sheet name="14-3" sheetId="12" r:id="rId10"/>
    <sheet name="16-03" sheetId="13" r:id="rId11"/>
    <sheet name="17-03" sheetId="15" r:id="rId12"/>
    <sheet name="18-03" sheetId="16" r:id="rId13"/>
    <sheet name="19-03" sheetId="17" r:id="rId14"/>
    <sheet name="23-03" sheetId="19" r:id="rId15"/>
    <sheet name="24-03" sheetId="20" r:id="rId16"/>
    <sheet name="25-03" sheetId="21" r:id="rId17"/>
    <sheet name="26-03" sheetId="23" r:id="rId18"/>
    <sheet name="27-03" sheetId="24" r:id="rId19"/>
    <sheet name="28-03" sheetId="25" r:id="rId20"/>
    <sheet name="30-03" sheetId="26" r:id="rId21"/>
    <sheet name="31-03" sheetId="27" r:id="rId22"/>
    <sheet name="01-04" sheetId="28" r:id="rId23"/>
    <sheet name="02-04" sheetId="29" r:id="rId24"/>
    <sheet name="03-04" sheetId="31" r:id="rId25"/>
    <sheet name="04-04" sheetId="32" r:id="rId26"/>
    <sheet name="05-04" sheetId="34" r:id="rId27"/>
    <sheet name="06-04" sheetId="33" r:id="rId28"/>
    <sheet name="07-04" sheetId="35" r:id="rId29"/>
    <sheet name="08-04" sheetId="36" r:id="rId30"/>
    <sheet name="09-04" sheetId="37" r:id="rId31"/>
    <sheet name="10-04" sheetId="38" r:id="rId32"/>
    <sheet name="ملخص شهر 4" sheetId="30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1" i="38" l="1"/>
  <c r="L360" i="38"/>
  <c r="L359" i="38"/>
  <c r="L358" i="38"/>
  <c r="L357" i="38"/>
  <c r="L356" i="38"/>
  <c r="L355" i="38"/>
  <c r="L354" i="38"/>
  <c r="L353" i="38"/>
  <c r="L352" i="38"/>
  <c r="L351" i="38"/>
  <c r="L350" i="38"/>
  <c r="L349" i="38"/>
  <c r="L348" i="38"/>
  <c r="L347" i="38"/>
  <c r="L346" i="38"/>
  <c r="L345" i="38"/>
  <c r="L344" i="38"/>
  <c r="L343" i="38"/>
  <c r="L342" i="38"/>
  <c r="L341" i="38"/>
  <c r="L340" i="38"/>
  <c r="L339" i="38"/>
  <c r="L338" i="38"/>
  <c r="L337" i="38"/>
  <c r="L336" i="38"/>
  <c r="L335" i="38"/>
  <c r="L334" i="38"/>
  <c r="L333" i="38"/>
  <c r="L332" i="38"/>
  <c r="L331" i="38"/>
  <c r="L330" i="38"/>
  <c r="L329" i="38"/>
  <c r="L328" i="38"/>
  <c r="L327" i="38"/>
  <c r="L326" i="38"/>
  <c r="L325" i="38"/>
  <c r="L324" i="38"/>
  <c r="L323" i="38"/>
  <c r="L322" i="38"/>
  <c r="L321" i="38"/>
  <c r="L320" i="38"/>
  <c r="L319" i="38"/>
  <c r="L318" i="38"/>
  <c r="L317" i="38"/>
  <c r="L316" i="38"/>
  <c r="L315" i="38"/>
  <c r="L314" i="38"/>
  <c r="L313" i="38"/>
  <c r="L312" i="38"/>
  <c r="L311" i="38"/>
  <c r="L310" i="38"/>
  <c r="L309" i="38"/>
  <c r="L308" i="38"/>
  <c r="L307" i="38"/>
  <c r="L306" i="38"/>
  <c r="L305" i="38"/>
  <c r="L304" i="38"/>
  <c r="L303" i="38"/>
  <c r="L302" i="38"/>
  <c r="L301" i="38"/>
  <c r="L300" i="38"/>
  <c r="L299" i="38"/>
  <c r="L298" i="38"/>
  <c r="L297" i="38"/>
  <c r="L296" i="38"/>
  <c r="L295" i="38"/>
  <c r="L294" i="38"/>
  <c r="L293" i="38"/>
  <c r="L292" i="38"/>
  <c r="L291" i="38"/>
  <c r="L290" i="38"/>
  <c r="L289" i="38"/>
  <c r="L288" i="38"/>
  <c r="L287" i="38"/>
  <c r="L286" i="38"/>
  <c r="L285" i="38"/>
  <c r="L284" i="38"/>
  <c r="L283" i="38"/>
  <c r="L282" i="38"/>
  <c r="L281" i="38"/>
  <c r="L280" i="38"/>
  <c r="L279" i="38"/>
  <c r="L278" i="38"/>
  <c r="L277" i="38"/>
  <c r="L276" i="38"/>
  <c r="L275" i="38"/>
  <c r="L274" i="38"/>
  <c r="L273" i="38"/>
  <c r="L272" i="38"/>
  <c r="L271" i="38"/>
  <c r="L270" i="38"/>
  <c r="L269" i="38"/>
  <c r="L268" i="38"/>
  <c r="L267" i="38"/>
  <c r="L266" i="38"/>
  <c r="L265" i="38"/>
  <c r="L264" i="38"/>
  <c r="L263" i="38"/>
  <c r="L262" i="38"/>
  <c r="L261" i="38"/>
  <c r="L260" i="38"/>
  <c r="L259" i="38"/>
  <c r="L258" i="38"/>
  <c r="L257" i="38"/>
  <c r="L256" i="38"/>
  <c r="L255" i="38"/>
  <c r="L254" i="38"/>
  <c r="L253" i="38"/>
  <c r="L252" i="38"/>
  <c r="L251" i="38"/>
  <c r="L250" i="38"/>
  <c r="L249" i="38"/>
  <c r="L248" i="38"/>
  <c r="L247" i="38"/>
  <c r="L246" i="38"/>
  <c r="L245" i="38"/>
  <c r="L244" i="38"/>
  <c r="L243" i="38"/>
  <c r="L242" i="38"/>
  <c r="L241" i="38"/>
  <c r="L240" i="38"/>
  <c r="L239" i="38"/>
  <c r="L238" i="38"/>
  <c r="L237" i="38"/>
  <c r="L236" i="38"/>
  <c r="L235" i="38"/>
  <c r="L234" i="38"/>
  <c r="L233" i="38"/>
  <c r="L232" i="38"/>
  <c r="L231" i="38"/>
  <c r="L230" i="38"/>
  <c r="L229" i="38"/>
  <c r="L228" i="38"/>
  <c r="L227" i="38"/>
  <c r="L226" i="38"/>
  <c r="L225" i="38"/>
  <c r="L224" i="38"/>
  <c r="L223" i="38"/>
  <c r="L222" i="38"/>
  <c r="L221" i="38"/>
  <c r="L220" i="38"/>
  <c r="L219" i="38"/>
  <c r="L218" i="38"/>
  <c r="L217" i="38"/>
  <c r="L216" i="38"/>
  <c r="L215" i="38"/>
  <c r="L214" i="38"/>
  <c r="L213" i="38"/>
  <c r="L212" i="38"/>
  <c r="L211" i="38"/>
  <c r="L210" i="38"/>
  <c r="L209" i="38"/>
  <c r="L208" i="38"/>
  <c r="L207" i="38"/>
  <c r="L206" i="38"/>
  <c r="L205" i="38"/>
  <c r="L204" i="38"/>
  <c r="L203" i="38"/>
  <c r="L202" i="38"/>
  <c r="L201" i="38"/>
  <c r="L200" i="38"/>
  <c r="L199" i="38"/>
  <c r="L198" i="38"/>
  <c r="L197" i="38"/>
  <c r="L196" i="38"/>
  <c r="L195" i="38"/>
  <c r="L194" i="38"/>
  <c r="L193" i="38"/>
  <c r="L192" i="38"/>
  <c r="L191" i="38"/>
  <c r="L190" i="38"/>
  <c r="L189" i="38"/>
  <c r="L188" i="38"/>
  <c r="L187" i="38"/>
  <c r="L186" i="38"/>
  <c r="L185" i="38"/>
  <c r="L184" i="38"/>
  <c r="L183" i="38"/>
  <c r="L182" i="38"/>
  <c r="L181" i="38"/>
  <c r="L180" i="38"/>
  <c r="L179" i="38"/>
  <c r="L178" i="38"/>
  <c r="L177" i="38"/>
  <c r="L176" i="38"/>
  <c r="L175" i="38"/>
  <c r="L174" i="38"/>
  <c r="L173" i="38"/>
  <c r="L172" i="38"/>
  <c r="L171" i="38"/>
  <c r="L170" i="38"/>
  <c r="L169" i="38"/>
  <c r="L168" i="38"/>
  <c r="L167" i="38"/>
  <c r="L166" i="38"/>
  <c r="L165" i="38"/>
  <c r="L164" i="38"/>
  <c r="L163" i="38"/>
  <c r="L162" i="38"/>
  <c r="L161" i="38"/>
  <c r="L160" i="38"/>
  <c r="L159" i="38"/>
  <c r="L158" i="38"/>
  <c r="L157" i="38"/>
  <c r="L156" i="38"/>
  <c r="L155" i="38"/>
  <c r="L154" i="38"/>
  <c r="L153" i="38"/>
  <c r="L152" i="38"/>
  <c r="L151" i="38"/>
  <c r="L150" i="38"/>
  <c r="L149" i="38"/>
  <c r="L148" i="38"/>
  <c r="L147" i="38"/>
  <c r="L146" i="38"/>
  <c r="L145" i="38"/>
  <c r="L144" i="38"/>
  <c r="L143" i="38"/>
  <c r="L142" i="38"/>
  <c r="L141" i="38"/>
  <c r="L140" i="38"/>
  <c r="L139" i="38"/>
  <c r="L138" i="38"/>
  <c r="L137" i="38"/>
  <c r="L136" i="38"/>
  <c r="L135" i="38"/>
  <c r="L134" i="38"/>
  <c r="L133" i="38"/>
  <c r="L132" i="38"/>
  <c r="L131" i="38"/>
  <c r="L130" i="38"/>
  <c r="L129" i="38"/>
  <c r="L128" i="38"/>
  <c r="L127" i="38"/>
  <c r="L126" i="38"/>
  <c r="L125" i="38"/>
  <c r="L124" i="38"/>
  <c r="L123" i="38"/>
  <c r="L122" i="38"/>
  <c r="L121" i="38"/>
  <c r="L120" i="38"/>
  <c r="L119" i="38"/>
  <c r="L118" i="38"/>
  <c r="L117" i="38"/>
  <c r="L116" i="38"/>
  <c r="L115" i="38"/>
  <c r="L114" i="38"/>
  <c r="L113" i="38"/>
  <c r="L112" i="38"/>
  <c r="L111" i="38"/>
  <c r="L110" i="38"/>
  <c r="L109" i="38"/>
  <c r="L108" i="38"/>
  <c r="L107" i="38"/>
  <c r="L106" i="38"/>
  <c r="L105" i="38"/>
  <c r="L104" i="38"/>
  <c r="L103" i="38"/>
  <c r="L102" i="38"/>
  <c r="L101" i="38"/>
  <c r="L100" i="38"/>
  <c r="L99" i="38"/>
  <c r="L98" i="38"/>
  <c r="L97" i="38"/>
  <c r="L96" i="38"/>
  <c r="L95" i="38"/>
  <c r="L94" i="38"/>
  <c r="L93" i="38"/>
  <c r="L92" i="38"/>
  <c r="L91" i="38"/>
  <c r="L90" i="38"/>
  <c r="L89" i="38"/>
  <c r="L88" i="38"/>
  <c r="L87" i="38"/>
  <c r="L86" i="38"/>
  <c r="L85" i="38"/>
  <c r="L84" i="38"/>
  <c r="L83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L68" i="38"/>
  <c r="L67" i="38"/>
  <c r="L66" i="38"/>
  <c r="L65" i="38"/>
  <c r="L64" i="38"/>
  <c r="L63" i="38"/>
  <c r="L62" i="38"/>
  <c r="L61" i="38"/>
  <c r="L60" i="38"/>
  <c r="L59" i="38"/>
  <c r="L58" i="38"/>
  <c r="L57" i="38"/>
  <c r="L56" i="38"/>
  <c r="L55" i="38"/>
  <c r="L54" i="38"/>
  <c r="L53" i="38"/>
  <c r="L52" i="38"/>
  <c r="L51" i="38"/>
  <c r="L50" i="38"/>
  <c r="L49" i="38"/>
  <c r="L48" i="38"/>
  <c r="L47" i="38"/>
  <c r="L46" i="38"/>
  <c r="L45" i="38"/>
  <c r="L44" i="38"/>
  <c r="L43" i="38"/>
  <c r="L42" i="38"/>
  <c r="L41" i="38"/>
  <c r="L40" i="38"/>
  <c r="L39" i="38"/>
  <c r="L38" i="38"/>
  <c r="L37" i="38"/>
  <c r="L36" i="38"/>
  <c r="L35" i="38"/>
  <c r="L34" i="38"/>
  <c r="L33" i="38"/>
  <c r="L32" i="38"/>
  <c r="L31" i="38"/>
  <c r="P30" i="38"/>
  <c r="L30" i="38"/>
  <c r="S29" i="38"/>
  <c r="L29" i="38"/>
  <c r="L28" i="38"/>
  <c r="P27" i="38"/>
  <c r="L27" i="38"/>
  <c r="C27" i="38"/>
  <c r="S26" i="38"/>
  <c r="P26" i="38"/>
  <c r="L26" i="38"/>
  <c r="F26" i="38"/>
  <c r="C26" i="38"/>
  <c r="S25" i="38"/>
  <c r="P25" i="38"/>
  <c r="L25" i="38"/>
  <c r="F25" i="38"/>
  <c r="C25" i="38"/>
  <c r="S24" i="38"/>
  <c r="P24" i="38"/>
  <c r="L24" i="38"/>
  <c r="F24" i="38"/>
  <c r="C24" i="38"/>
  <c r="S23" i="38"/>
  <c r="P23" i="38"/>
  <c r="L23" i="38"/>
  <c r="F23" i="38"/>
  <c r="C23" i="38"/>
  <c r="C28" i="38" s="1"/>
  <c r="S22" i="38"/>
  <c r="S27" i="38" s="1"/>
  <c r="P22" i="38"/>
  <c r="L22" i="38"/>
  <c r="F22" i="38"/>
  <c r="C22" i="38"/>
  <c r="K20" i="38"/>
  <c r="J20" i="38"/>
  <c r="L18" i="38"/>
  <c r="L17" i="38"/>
  <c r="L16" i="38"/>
  <c r="L15" i="38"/>
  <c r="L14" i="38"/>
  <c r="L13" i="38"/>
  <c r="L12" i="38"/>
  <c r="L11" i="38"/>
  <c r="L10" i="38"/>
  <c r="L9" i="38"/>
  <c r="L8" i="38"/>
  <c r="L7" i="38"/>
  <c r="L6" i="38"/>
  <c r="L5" i="38"/>
  <c r="L4" i="38"/>
  <c r="L3" i="38"/>
  <c r="K1" i="38"/>
  <c r="J1" i="38"/>
  <c r="L361" i="37"/>
  <c r="L360" i="37"/>
  <c r="L359" i="37"/>
  <c r="L358" i="37"/>
  <c r="L357" i="37"/>
  <c r="L356" i="37"/>
  <c r="L355" i="37"/>
  <c r="L354" i="37"/>
  <c r="L353" i="37"/>
  <c r="L352" i="37"/>
  <c r="L351" i="37"/>
  <c r="L350" i="37"/>
  <c r="L349" i="37"/>
  <c r="L348" i="37"/>
  <c r="L347" i="37"/>
  <c r="L346" i="37"/>
  <c r="L345" i="37"/>
  <c r="L344" i="37"/>
  <c r="L343" i="37"/>
  <c r="L342" i="37"/>
  <c r="L341" i="37"/>
  <c r="L340" i="37"/>
  <c r="L339" i="37"/>
  <c r="L338" i="37"/>
  <c r="L337" i="37"/>
  <c r="L336" i="37"/>
  <c r="L335" i="37"/>
  <c r="L334" i="37"/>
  <c r="L333" i="37"/>
  <c r="L332" i="37"/>
  <c r="L331" i="37"/>
  <c r="L330" i="37"/>
  <c r="L329" i="37"/>
  <c r="L328" i="37"/>
  <c r="L327" i="37"/>
  <c r="L326" i="37"/>
  <c r="L325" i="37"/>
  <c r="L324" i="37"/>
  <c r="L323" i="37"/>
  <c r="L322" i="37"/>
  <c r="L321" i="37"/>
  <c r="L320" i="37"/>
  <c r="L319" i="37"/>
  <c r="L318" i="37"/>
  <c r="L317" i="37"/>
  <c r="L316" i="37"/>
  <c r="L315" i="37"/>
  <c r="L314" i="37"/>
  <c r="L313" i="37"/>
  <c r="L312" i="37"/>
  <c r="L311" i="37"/>
  <c r="L310" i="37"/>
  <c r="L309" i="37"/>
  <c r="L308" i="37"/>
  <c r="L307" i="37"/>
  <c r="L306" i="37"/>
  <c r="L305" i="37"/>
  <c r="L304" i="37"/>
  <c r="L303" i="37"/>
  <c r="L302" i="37"/>
  <c r="L301" i="37"/>
  <c r="L300" i="37"/>
  <c r="L299" i="37"/>
  <c r="L298" i="37"/>
  <c r="L297" i="37"/>
  <c r="L296" i="37"/>
  <c r="L295" i="37"/>
  <c r="L294" i="37"/>
  <c r="L293" i="37"/>
  <c r="L292" i="37"/>
  <c r="L291" i="37"/>
  <c r="L290" i="37"/>
  <c r="L289" i="37"/>
  <c r="L288" i="37"/>
  <c r="L287" i="37"/>
  <c r="L286" i="37"/>
  <c r="L285" i="37"/>
  <c r="L284" i="37"/>
  <c r="L283" i="37"/>
  <c r="L282" i="37"/>
  <c r="L281" i="37"/>
  <c r="L280" i="37"/>
  <c r="L279" i="37"/>
  <c r="L278" i="37"/>
  <c r="L277" i="37"/>
  <c r="L276" i="37"/>
  <c r="L275" i="37"/>
  <c r="L274" i="37"/>
  <c r="L273" i="37"/>
  <c r="L272" i="37"/>
  <c r="L271" i="37"/>
  <c r="L270" i="37"/>
  <c r="L269" i="37"/>
  <c r="L268" i="37"/>
  <c r="L267" i="37"/>
  <c r="L266" i="37"/>
  <c r="L265" i="37"/>
  <c r="L264" i="37"/>
  <c r="L263" i="37"/>
  <c r="L262" i="37"/>
  <c r="L261" i="37"/>
  <c r="L260" i="37"/>
  <c r="L259" i="37"/>
  <c r="L258" i="37"/>
  <c r="L257" i="37"/>
  <c r="L256" i="37"/>
  <c r="L255" i="37"/>
  <c r="L254" i="37"/>
  <c r="L253" i="37"/>
  <c r="L252" i="37"/>
  <c r="L251" i="37"/>
  <c r="L250" i="37"/>
  <c r="L249" i="37"/>
  <c r="L248" i="37"/>
  <c r="L247" i="37"/>
  <c r="L246" i="37"/>
  <c r="L245" i="37"/>
  <c r="L244" i="37"/>
  <c r="L243" i="37"/>
  <c r="L242" i="37"/>
  <c r="L241" i="37"/>
  <c r="L240" i="37"/>
  <c r="L239" i="37"/>
  <c r="L238" i="37"/>
  <c r="L237" i="37"/>
  <c r="L236" i="37"/>
  <c r="L235" i="37"/>
  <c r="L234" i="37"/>
  <c r="L233" i="37"/>
  <c r="L232" i="37"/>
  <c r="L231" i="37"/>
  <c r="L230" i="37"/>
  <c r="L229" i="37"/>
  <c r="L228" i="37"/>
  <c r="L227" i="37"/>
  <c r="L226" i="37"/>
  <c r="L225" i="37"/>
  <c r="L224" i="37"/>
  <c r="L223" i="37"/>
  <c r="L222" i="37"/>
  <c r="L221" i="37"/>
  <c r="L220" i="37"/>
  <c r="L219" i="37"/>
  <c r="L218" i="37"/>
  <c r="L217" i="37"/>
  <c r="L216" i="37"/>
  <c r="L215" i="37"/>
  <c r="L214" i="37"/>
  <c r="L213" i="37"/>
  <c r="L212" i="37"/>
  <c r="L211" i="37"/>
  <c r="L210" i="37"/>
  <c r="L209" i="37"/>
  <c r="L208" i="37"/>
  <c r="L207" i="37"/>
  <c r="L206" i="37"/>
  <c r="L205" i="37"/>
  <c r="L204" i="37"/>
  <c r="L203" i="37"/>
  <c r="L202" i="37"/>
  <c r="L201" i="37"/>
  <c r="L200" i="37"/>
  <c r="L199" i="37"/>
  <c r="L198" i="37"/>
  <c r="L197" i="37"/>
  <c r="L196" i="37"/>
  <c r="L195" i="37"/>
  <c r="L194" i="37"/>
  <c r="L193" i="37"/>
  <c r="L192" i="37"/>
  <c r="L191" i="37"/>
  <c r="L190" i="37"/>
  <c r="L189" i="37"/>
  <c r="L188" i="37"/>
  <c r="L187" i="37"/>
  <c r="L186" i="37"/>
  <c r="L185" i="37"/>
  <c r="L184" i="37"/>
  <c r="L183" i="37"/>
  <c r="L182" i="37"/>
  <c r="L181" i="37"/>
  <c r="L180" i="37"/>
  <c r="L179" i="37"/>
  <c r="L178" i="37"/>
  <c r="L177" i="37"/>
  <c r="L176" i="37"/>
  <c r="L175" i="37"/>
  <c r="L174" i="37"/>
  <c r="L173" i="37"/>
  <c r="L172" i="37"/>
  <c r="L171" i="37"/>
  <c r="L170" i="37"/>
  <c r="L169" i="37"/>
  <c r="L168" i="37"/>
  <c r="L167" i="37"/>
  <c r="L166" i="37"/>
  <c r="L165" i="37"/>
  <c r="L164" i="37"/>
  <c r="L163" i="37"/>
  <c r="L162" i="37"/>
  <c r="L161" i="37"/>
  <c r="L160" i="37"/>
  <c r="L159" i="37"/>
  <c r="L158" i="37"/>
  <c r="L157" i="37"/>
  <c r="L156" i="37"/>
  <c r="L155" i="37"/>
  <c r="L154" i="37"/>
  <c r="L153" i="37"/>
  <c r="L152" i="37"/>
  <c r="L151" i="37"/>
  <c r="L150" i="37"/>
  <c r="L149" i="37"/>
  <c r="L148" i="37"/>
  <c r="L147" i="37"/>
  <c r="L146" i="37"/>
  <c r="L145" i="37"/>
  <c r="L144" i="37"/>
  <c r="L143" i="37"/>
  <c r="L142" i="37"/>
  <c r="L141" i="37"/>
  <c r="L140" i="37"/>
  <c r="L139" i="37"/>
  <c r="L138" i="37"/>
  <c r="L137" i="37"/>
  <c r="L136" i="37"/>
  <c r="L135" i="37"/>
  <c r="L134" i="37"/>
  <c r="L133" i="37"/>
  <c r="L132" i="37"/>
  <c r="L131" i="37"/>
  <c r="L130" i="37"/>
  <c r="L129" i="37"/>
  <c r="L128" i="37"/>
  <c r="L127" i="37"/>
  <c r="L126" i="37"/>
  <c r="L125" i="37"/>
  <c r="L124" i="37"/>
  <c r="L123" i="37"/>
  <c r="L122" i="37"/>
  <c r="L121" i="37"/>
  <c r="L120" i="37"/>
  <c r="L119" i="37"/>
  <c r="L118" i="37"/>
  <c r="L117" i="37"/>
  <c r="L116" i="37"/>
  <c r="L115" i="37"/>
  <c r="L114" i="37"/>
  <c r="L113" i="37"/>
  <c r="L112" i="37"/>
  <c r="L111" i="37"/>
  <c r="L110" i="37"/>
  <c r="L109" i="37"/>
  <c r="L108" i="37"/>
  <c r="L107" i="37"/>
  <c r="L106" i="37"/>
  <c r="L105" i="37"/>
  <c r="L104" i="37"/>
  <c r="L103" i="37"/>
  <c r="L102" i="37"/>
  <c r="L101" i="37"/>
  <c r="L100" i="37"/>
  <c r="L99" i="37"/>
  <c r="L98" i="37"/>
  <c r="L97" i="37"/>
  <c r="L96" i="37"/>
  <c r="L95" i="37"/>
  <c r="L94" i="37"/>
  <c r="L93" i="37"/>
  <c r="L92" i="37"/>
  <c r="L91" i="37"/>
  <c r="L90" i="37"/>
  <c r="L89" i="37"/>
  <c r="L88" i="37"/>
  <c r="L87" i="37"/>
  <c r="L86" i="37"/>
  <c r="L85" i="37"/>
  <c r="L84" i="37"/>
  <c r="L83" i="37"/>
  <c r="L82" i="37"/>
  <c r="L81" i="37"/>
  <c r="L80" i="37"/>
  <c r="L79" i="37"/>
  <c r="L78" i="37"/>
  <c r="L77" i="37"/>
  <c r="L76" i="37"/>
  <c r="L75" i="37"/>
  <c r="L74" i="37"/>
  <c r="L73" i="37"/>
  <c r="L72" i="37"/>
  <c r="L71" i="37"/>
  <c r="L70" i="37"/>
  <c r="L69" i="37"/>
  <c r="L68" i="37"/>
  <c r="L67" i="37"/>
  <c r="L66" i="37"/>
  <c r="L65" i="37"/>
  <c r="L64" i="37"/>
  <c r="L63" i="37"/>
  <c r="L62" i="37"/>
  <c r="L61" i="37"/>
  <c r="L60" i="37"/>
  <c r="L59" i="37"/>
  <c r="L58" i="37"/>
  <c r="L57" i="37"/>
  <c r="L56" i="37"/>
  <c r="L55" i="37"/>
  <c r="L54" i="37"/>
  <c r="L53" i="37"/>
  <c r="L52" i="37"/>
  <c r="L51" i="37"/>
  <c r="L50" i="37"/>
  <c r="L49" i="37"/>
  <c r="L48" i="37"/>
  <c r="L47" i="37"/>
  <c r="L46" i="37"/>
  <c r="L45" i="37"/>
  <c r="L44" i="37"/>
  <c r="L43" i="37"/>
  <c r="L42" i="37"/>
  <c r="L41" i="37"/>
  <c r="L40" i="37"/>
  <c r="L39" i="37"/>
  <c r="L38" i="37"/>
  <c r="L37" i="37"/>
  <c r="L36" i="37"/>
  <c r="L35" i="37"/>
  <c r="L34" i="37"/>
  <c r="L33" i="37"/>
  <c r="L32" i="37"/>
  <c r="L31" i="37"/>
  <c r="P30" i="37"/>
  <c r="L30" i="37"/>
  <c r="S29" i="37"/>
  <c r="L29" i="37"/>
  <c r="L28" i="37"/>
  <c r="P27" i="37"/>
  <c r="L27" i="37"/>
  <c r="C27" i="37"/>
  <c r="S26" i="37"/>
  <c r="P26" i="37"/>
  <c r="L26" i="37"/>
  <c r="F26" i="37"/>
  <c r="C26" i="37"/>
  <c r="S25" i="37"/>
  <c r="P25" i="37"/>
  <c r="L25" i="37"/>
  <c r="F25" i="37"/>
  <c r="C25" i="37"/>
  <c r="S24" i="37"/>
  <c r="P24" i="37"/>
  <c r="L24" i="37"/>
  <c r="F24" i="37"/>
  <c r="C24" i="37"/>
  <c r="S23" i="37"/>
  <c r="P23" i="37"/>
  <c r="L23" i="37"/>
  <c r="F23" i="37"/>
  <c r="C23" i="37"/>
  <c r="S22" i="37"/>
  <c r="P22" i="37"/>
  <c r="L22" i="37"/>
  <c r="F22" i="37"/>
  <c r="C22" i="37"/>
  <c r="K20" i="37"/>
  <c r="J20" i="37"/>
  <c r="L18" i="37"/>
  <c r="L17" i="37"/>
  <c r="L16" i="37"/>
  <c r="L15" i="37"/>
  <c r="L14" i="37"/>
  <c r="L13" i="37"/>
  <c r="L12" i="37"/>
  <c r="L11" i="37"/>
  <c r="L10" i="37"/>
  <c r="L9" i="37"/>
  <c r="L8" i="37"/>
  <c r="L7" i="37"/>
  <c r="L6" i="37"/>
  <c r="L5" i="37"/>
  <c r="L4" i="37"/>
  <c r="L3" i="37"/>
  <c r="K1" i="37"/>
  <c r="J1" i="37"/>
  <c r="L361" i="36"/>
  <c r="L360" i="36"/>
  <c r="L359" i="36"/>
  <c r="L358" i="36"/>
  <c r="L357" i="36"/>
  <c r="L356" i="36"/>
  <c r="L355" i="36"/>
  <c r="L354" i="36"/>
  <c r="L353" i="36"/>
  <c r="L352" i="36"/>
  <c r="L351" i="36"/>
  <c r="L350" i="36"/>
  <c r="L349" i="36"/>
  <c r="L348" i="36"/>
  <c r="L347" i="36"/>
  <c r="L346" i="36"/>
  <c r="L345" i="36"/>
  <c r="L344" i="36"/>
  <c r="L343" i="36"/>
  <c r="L342" i="36"/>
  <c r="L341" i="36"/>
  <c r="L340" i="36"/>
  <c r="L339" i="36"/>
  <c r="L338" i="36"/>
  <c r="L337" i="36"/>
  <c r="L336" i="36"/>
  <c r="L335" i="36"/>
  <c r="L334" i="36"/>
  <c r="L333" i="36"/>
  <c r="L332" i="36"/>
  <c r="L331" i="36"/>
  <c r="L330" i="36"/>
  <c r="L329" i="36"/>
  <c r="L328" i="36"/>
  <c r="L327" i="36"/>
  <c r="L326" i="36"/>
  <c r="L325" i="36"/>
  <c r="L324" i="36"/>
  <c r="L323" i="36"/>
  <c r="L322" i="36"/>
  <c r="L321" i="36"/>
  <c r="L320" i="36"/>
  <c r="L319" i="36"/>
  <c r="L318" i="36"/>
  <c r="L317" i="36"/>
  <c r="L316" i="36"/>
  <c r="L315" i="36"/>
  <c r="L314" i="36"/>
  <c r="L313" i="36"/>
  <c r="L312" i="36"/>
  <c r="L311" i="36"/>
  <c r="L310" i="36"/>
  <c r="L309" i="36"/>
  <c r="L308" i="36"/>
  <c r="L307" i="36"/>
  <c r="L306" i="36"/>
  <c r="L305" i="36"/>
  <c r="L304" i="36"/>
  <c r="L303" i="36"/>
  <c r="L302" i="36"/>
  <c r="L301" i="36"/>
  <c r="L300" i="36"/>
  <c r="L299" i="36"/>
  <c r="L298" i="36"/>
  <c r="L297" i="36"/>
  <c r="L296" i="36"/>
  <c r="L295" i="36"/>
  <c r="L294" i="36"/>
  <c r="L293" i="36"/>
  <c r="L292" i="36"/>
  <c r="L291" i="36"/>
  <c r="L290" i="36"/>
  <c r="L289" i="36"/>
  <c r="L288" i="36"/>
  <c r="L287" i="36"/>
  <c r="L286" i="36"/>
  <c r="L285" i="36"/>
  <c r="L284" i="36"/>
  <c r="L283" i="36"/>
  <c r="L282" i="36"/>
  <c r="L281" i="36"/>
  <c r="L280" i="36"/>
  <c r="L279" i="36"/>
  <c r="L278" i="36"/>
  <c r="L277" i="36"/>
  <c r="L276" i="36"/>
  <c r="L275" i="36"/>
  <c r="L274" i="36"/>
  <c r="L273" i="36"/>
  <c r="L272" i="36"/>
  <c r="L271" i="36"/>
  <c r="L270" i="36"/>
  <c r="L269" i="36"/>
  <c r="L268" i="36"/>
  <c r="L267" i="36"/>
  <c r="L266" i="36"/>
  <c r="L265" i="36"/>
  <c r="L264" i="36"/>
  <c r="L263" i="36"/>
  <c r="L262" i="36"/>
  <c r="L261" i="36"/>
  <c r="L260" i="36"/>
  <c r="L259" i="36"/>
  <c r="L258" i="36"/>
  <c r="L257" i="36"/>
  <c r="L256" i="36"/>
  <c r="L255" i="36"/>
  <c r="L254" i="36"/>
  <c r="L253" i="36"/>
  <c r="L252" i="36"/>
  <c r="L251" i="36"/>
  <c r="L250" i="36"/>
  <c r="L249" i="36"/>
  <c r="L248" i="36"/>
  <c r="L247" i="36"/>
  <c r="L246" i="36"/>
  <c r="L245" i="36"/>
  <c r="L244" i="36"/>
  <c r="L243" i="36"/>
  <c r="L242" i="36"/>
  <c r="L241" i="36"/>
  <c r="L240" i="36"/>
  <c r="L239" i="36"/>
  <c r="L238" i="36"/>
  <c r="L237" i="36"/>
  <c r="L236" i="36"/>
  <c r="L235" i="36"/>
  <c r="L234" i="36"/>
  <c r="L233" i="36"/>
  <c r="L232" i="36"/>
  <c r="L231" i="36"/>
  <c r="L230" i="36"/>
  <c r="L229" i="36"/>
  <c r="L228" i="36"/>
  <c r="L227" i="36"/>
  <c r="L226" i="36"/>
  <c r="L225" i="36"/>
  <c r="L224" i="36"/>
  <c r="L223" i="36"/>
  <c r="L222" i="36"/>
  <c r="L221" i="36"/>
  <c r="L220" i="36"/>
  <c r="L219" i="36"/>
  <c r="L218" i="36"/>
  <c r="L217" i="36"/>
  <c r="L216" i="36"/>
  <c r="L215" i="36"/>
  <c r="L214" i="36"/>
  <c r="L213" i="36"/>
  <c r="L212" i="36"/>
  <c r="L211" i="36"/>
  <c r="L210" i="36"/>
  <c r="L209" i="36"/>
  <c r="L208" i="36"/>
  <c r="L207" i="36"/>
  <c r="L206" i="36"/>
  <c r="L205" i="36"/>
  <c r="L204" i="36"/>
  <c r="L203" i="36"/>
  <c r="L202" i="36"/>
  <c r="L201" i="36"/>
  <c r="L200" i="36"/>
  <c r="L199" i="36"/>
  <c r="L198" i="36"/>
  <c r="L197" i="36"/>
  <c r="L196" i="36"/>
  <c r="L195" i="36"/>
  <c r="L194" i="36"/>
  <c r="L193" i="36"/>
  <c r="L192" i="36"/>
  <c r="L191" i="36"/>
  <c r="L190" i="36"/>
  <c r="L189" i="36"/>
  <c r="L188" i="36"/>
  <c r="L187" i="36"/>
  <c r="L186" i="36"/>
  <c r="L185" i="36"/>
  <c r="L184" i="36"/>
  <c r="L183" i="36"/>
  <c r="L182" i="36"/>
  <c r="L181" i="36"/>
  <c r="L180" i="36"/>
  <c r="L179" i="36"/>
  <c r="L178" i="36"/>
  <c r="L177" i="36"/>
  <c r="L176" i="36"/>
  <c r="L175" i="36"/>
  <c r="L174" i="36"/>
  <c r="L173" i="36"/>
  <c r="L172" i="36"/>
  <c r="L171" i="36"/>
  <c r="L170" i="36"/>
  <c r="L169" i="36"/>
  <c r="L168" i="36"/>
  <c r="L167" i="36"/>
  <c r="L166" i="36"/>
  <c r="L165" i="36"/>
  <c r="L164" i="36"/>
  <c r="L163" i="36"/>
  <c r="L162" i="36"/>
  <c r="L161" i="36"/>
  <c r="L160" i="36"/>
  <c r="L159" i="36"/>
  <c r="L158" i="36"/>
  <c r="L157" i="36"/>
  <c r="L156" i="36"/>
  <c r="L155" i="36"/>
  <c r="L154" i="36"/>
  <c r="L153" i="36"/>
  <c r="L152" i="36"/>
  <c r="L151" i="36"/>
  <c r="L150" i="36"/>
  <c r="L149" i="36"/>
  <c r="L148" i="36"/>
  <c r="L147" i="36"/>
  <c r="L146" i="36"/>
  <c r="L145" i="36"/>
  <c r="L144" i="36"/>
  <c r="L143" i="36"/>
  <c r="L142" i="36"/>
  <c r="L141" i="36"/>
  <c r="L140" i="36"/>
  <c r="L139" i="36"/>
  <c r="L138" i="36"/>
  <c r="L137" i="36"/>
  <c r="L136" i="36"/>
  <c r="L135" i="36"/>
  <c r="L134" i="36"/>
  <c r="L133" i="36"/>
  <c r="L132" i="36"/>
  <c r="L131" i="36"/>
  <c r="L130" i="36"/>
  <c r="L129" i="36"/>
  <c r="L128" i="36"/>
  <c r="L127" i="36"/>
  <c r="L126" i="36"/>
  <c r="L125" i="36"/>
  <c r="L124" i="36"/>
  <c r="L123" i="36"/>
  <c r="L122" i="36"/>
  <c r="L121" i="36"/>
  <c r="L120" i="36"/>
  <c r="L119" i="36"/>
  <c r="L118" i="36"/>
  <c r="L117" i="36"/>
  <c r="L116" i="36"/>
  <c r="L115" i="36"/>
  <c r="L114" i="36"/>
  <c r="L113" i="36"/>
  <c r="L112" i="36"/>
  <c r="L111" i="36"/>
  <c r="L110" i="36"/>
  <c r="L109" i="36"/>
  <c r="L108" i="36"/>
  <c r="L107" i="36"/>
  <c r="L106" i="36"/>
  <c r="L105" i="36"/>
  <c r="L104" i="36"/>
  <c r="L103" i="36"/>
  <c r="L102" i="36"/>
  <c r="L101" i="36"/>
  <c r="L100" i="36"/>
  <c r="L99" i="36"/>
  <c r="L98" i="36"/>
  <c r="L97" i="36"/>
  <c r="L96" i="36"/>
  <c r="L95" i="36"/>
  <c r="L94" i="36"/>
  <c r="L93" i="36"/>
  <c r="L92" i="36"/>
  <c r="L91" i="36"/>
  <c r="L90" i="36"/>
  <c r="L89" i="36"/>
  <c r="L88" i="36"/>
  <c r="L87" i="36"/>
  <c r="L86" i="36"/>
  <c r="L85" i="36"/>
  <c r="L84" i="36"/>
  <c r="L83" i="36"/>
  <c r="L82" i="36"/>
  <c r="L81" i="36"/>
  <c r="L80" i="36"/>
  <c r="L79" i="36"/>
  <c r="L78" i="36"/>
  <c r="L77" i="36"/>
  <c r="L76" i="36"/>
  <c r="L75" i="36"/>
  <c r="L74" i="36"/>
  <c r="L73" i="36"/>
  <c r="L72" i="36"/>
  <c r="L71" i="36"/>
  <c r="L70" i="36"/>
  <c r="L69" i="36"/>
  <c r="L68" i="36"/>
  <c r="L67" i="36"/>
  <c r="L66" i="36"/>
  <c r="L65" i="36"/>
  <c r="L64" i="36"/>
  <c r="L63" i="36"/>
  <c r="L62" i="36"/>
  <c r="L61" i="36"/>
  <c r="L60" i="36"/>
  <c r="L59" i="36"/>
  <c r="L58" i="36"/>
  <c r="L57" i="36"/>
  <c r="L56" i="36"/>
  <c r="L55" i="36"/>
  <c r="L54" i="36"/>
  <c r="L53" i="36"/>
  <c r="L52" i="36"/>
  <c r="L51" i="36"/>
  <c r="L50" i="36"/>
  <c r="L49" i="36"/>
  <c r="L48" i="36"/>
  <c r="L47" i="36"/>
  <c r="L46" i="36"/>
  <c r="L45" i="36"/>
  <c r="L44" i="36"/>
  <c r="L43" i="36"/>
  <c r="L42" i="36"/>
  <c r="L41" i="36"/>
  <c r="L40" i="36"/>
  <c r="L39" i="36"/>
  <c r="L38" i="36"/>
  <c r="L37" i="36"/>
  <c r="L36" i="36"/>
  <c r="L35" i="36"/>
  <c r="L34" i="36"/>
  <c r="L33" i="36"/>
  <c r="L32" i="36"/>
  <c r="L31" i="36"/>
  <c r="P30" i="36"/>
  <c r="L30" i="36"/>
  <c r="S29" i="36"/>
  <c r="L29" i="36"/>
  <c r="L28" i="36"/>
  <c r="P27" i="36"/>
  <c r="L27" i="36"/>
  <c r="C27" i="36"/>
  <c r="S26" i="36"/>
  <c r="P26" i="36"/>
  <c r="L26" i="36"/>
  <c r="F26" i="36"/>
  <c r="C26" i="36"/>
  <c r="S25" i="36"/>
  <c r="P25" i="36"/>
  <c r="L25" i="36"/>
  <c r="F25" i="36"/>
  <c r="C25" i="36"/>
  <c r="S24" i="36"/>
  <c r="P24" i="36"/>
  <c r="L24" i="36"/>
  <c r="F24" i="36"/>
  <c r="C24" i="36"/>
  <c r="S23" i="36"/>
  <c r="P23" i="36"/>
  <c r="L23" i="36"/>
  <c r="F23" i="36"/>
  <c r="C23" i="36"/>
  <c r="S22" i="36"/>
  <c r="P22" i="36"/>
  <c r="L22" i="36"/>
  <c r="F22" i="36"/>
  <c r="C22" i="36"/>
  <c r="K20" i="36"/>
  <c r="J20" i="36"/>
  <c r="L18" i="36"/>
  <c r="L17" i="36"/>
  <c r="L16" i="36"/>
  <c r="L15" i="36"/>
  <c r="L14" i="36"/>
  <c r="L13" i="36"/>
  <c r="L12" i="36"/>
  <c r="L11" i="36"/>
  <c r="L10" i="36"/>
  <c r="L9" i="36"/>
  <c r="L8" i="36"/>
  <c r="L7" i="36"/>
  <c r="L6" i="36"/>
  <c r="L5" i="36"/>
  <c r="L4" i="36"/>
  <c r="L3" i="36"/>
  <c r="K1" i="36"/>
  <c r="J1" i="36"/>
  <c r="L14" i="35"/>
  <c r="L13" i="35"/>
  <c r="L12" i="35"/>
  <c r="L361" i="35"/>
  <c r="L360" i="35"/>
  <c r="L359" i="35"/>
  <c r="L358" i="35"/>
  <c r="L357" i="35"/>
  <c r="L356" i="35"/>
  <c r="L355" i="35"/>
  <c r="L354" i="35"/>
  <c r="L353" i="35"/>
  <c r="L352" i="35"/>
  <c r="L351" i="35"/>
  <c r="L350" i="35"/>
  <c r="L349" i="35"/>
  <c r="L348" i="35"/>
  <c r="L347" i="35"/>
  <c r="L346" i="35"/>
  <c r="L345" i="35"/>
  <c r="L344" i="35"/>
  <c r="L343" i="35"/>
  <c r="L342" i="35"/>
  <c r="L341" i="35"/>
  <c r="L340" i="35"/>
  <c r="L339" i="35"/>
  <c r="L338" i="35"/>
  <c r="L337" i="35"/>
  <c r="L336" i="35"/>
  <c r="L335" i="35"/>
  <c r="L334" i="35"/>
  <c r="L333" i="35"/>
  <c r="L332" i="35"/>
  <c r="L331" i="35"/>
  <c r="L330" i="35"/>
  <c r="L329" i="35"/>
  <c r="L328" i="35"/>
  <c r="L327" i="35"/>
  <c r="L326" i="35"/>
  <c r="L325" i="35"/>
  <c r="L324" i="35"/>
  <c r="L323" i="35"/>
  <c r="L322" i="35"/>
  <c r="L321" i="35"/>
  <c r="L320" i="35"/>
  <c r="L319" i="35"/>
  <c r="L318" i="35"/>
  <c r="L317" i="35"/>
  <c r="L316" i="35"/>
  <c r="L315" i="35"/>
  <c r="L314" i="35"/>
  <c r="L313" i="35"/>
  <c r="L312" i="35"/>
  <c r="L311" i="35"/>
  <c r="L310" i="35"/>
  <c r="L309" i="35"/>
  <c r="L308" i="35"/>
  <c r="L307" i="35"/>
  <c r="L306" i="35"/>
  <c r="L305" i="35"/>
  <c r="L304" i="35"/>
  <c r="L303" i="35"/>
  <c r="L302" i="35"/>
  <c r="L301" i="35"/>
  <c r="L300" i="35"/>
  <c r="L299" i="35"/>
  <c r="L298" i="35"/>
  <c r="L297" i="35"/>
  <c r="L296" i="35"/>
  <c r="L295" i="35"/>
  <c r="L294" i="35"/>
  <c r="L293" i="35"/>
  <c r="L292" i="35"/>
  <c r="L291" i="35"/>
  <c r="L290" i="35"/>
  <c r="L289" i="35"/>
  <c r="L288" i="35"/>
  <c r="L287" i="35"/>
  <c r="L286" i="35"/>
  <c r="L285" i="35"/>
  <c r="L284" i="35"/>
  <c r="L283" i="35"/>
  <c r="L282" i="35"/>
  <c r="L281" i="35"/>
  <c r="L280" i="35"/>
  <c r="L279" i="35"/>
  <c r="L278" i="35"/>
  <c r="L277" i="35"/>
  <c r="L276" i="35"/>
  <c r="L275" i="35"/>
  <c r="L274" i="35"/>
  <c r="L273" i="35"/>
  <c r="L272" i="35"/>
  <c r="L271" i="35"/>
  <c r="L270" i="35"/>
  <c r="L269" i="35"/>
  <c r="L268" i="35"/>
  <c r="L267" i="35"/>
  <c r="L266" i="35"/>
  <c r="L265" i="35"/>
  <c r="L264" i="35"/>
  <c r="L263" i="35"/>
  <c r="L262" i="35"/>
  <c r="L261" i="35"/>
  <c r="L260" i="35"/>
  <c r="L259" i="35"/>
  <c r="L258" i="35"/>
  <c r="L257" i="35"/>
  <c r="L256" i="35"/>
  <c r="L255" i="35"/>
  <c r="L254" i="35"/>
  <c r="L253" i="35"/>
  <c r="L252" i="35"/>
  <c r="L251" i="35"/>
  <c r="L250" i="35"/>
  <c r="L249" i="35"/>
  <c r="L248" i="35"/>
  <c r="L247" i="35"/>
  <c r="L246" i="35"/>
  <c r="L245" i="35"/>
  <c r="L244" i="35"/>
  <c r="L243" i="35"/>
  <c r="L242" i="35"/>
  <c r="L241" i="35"/>
  <c r="L240" i="35"/>
  <c r="L239" i="35"/>
  <c r="L238" i="35"/>
  <c r="L237" i="35"/>
  <c r="L236" i="35"/>
  <c r="L235" i="35"/>
  <c r="L234" i="35"/>
  <c r="L233" i="35"/>
  <c r="L232" i="35"/>
  <c r="L231" i="35"/>
  <c r="L230" i="35"/>
  <c r="L229" i="35"/>
  <c r="L228" i="35"/>
  <c r="L227" i="35"/>
  <c r="L226" i="35"/>
  <c r="L225" i="35"/>
  <c r="L224" i="35"/>
  <c r="L223" i="35"/>
  <c r="L222" i="35"/>
  <c r="L221" i="35"/>
  <c r="L220" i="35"/>
  <c r="L219" i="35"/>
  <c r="L218" i="35"/>
  <c r="L217" i="35"/>
  <c r="L216" i="35"/>
  <c r="L215" i="35"/>
  <c r="L214" i="35"/>
  <c r="L213" i="35"/>
  <c r="L212" i="35"/>
  <c r="L211" i="35"/>
  <c r="L210" i="35"/>
  <c r="L209" i="35"/>
  <c r="L208" i="35"/>
  <c r="L207" i="35"/>
  <c r="L206" i="35"/>
  <c r="L205" i="35"/>
  <c r="L204" i="35"/>
  <c r="L203" i="35"/>
  <c r="L202" i="35"/>
  <c r="L201" i="35"/>
  <c r="L200" i="35"/>
  <c r="L199" i="35"/>
  <c r="L198" i="35"/>
  <c r="L197" i="35"/>
  <c r="L196" i="35"/>
  <c r="L195" i="35"/>
  <c r="L194" i="35"/>
  <c r="L193" i="35"/>
  <c r="L192" i="35"/>
  <c r="L191" i="35"/>
  <c r="L190" i="35"/>
  <c r="L189" i="35"/>
  <c r="L188" i="35"/>
  <c r="L187" i="35"/>
  <c r="L186" i="35"/>
  <c r="L185" i="35"/>
  <c r="L184" i="35"/>
  <c r="L183" i="35"/>
  <c r="L182" i="35"/>
  <c r="L181" i="35"/>
  <c r="L180" i="35"/>
  <c r="L179" i="35"/>
  <c r="L178" i="35"/>
  <c r="L177" i="35"/>
  <c r="L176" i="35"/>
  <c r="L175" i="35"/>
  <c r="L174" i="35"/>
  <c r="L173" i="35"/>
  <c r="L172" i="35"/>
  <c r="L171" i="35"/>
  <c r="L170" i="35"/>
  <c r="L169" i="35"/>
  <c r="L168" i="35"/>
  <c r="L167" i="35"/>
  <c r="L166" i="35"/>
  <c r="L165" i="35"/>
  <c r="L164" i="35"/>
  <c r="L163" i="35"/>
  <c r="L162" i="35"/>
  <c r="L161" i="35"/>
  <c r="L160" i="35"/>
  <c r="L159" i="35"/>
  <c r="L158" i="35"/>
  <c r="L157" i="35"/>
  <c r="L156" i="35"/>
  <c r="L155" i="35"/>
  <c r="L154" i="35"/>
  <c r="L153" i="35"/>
  <c r="L152" i="35"/>
  <c r="L151" i="35"/>
  <c r="L150" i="35"/>
  <c r="L149" i="35"/>
  <c r="L148" i="35"/>
  <c r="L147" i="35"/>
  <c r="L146" i="35"/>
  <c r="L145" i="35"/>
  <c r="L144" i="35"/>
  <c r="L143" i="35"/>
  <c r="L142" i="35"/>
  <c r="L141" i="35"/>
  <c r="L140" i="35"/>
  <c r="L139" i="35"/>
  <c r="L138" i="35"/>
  <c r="L137" i="35"/>
  <c r="L136" i="35"/>
  <c r="L135" i="35"/>
  <c r="L134" i="35"/>
  <c r="L133" i="35"/>
  <c r="L132" i="35"/>
  <c r="L131" i="35"/>
  <c r="L130" i="35"/>
  <c r="L129" i="35"/>
  <c r="L128" i="35"/>
  <c r="L127" i="35"/>
  <c r="L126" i="35"/>
  <c r="L125" i="35"/>
  <c r="L124" i="35"/>
  <c r="L123" i="35"/>
  <c r="L122" i="35"/>
  <c r="L121" i="35"/>
  <c r="L120" i="35"/>
  <c r="L119" i="35"/>
  <c r="L118" i="35"/>
  <c r="L117" i="35"/>
  <c r="L116" i="35"/>
  <c r="L115" i="35"/>
  <c r="L114" i="35"/>
  <c r="L113" i="35"/>
  <c r="L112" i="35"/>
  <c r="L111" i="35"/>
  <c r="L110" i="35"/>
  <c r="L109" i="35"/>
  <c r="L108" i="35"/>
  <c r="L107" i="35"/>
  <c r="L106" i="35"/>
  <c r="L105" i="35"/>
  <c r="L104" i="35"/>
  <c r="L103" i="35"/>
  <c r="L102" i="35"/>
  <c r="L101" i="35"/>
  <c r="L100" i="35"/>
  <c r="L99" i="35"/>
  <c r="L98" i="35"/>
  <c r="L97" i="35"/>
  <c r="L96" i="35"/>
  <c r="L95" i="35"/>
  <c r="L94" i="35"/>
  <c r="L93" i="35"/>
  <c r="L92" i="35"/>
  <c r="L91" i="35"/>
  <c r="L90" i="35"/>
  <c r="L89" i="35"/>
  <c r="L88" i="35"/>
  <c r="L87" i="35"/>
  <c r="L86" i="35"/>
  <c r="L85" i="35"/>
  <c r="L84" i="35"/>
  <c r="L83" i="35"/>
  <c r="L82" i="35"/>
  <c r="L81" i="35"/>
  <c r="L80" i="35"/>
  <c r="L79" i="35"/>
  <c r="L78" i="35"/>
  <c r="L77" i="35"/>
  <c r="L76" i="35"/>
  <c r="L75" i="35"/>
  <c r="L74" i="35"/>
  <c r="L73" i="35"/>
  <c r="L72" i="35"/>
  <c r="L71" i="35"/>
  <c r="L70" i="35"/>
  <c r="L69" i="35"/>
  <c r="L68" i="35"/>
  <c r="L67" i="35"/>
  <c r="L66" i="35"/>
  <c r="L65" i="35"/>
  <c r="L64" i="35"/>
  <c r="L63" i="35"/>
  <c r="L62" i="35"/>
  <c r="L61" i="35"/>
  <c r="L60" i="35"/>
  <c r="L59" i="35"/>
  <c r="L58" i="35"/>
  <c r="L57" i="35"/>
  <c r="L56" i="35"/>
  <c r="L55" i="35"/>
  <c r="L54" i="35"/>
  <c r="L53" i="35"/>
  <c r="L52" i="35"/>
  <c r="L51" i="35"/>
  <c r="L50" i="35"/>
  <c r="L49" i="35"/>
  <c r="L48" i="35"/>
  <c r="L47" i="35"/>
  <c r="L46" i="35"/>
  <c r="L45" i="35"/>
  <c r="L44" i="35"/>
  <c r="L43" i="35"/>
  <c r="L42" i="35"/>
  <c r="L41" i="35"/>
  <c r="L40" i="35"/>
  <c r="L39" i="35"/>
  <c r="L38" i="35"/>
  <c r="L37" i="35"/>
  <c r="L36" i="35"/>
  <c r="L35" i="35"/>
  <c r="L34" i="35"/>
  <c r="L33" i="35"/>
  <c r="L32" i="35"/>
  <c r="L31" i="35"/>
  <c r="P30" i="35"/>
  <c r="L30" i="35"/>
  <c r="S29" i="35"/>
  <c r="L29" i="35"/>
  <c r="L28" i="35"/>
  <c r="P27" i="35"/>
  <c r="L27" i="35"/>
  <c r="C27" i="35"/>
  <c r="S26" i="35"/>
  <c r="P26" i="35"/>
  <c r="L26" i="35"/>
  <c r="F26" i="35"/>
  <c r="C26" i="35"/>
  <c r="S25" i="35"/>
  <c r="P25" i="35"/>
  <c r="L25" i="35"/>
  <c r="F25" i="35"/>
  <c r="C25" i="35"/>
  <c r="S24" i="35"/>
  <c r="P24" i="35"/>
  <c r="L24" i="35"/>
  <c r="F24" i="35"/>
  <c r="C24" i="35"/>
  <c r="S23" i="35"/>
  <c r="P23" i="35"/>
  <c r="L23" i="35"/>
  <c r="F23" i="35"/>
  <c r="C23" i="35"/>
  <c r="S22" i="35"/>
  <c r="P22" i="35"/>
  <c r="L22" i="35"/>
  <c r="F22" i="35"/>
  <c r="C22" i="35"/>
  <c r="K20" i="35"/>
  <c r="J20" i="35"/>
  <c r="L18" i="35"/>
  <c r="L17" i="35"/>
  <c r="L16" i="35"/>
  <c r="L15" i="35"/>
  <c r="L11" i="35"/>
  <c r="L10" i="35"/>
  <c r="L9" i="35"/>
  <c r="L8" i="35"/>
  <c r="L7" i="35"/>
  <c r="L6" i="35"/>
  <c r="L5" i="35"/>
  <c r="L4" i="35"/>
  <c r="L3" i="35"/>
  <c r="K1" i="35"/>
  <c r="J1" i="35"/>
  <c r="L354" i="34"/>
  <c r="L353" i="34"/>
  <c r="L352" i="34"/>
  <c r="L351" i="34"/>
  <c r="L350" i="34"/>
  <c r="L349" i="34"/>
  <c r="L348" i="34"/>
  <c r="L347" i="34"/>
  <c r="L346" i="34"/>
  <c r="L345" i="34"/>
  <c r="L344" i="34"/>
  <c r="L343" i="34"/>
  <c r="L342" i="34"/>
  <c r="L341" i="34"/>
  <c r="L340" i="34"/>
  <c r="L339" i="34"/>
  <c r="L338" i="34"/>
  <c r="L337" i="34"/>
  <c r="L336" i="34"/>
  <c r="L335" i="34"/>
  <c r="L334" i="34"/>
  <c r="L333" i="34"/>
  <c r="L332" i="34"/>
  <c r="L331" i="34"/>
  <c r="L330" i="34"/>
  <c r="L329" i="34"/>
  <c r="L328" i="34"/>
  <c r="L327" i="34"/>
  <c r="L326" i="34"/>
  <c r="L325" i="34"/>
  <c r="L324" i="34"/>
  <c r="L323" i="34"/>
  <c r="L322" i="34"/>
  <c r="L321" i="34"/>
  <c r="L320" i="34"/>
  <c r="L319" i="34"/>
  <c r="L318" i="34"/>
  <c r="L317" i="34"/>
  <c r="L316" i="34"/>
  <c r="L315" i="34"/>
  <c r="L314" i="34"/>
  <c r="L313" i="34"/>
  <c r="L312" i="34"/>
  <c r="L311" i="34"/>
  <c r="L310" i="34"/>
  <c r="L309" i="34"/>
  <c r="L308" i="34"/>
  <c r="L307" i="34"/>
  <c r="L306" i="34"/>
  <c r="L305" i="34"/>
  <c r="L304" i="34"/>
  <c r="L303" i="34"/>
  <c r="L302" i="34"/>
  <c r="L301" i="34"/>
  <c r="L300" i="34"/>
  <c r="L299" i="34"/>
  <c r="L298" i="34"/>
  <c r="L297" i="34"/>
  <c r="L296" i="34"/>
  <c r="L295" i="34"/>
  <c r="L294" i="34"/>
  <c r="L293" i="34"/>
  <c r="L292" i="34"/>
  <c r="L291" i="34"/>
  <c r="L290" i="34"/>
  <c r="L289" i="34"/>
  <c r="L288" i="34"/>
  <c r="L287" i="34"/>
  <c r="L286" i="34"/>
  <c r="L285" i="34"/>
  <c r="L284" i="34"/>
  <c r="L283" i="34"/>
  <c r="L282" i="34"/>
  <c r="L281" i="34"/>
  <c r="L280" i="34"/>
  <c r="L279" i="34"/>
  <c r="L278" i="34"/>
  <c r="L277" i="34"/>
  <c r="L276" i="34"/>
  <c r="L275" i="34"/>
  <c r="L274" i="34"/>
  <c r="L273" i="34"/>
  <c r="L272" i="34"/>
  <c r="L271" i="34"/>
  <c r="L270" i="34"/>
  <c r="L269" i="34"/>
  <c r="L268" i="34"/>
  <c r="L267" i="34"/>
  <c r="L266" i="34"/>
  <c r="L265" i="34"/>
  <c r="L264" i="34"/>
  <c r="L263" i="34"/>
  <c r="L262" i="34"/>
  <c r="L261" i="34"/>
  <c r="L260" i="34"/>
  <c r="L259" i="34"/>
  <c r="L258" i="34"/>
  <c r="L257" i="34"/>
  <c r="L256" i="34"/>
  <c r="L255" i="34"/>
  <c r="L254" i="34"/>
  <c r="L253" i="34"/>
  <c r="L252" i="34"/>
  <c r="L251" i="34"/>
  <c r="L250" i="34"/>
  <c r="L249" i="34"/>
  <c r="L248" i="34"/>
  <c r="L247" i="34"/>
  <c r="L246" i="34"/>
  <c r="L245" i="34"/>
  <c r="L244" i="34"/>
  <c r="L243" i="34"/>
  <c r="L242" i="34"/>
  <c r="L241" i="34"/>
  <c r="L240" i="34"/>
  <c r="L239" i="34"/>
  <c r="L238" i="34"/>
  <c r="L237" i="34"/>
  <c r="L236" i="34"/>
  <c r="L235" i="34"/>
  <c r="L234" i="34"/>
  <c r="L233" i="34"/>
  <c r="L232" i="34"/>
  <c r="L231" i="34"/>
  <c r="L230" i="34"/>
  <c r="L229" i="34"/>
  <c r="L228" i="34"/>
  <c r="L227" i="34"/>
  <c r="L226" i="34"/>
  <c r="L225" i="34"/>
  <c r="L224" i="34"/>
  <c r="L223" i="34"/>
  <c r="L222" i="34"/>
  <c r="L221" i="34"/>
  <c r="L220" i="34"/>
  <c r="L219" i="34"/>
  <c r="L218" i="34"/>
  <c r="L217" i="34"/>
  <c r="L216" i="34"/>
  <c r="L215" i="34"/>
  <c r="L214" i="34"/>
  <c r="L213" i="34"/>
  <c r="L212" i="34"/>
  <c r="L211" i="34"/>
  <c r="L210" i="34"/>
  <c r="L209" i="34"/>
  <c r="L208" i="34"/>
  <c r="L207" i="34"/>
  <c r="L206" i="34"/>
  <c r="L205" i="34"/>
  <c r="L204" i="34"/>
  <c r="L203" i="34"/>
  <c r="L202" i="34"/>
  <c r="L201" i="34"/>
  <c r="L200" i="34"/>
  <c r="L199" i="34"/>
  <c r="L198" i="34"/>
  <c r="L197" i="34"/>
  <c r="L196" i="34"/>
  <c r="L195" i="34"/>
  <c r="L194" i="34"/>
  <c r="L193" i="34"/>
  <c r="L192" i="34"/>
  <c r="L191" i="34"/>
  <c r="L190" i="34"/>
  <c r="L189" i="34"/>
  <c r="L188" i="34"/>
  <c r="L187" i="34"/>
  <c r="L186" i="34"/>
  <c r="L185" i="34"/>
  <c r="L184" i="34"/>
  <c r="L183" i="34"/>
  <c r="L182" i="34"/>
  <c r="L181" i="34"/>
  <c r="L180" i="34"/>
  <c r="L179" i="34"/>
  <c r="L178" i="34"/>
  <c r="L177" i="34"/>
  <c r="L176" i="34"/>
  <c r="L175" i="34"/>
  <c r="L174" i="34"/>
  <c r="L173" i="34"/>
  <c r="L172" i="34"/>
  <c r="L171" i="34"/>
  <c r="L170" i="34"/>
  <c r="L169" i="34"/>
  <c r="L168" i="34"/>
  <c r="L167" i="34"/>
  <c r="L166" i="34"/>
  <c r="L165" i="34"/>
  <c r="L164" i="34"/>
  <c r="L163" i="34"/>
  <c r="L162" i="34"/>
  <c r="L161" i="34"/>
  <c r="L160" i="34"/>
  <c r="L159" i="34"/>
  <c r="L158" i="34"/>
  <c r="L157" i="34"/>
  <c r="L156" i="34"/>
  <c r="L155" i="34"/>
  <c r="L154" i="34"/>
  <c r="L153" i="34"/>
  <c r="L152" i="34"/>
  <c r="L151" i="34"/>
  <c r="L150" i="34"/>
  <c r="L149" i="34"/>
  <c r="L148" i="34"/>
  <c r="L147" i="34"/>
  <c r="L146" i="34"/>
  <c r="L145" i="34"/>
  <c r="L144" i="34"/>
  <c r="L143" i="34"/>
  <c r="L142" i="34"/>
  <c r="L141" i="34"/>
  <c r="L140" i="34"/>
  <c r="L139" i="34"/>
  <c r="L138" i="34"/>
  <c r="L137" i="34"/>
  <c r="L136" i="34"/>
  <c r="L135" i="34"/>
  <c r="L134" i="34"/>
  <c r="L133" i="34"/>
  <c r="L132" i="34"/>
  <c r="L131" i="34"/>
  <c r="L130" i="34"/>
  <c r="L129" i="34"/>
  <c r="L128" i="34"/>
  <c r="L127" i="34"/>
  <c r="L126" i="34"/>
  <c r="L125" i="34"/>
  <c r="L124" i="34"/>
  <c r="L123" i="34"/>
  <c r="L122" i="34"/>
  <c r="L121" i="34"/>
  <c r="L120" i="34"/>
  <c r="L119" i="34"/>
  <c r="L118" i="34"/>
  <c r="L117" i="34"/>
  <c r="L116" i="34"/>
  <c r="L115" i="34"/>
  <c r="L114" i="34"/>
  <c r="L113" i="34"/>
  <c r="L112" i="34"/>
  <c r="L111" i="34"/>
  <c r="L110" i="34"/>
  <c r="L109" i="34"/>
  <c r="L108" i="34"/>
  <c r="L107" i="34"/>
  <c r="L106" i="34"/>
  <c r="L105" i="34"/>
  <c r="L104" i="34"/>
  <c r="L103" i="34"/>
  <c r="L102" i="34"/>
  <c r="L101" i="34"/>
  <c r="L100" i="34"/>
  <c r="L99" i="34"/>
  <c r="L98" i="34"/>
  <c r="L97" i="34"/>
  <c r="L96" i="34"/>
  <c r="L95" i="34"/>
  <c r="L94" i="34"/>
  <c r="L93" i="34"/>
  <c r="L92" i="34"/>
  <c r="L91" i="34"/>
  <c r="L90" i="34"/>
  <c r="L89" i="34"/>
  <c r="L88" i="34"/>
  <c r="L87" i="34"/>
  <c r="L86" i="34"/>
  <c r="L85" i="34"/>
  <c r="L84" i="34"/>
  <c r="L83" i="34"/>
  <c r="L82" i="34"/>
  <c r="L81" i="34"/>
  <c r="L80" i="34"/>
  <c r="L79" i="34"/>
  <c r="L78" i="34"/>
  <c r="L77" i="34"/>
  <c r="L76" i="34"/>
  <c r="L75" i="34"/>
  <c r="L74" i="34"/>
  <c r="L73" i="34"/>
  <c r="L72" i="34"/>
  <c r="L71" i="34"/>
  <c r="L70" i="34"/>
  <c r="L69" i="34"/>
  <c r="L68" i="34"/>
  <c r="L67" i="34"/>
  <c r="L66" i="34"/>
  <c r="L65" i="34"/>
  <c r="L64" i="34"/>
  <c r="L63" i="34"/>
  <c r="L62" i="34"/>
  <c r="L61" i="34"/>
  <c r="L60" i="34"/>
  <c r="L59" i="34"/>
  <c r="L58" i="34"/>
  <c r="L57" i="34"/>
  <c r="L56" i="34"/>
  <c r="L55" i="34"/>
  <c r="L54" i="34"/>
  <c r="L53" i="34"/>
  <c r="L52" i="34"/>
  <c r="L51" i="34"/>
  <c r="L50" i="34"/>
  <c r="L49" i="34"/>
  <c r="L48" i="34"/>
  <c r="L47" i="34"/>
  <c r="L46" i="34"/>
  <c r="L45" i="34"/>
  <c r="L44" i="34"/>
  <c r="L43" i="34"/>
  <c r="L42" i="34"/>
  <c r="L41" i="34"/>
  <c r="L40" i="34"/>
  <c r="L39" i="34"/>
  <c r="L38" i="34"/>
  <c r="L37" i="34"/>
  <c r="L36" i="34"/>
  <c r="L35" i="34"/>
  <c r="L34" i="34"/>
  <c r="L33" i="34"/>
  <c r="L32" i="34"/>
  <c r="L31" i="34"/>
  <c r="L30" i="34"/>
  <c r="L29" i="34"/>
  <c r="L28" i="34"/>
  <c r="L27" i="34"/>
  <c r="L26" i="34"/>
  <c r="L25" i="34"/>
  <c r="L24" i="34"/>
  <c r="P23" i="34"/>
  <c r="L23" i="34"/>
  <c r="S22" i="34"/>
  <c r="L22" i="34"/>
  <c r="L21" i="34"/>
  <c r="P20" i="34"/>
  <c r="L20" i="34"/>
  <c r="C20" i="34"/>
  <c r="S19" i="34"/>
  <c r="P19" i="34"/>
  <c r="L19" i="34"/>
  <c r="F19" i="34"/>
  <c r="C19" i="34"/>
  <c r="S18" i="34"/>
  <c r="P18" i="34"/>
  <c r="L18" i="34"/>
  <c r="F18" i="34"/>
  <c r="C18" i="34"/>
  <c r="S17" i="34"/>
  <c r="P17" i="34"/>
  <c r="L17" i="34"/>
  <c r="F17" i="34"/>
  <c r="C17" i="34"/>
  <c r="S16" i="34"/>
  <c r="P16" i="34"/>
  <c r="L16" i="34"/>
  <c r="F16" i="34"/>
  <c r="C16" i="34"/>
  <c r="S15" i="34"/>
  <c r="P15" i="34"/>
  <c r="L15" i="34"/>
  <c r="F15" i="34"/>
  <c r="C15" i="34"/>
  <c r="K13" i="34"/>
  <c r="J13" i="34"/>
  <c r="L11" i="34"/>
  <c r="L10" i="34"/>
  <c r="L9" i="34"/>
  <c r="L8" i="34"/>
  <c r="L7" i="34"/>
  <c r="L6" i="34"/>
  <c r="L5" i="34"/>
  <c r="L4" i="34"/>
  <c r="L3" i="34"/>
  <c r="K1" i="34"/>
  <c r="J1" i="34"/>
  <c r="L9" i="33"/>
  <c r="L8" i="33"/>
  <c r="L7" i="33"/>
  <c r="L6" i="33"/>
  <c r="L358" i="33"/>
  <c r="L357" i="33"/>
  <c r="L356" i="33"/>
  <c r="L355" i="33"/>
  <c r="L354" i="33"/>
  <c r="L353" i="33"/>
  <c r="L352" i="33"/>
  <c r="L351" i="33"/>
  <c r="L350" i="33"/>
  <c r="L349" i="33"/>
  <c r="L348" i="33"/>
  <c r="L347" i="33"/>
  <c r="L346" i="33"/>
  <c r="L345" i="33"/>
  <c r="L344" i="33"/>
  <c r="L343" i="33"/>
  <c r="L342" i="33"/>
  <c r="L341" i="33"/>
  <c r="L340" i="33"/>
  <c r="L339" i="33"/>
  <c r="L338" i="33"/>
  <c r="L337" i="33"/>
  <c r="L336" i="33"/>
  <c r="L335" i="33"/>
  <c r="L334" i="33"/>
  <c r="L333" i="33"/>
  <c r="L332" i="33"/>
  <c r="L331" i="33"/>
  <c r="L330" i="33"/>
  <c r="L329" i="33"/>
  <c r="L328" i="33"/>
  <c r="L327" i="33"/>
  <c r="L326" i="33"/>
  <c r="L325" i="33"/>
  <c r="L324" i="33"/>
  <c r="L323" i="33"/>
  <c r="L322" i="33"/>
  <c r="L321" i="33"/>
  <c r="L320" i="33"/>
  <c r="L319" i="33"/>
  <c r="L318" i="33"/>
  <c r="L317" i="33"/>
  <c r="L316" i="33"/>
  <c r="L315" i="33"/>
  <c r="L314" i="33"/>
  <c r="L313" i="33"/>
  <c r="L312" i="33"/>
  <c r="L311" i="33"/>
  <c r="L310" i="33"/>
  <c r="L309" i="33"/>
  <c r="L308" i="33"/>
  <c r="L307" i="33"/>
  <c r="L306" i="33"/>
  <c r="L305" i="33"/>
  <c r="L304" i="33"/>
  <c r="L303" i="33"/>
  <c r="L302" i="33"/>
  <c r="L301" i="33"/>
  <c r="L300" i="33"/>
  <c r="L299" i="33"/>
  <c r="L298" i="33"/>
  <c r="L297" i="33"/>
  <c r="L296" i="33"/>
  <c r="L295" i="33"/>
  <c r="L294" i="33"/>
  <c r="L293" i="33"/>
  <c r="L292" i="33"/>
  <c r="L291" i="33"/>
  <c r="L290" i="33"/>
  <c r="L289" i="33"/>
  <c r="L288" i="33"/>
  <c r="L287" i="33"/>
  <c r="L286" i="33"/>
  <c r="L285" i="33"/>
  <c r="L284" i="33"/>
  <c r="L283" i="33"/>
  <c r="L282" i="33"/>
  <c r="L281" i="33"/>
  <c r="L280" i="33"/>
  <c r="L279" i="33"/>
  <c r="L278" i="33"/>
  <c r="L277" i="33"/>
  <c r="L276" i="33"/>
  <c r="L275" i="33"/>
  <c r="L274" i="33"/>
  <c r="L273" i="33"/>
  <c r="L272" i="33"/>
  <c r="L271" i="33"/>
  <c r="L270" i="33"/>
  <c r="L269" i="33"/>
  <c r="L268" i="33"/>
  <c r="L267" i="33"/>
  <c r="L266" i="33"/>
  <c r="L265" i="33"/>
  <c r="L264" i="33"/>
  <c r="L263" i="33"/>
  <c r="L262" i="33"/>
  <c r="L261" i="33"/>
  <c r="L260" i="33"/>
  <c r="L259" i="33"/>
  <c r="L258" i="33"/>
  <c r="L257" i="33"/>
  <c r="L256" i="33"/>
  <c r="L255" i="33"/>
  <c r="L254" i="33"/>
  <c r="L253" i="33"/>
  <c r="L252" i="33"/>
  <c r="L251" i="33"/>
  <c r="L250" i="33"/>
  <c r="L249" i="33"/>
  <c r="L248" i="33"/>
  <c r="L247" i="33"/>
  <c r="L246" i="33"/>
  <c r="L245" i="33"/>
  <c r="L244" i="33"/>
  <c r="L243" i="33"/>
  <c r="L242" i="33"/>
  <c r="L241" i="33"/>
  <c r="L240" i="33"/>
  <c r="L239" i="33"/>
  <c r="L238" i="33"/>
  <c r="L237" i="33"/>
  <c r="L236" i="33"/>
  <c r="L235" i="33"/>
  <c r="L234" i="33"/>
  <c r="L233" i="33"/>
  <c r="L232" i="33"/>
  <c r="L231" i="33"/>
  <c r="L230" i="33"/>
  <c r="L229" i="33"/>
  <c r="L228" i="33"/>
  <c r="L227" i="33"/>
  <c r="L226" i="33"/>
  <c r="L225" i="33"/>
  <c r="L224" i="33"/>
  <c r="L223" i="33"/>
  <c r="L222" i="33"/>
  <c r="L221" i="33"/>
  <c r="L220" i="33"/>
  <c r="L219" i="33"/>
  <c r="L218" i="33"/>
  <c r="L217" i="33"/>
  <c r="L216" i="33"/>
  <c r="L215" i="33"/>
  <c r="L214" i="33"/>
  <c r="L213" i="33"/>
  <c r="L212" i="33"/>
  <c r="L211" i="33"/>
  <c r="L210" i="33"/>
  <c r="L209" i="33"/>
  <c r="L208" i="33"/>
  <c r="L207" i="33"/>
  <c r="L206" i="33"/>
  <c r="L205" i="33"/>
  <c r="L204" i="33"/>
  <c r="L203" i="33"/>
  <c r="L202" i="33"/>
  <c r="L201" i="33"/>
  <c r="L200" i="33"/>
  <c r="L199" i="33"/>
  <c r="L198" i="33"/>
  <c r="L197" i="33"/>
  <c r="L196" i="33"/>
  <c r="L195" i="33"/>
  <c r="L194" i="33"/>
  <c r="L193" i="33"/>
  <c r="L192" i="33"/>
  <c r="L191" i="33"/>
  <c r="L190" i="33"/>
  <c r="L189" i="33"/>
  <c r="L188" i="33"/>
  <c r="L187" i="33"/>
  <c r="L186" i="33"/>
  <c r="L185" i="33"/>
  <c r="L184" i="33"/>
  <c r="L183" i="33"/>
  <c r="L182" i="33"/>
  <c r="L181" i="33"/>
  <c r="L180" i="33"/>
  <c r="L179" i="33"/>
  <c r="L178" i="33"/>
  <c r="L177" i="33"/>
  <c r="L176" i="33"/>
  <c r="L175" i="33"/>
  <c r="L174" i="33"/>
  <c r="L173" i="33"/>
  <c r="L172" i="33"/>
  <c r="L171" i="33"/>
  <c r="L170" i="33"/>
  <c r="L169" i="33"/>
  <c r="L168" i="33"/>
  <c r="L167" i="33"/>
  <c r="L166" i="33"/>
  <c r="L165" i="33"/>
  <c r="L164" i="33"/>
  <c r="L163" i="33"/>
  <c r="L162" i="33"/>
  <c r="L161" i="33"/>
  <c r="L160" i="33"/>
  <c r="L159" i="33"/>
  <c r="L158" i="33"/>
  <c r="L157" i="33"/>
  <c r="L156" i="33"/>
  <c r="L155" i="33"/>
  <c r="L154" i="33"/>
  <c r="L153" i="33"/>
  <c r="L152" i="33"/>
  <c r="L151" i="33"/>
  <c r="L150" i="33"/>
  <c r="L149" i="33"/>
  <c r="L148" i="33"/>
  <c r="L147" i="33"/>
  <c r="L146" i="33"/>
  <c r="L145" i="33"/>
  <c r="L144" i="33"/>
  <c r="L143" i="33"/>
  <c r="L142" i="33"/>
  <c r="L141" i="33"/>
  <c r="L140" i="33"/>
  <c r="L139" i="33"/>
  <c r="L138" i="33"/>
  <c r="L137" i="33"/>
  <c r="L136" i="33"/>
  <c r="L135" i="33"/>
  <c r="L134" i="33"/>
  <c r="L133" i="33"/>
  <c r="L132" i="33"/>
  <c r="L131" i="33"/>
  <c r="L130" i="33"/>
  <c r="L129" i="33"/>
  <c r="L128" i="33"/>
  <c r="L127" i="33"/>
  <c r="L126" i="33"/>
  <c r="L125" i="33"/>
  <c r="L124" i="33"/>
  <c r="L123" i="33"/>
  <c r="L122" i="33"/>
  <c r="L121" i="33"/>
  <c r="L120" i="33"/>
  <c r="L119" i="33"/>
  <c r="L118" i="33"/>
  <c r="L117" i="33"/>
  <c r="L116" i="33"/>
  <c r="L115" i="33"/>
  <c r="L114" i="33"/>
  <c r="L113" i="33"/>
  <c r="L112" i="33"/>
  <c r="L111" i="33"/>
  <c r="L110" i="33"/>
  <c r="L109" i="33"/>
  <c r="L108" i="33"/>
  <c r="L107" i="33"/>
  <c r="L106" i="33"/>
  <c r="L105" i="33"/>
  <c r="L104" i="33"/>
  <c r="L103" i="33"/>
  <c r="L102" i="33"/>
  <c r="L101" i="33"/>
  <c r="L100" i="33"/>
  <c r="L99" i="33"/>
  <c r="L98" i="33"/>
  <c r="L97" i="33"/>
  <c r="L96" i="33"/>
  <c r="L95" i="33"/>
  <c r="L94" i="33"/>
  <c r="L93" i="33"/>
  <c r="L92" i="33"/>
  <c r="L91" i="33"/>
  <c r="L90" i="33"/>
  <c r="L89" i="33"/>
  <c r="L88" i="33"/>
  <c r="L87" i="33"/>
  <c r="L86" i="33"/>
  <c r="L85" i="33"/>
  <c r="L84" i="33"/>
  <c r="L83" i="33"/>
  <c r="L82" i="33"/>
  <c r="L81" i="33"/>
  <c r="L80" i="33"/>
  <c r="L79" i="33"/>
  <c r="L78" i="33"/>
  <c r="L77" i="33"/>
  <c r="L76" i="33"/>
  <c r="L75" i="33"/>
  <c r="L74" i="33"/>
  <c r="L73" i="33"/>
  <c r="L72" i="33"/>
  <c r="L71" i="33"/>
  <c r="L70" i="33"/>
  <c r="L69" i="33"/>
  <c r="L68" i="33"/>
  <c r="L67" i="33"/>
  <c r="L66" i="33"/>
  <c r="L65" i="33"/>
  <c r="L64" i="33"/>
  <c r="L63" i="33"/>
  <c r="L62" i="33"/>
  <c r="L61" i="33"/>
  <c r="L60" i="33"/>
  <c r="L59" i="33"/>
  <c r="L58" i="33"/>
  <c r="L57" i="33"/>
  <c r="L56" i="33"/>
  <c r="L55" i="33"/>
  <c r="L54" i="33"/>
  <c r="L53" i="33"/>
  <c r="L52" i="33"/>
  <c r="L51" i="33"/>
  <c r="L50" i="33"/>
  <c r="L49" i="33"/>
  <c r="L48" i="33"/>
  <c r="L47" i="33"/>
  <c r="L46" i="33"/>
  <c r="L45" i="33"/>
  <c r="L44" i="33"/>
  <c r="L43" i="33"/>
  <c r="L42" i="33"/>
  <c r="L41" i="33"/>
  <c r="L40" i="33"/>
  <c r="L39" i="33"/>
  <c r="L38" i="33"/>
  <c r="L37" i="33"/>
  <c r="L36" i="33"/>
  <c r="L35" i="33"/>
  <c r="L34" i="33"/>
  <c r="L33" i="33"/>
  <c r="L32" i="33"/>
  <c r="L31" i="33"/>
  <c r="L30" i="33"/>
  <c r="L29" i="33"/>
  <c r="L28" i="33"/>
  <c r="P27" i="33"/>
  <c r="L27" i="33"/>
  <c r="S26" i="33"/>
  <c r="L26" i="33"/>
  <c r="L25" i="33"/>
  <c r="P24" i="33"/>
  <c r="L24" i="33"/>
  <c r="C24" i="33"/>
  <c r="S23" i="33"/>
  <c r="P23" i="33"/>
  <c r="L23" i="33"/>
  <c r="F23" i="33"/>
  <c r="C23" i="33"/>
  <c r="S22" i="33"/>
  <c r="P22" i="33"/>
  <c r="L22" i="33"/>
  <c r="F22" i="33"/>
  <c r="C22" i="33"/>
  <c r="S21" i="33"/>
  <c r="P21" i="33"/>
  <c r="L21" i="33"/>
  <c r="F21" i="33"/>
  <c r="C21" i="33"/>
  <c r="S20" i="33"/>
  <c r="P20" i="33"/>
  <c r="L20" i="33"/>
  <c r="F20" i="33"/>
  <c r="C20" i="33"/>
  <c r="S19" i="33"/>
  <c r="P19" i="33"/>
  <c r="L19" i="33"/>
  <c r="F19" i="33"/>
  <c r="C19" i="33"/>
  <c r="K17" i="33"/>
  <c r="J17" i="33"/>
  <c r="L15" i="33"/>
  <c r="L14" i="33"/>
  <c r="L13" i="33"/>
  <c r="L12" i="33"/>
  <c r="L11" i="33"/>
  <c r="L10" i="33"/>
  <c r="L5" i="33"/>
  <c r="L4" i="33"/>
  <c r="L3" i="33"/>
  <c r="K1" i="33"/>
  <c r="J1" i="33"/>
  <c r="L101" i="32"/>
  <c r="L354" i="32"/>
  <c r="L353" i="32"/>
  <c r="L352" i="32"/>
  <c r="L351" i="32"/>
  <c r="L350" i="32"/>
  <c r="L349" i="32"/>
  <c r="L348" i="32"/>
  <c r="L347" i="32"/>
  <c r="L346" i="32"/>
  <c r="L345" i="32"/>
  <c r="L344" i="32"/>
  <c r="L343" i="32"/>
  <c r="L342" i="32"/>
  <c r="L341" i="32"/>
  <c r="L340" i="32"/>
  <c r="L339" i="32"/>
  <c r="L338" i="32"/>
  <c r="L337" i="32"/>
  <c r="L336" i="32"/>
  <c r="L335" i="32"/>
  <c r="L334" i="32"/>
  <c r="L333" i="32"/>
  <c r="L332" i="32"/>
  <c r="L331" i="32"/>
  <c r="L330" i="32"/>
  <c r="L329" i="32"/>
  <c r="L328" i="32"/>
  <c r="L327" i="32"/>
  <c r="L326" i="32"/>
  <c r="L325" i="32"/>
  <c r="L324" i="32"/>
  <c r="L323" i="32"/>
  <c r="L322" i="32"/>
  <c r="L321" i="32"/>
  <c r="L320" i="32"/>
  <c r="L319" i="32"/>
  <c r="L318" i="32"/>
  <c r="L317" i="32"/>
  <c r="L316" i="32"/>
  <c r="L315" i="32"/>
  <c r="L314" i="32"/>
  <c r="L313" i="32"/>
  <c r="L312" i="32"/>
  <c r="L311" i="32"/>
  <c r="L310" i="32"/>
  <c r="L309" i="32"/>
  <c r="L308" i="32"/>
  <c r="L307" i="32"/>
  <c r="L306" i="32"/>
  <c r="L305" i="32"/>
  <c r="L304" i="32"/>
  <c r="L303" i="32"/>
  <c r="L302" i="32"/>
  <c r="L301" i="32"/>
  <c r="L300" i="32"/>
  <c r="L299" i="32"/>
  <c r="L298" i="32"/>
  <c r="L297" i="32"/>
  <c r="L296" i="32"/>
  <c r="L295" i="32"/>
  <c r="L294" i="32"/>
  <c r="L293" i="32"/>
  <c r="L292" i="32"/>
  <c r="L291" i="32"/>
  <c r="L290" i="32"/>
  <c r="L289" i="32"/>
  <c r="L288" i="32"/>
  <c r="L287" i="32"/>
  <c r="L286" i="32"/>
  <c r="L285" i="32"/>
  <c r="L284" i="32"/>
  <c r="L283" i="32"/>
  <c r="L282" i="32"/>
  <c r="L281" i="32"/>
  <c r="L280" i="32"/>
  <c r="L279" i="32"/>
  <c r="L278" i="32"/>
  <c r="L277" i="32"/>
  <c r="L276" i="32"/>
  <c r="L275" i="32"/>
  <c r="L274" i="32"/>
  <c r="L273" i="32"/>
  <c r="L272" i="32"/>
  <c r="L271" i="32"/>
  <c r="L270" i="32"/>
  <c r="L269" i="32"/>
  <c r="L268" i="32"/>
  <c r="L267" i="32"/>
  <c r="L266" i="32"/>
  <c r="L265" i="32"/>
  <c r="L264" i="32"/>
  <c r="L263" i="32"/>
  <c r="L262" i="32"/>
  <c r="L261" i="32"/>
  <c r="L260" i="32"/>
  <c r="L259" i="32"/>
  <c r="L258" i="32"/>
  <c r="L257" i="32"/>
  <c r="L256" i="32"/>
  <c r="L255" i="32"/>
  <c r="L254" i="32"/>
  <c r="L253" i="32"/>
  <c r="L252" i="32"/>
  <c r="L251" i="32"/>
  <c r="L250" i="32"/>
  <c r="L249" i="32"/>
  <c r="L248" i="32"/>
  <c r="L247" i="32"/>
  <c r="L246" i="32"/>
  <c r="L245" i="32"/>
  <c r="L244" i="32"/>
  <c r="L243" i="32"/>
  <c r="L242" i="32"/>
  <c r="L241" i="32"/>
  <c r="L240" i="32"/>
  <c r="L239" i="32"/>
  <c r="L238" i="32"/>
  <c r="L237" i="32"/>
  <c r="L236" i="32"/>
  <c r="L235" i="32"/>
  <c r="L234" i="32"/>
  <c r="L233" i="32"/>
  <c r="L232" i="32"/>
  <c r="L231" i="32"/>
  <c r="L230" i="32"/>
  <c r="L229" i="32"/>
  <c r="L228" i="32"/>
  <c r="L227" i="32"/>
  <c r="L226" i="32"/>
  <c r="L225" i="32"/>
  <c r="L224" i="32"/>
  <c r="L223" i="32"/>
  <c r="L222" i="32"/>
  <c r="L221" i="32"/>
  <c r="L220" i="32"/>
  <c r="L219" i="32"/>
  <c r="L218" i="32"/>
  <c r="L217" i="32"/>
  <c r="L216" i="32"/>
  <c r="L215" i="32"/>
  <c r="L214" i="32"/>
  <c r="L213" i="32"/>
  <c r="L212" i="32"/>
  <c r="L211" i="32"/>
  <c r="L210" i="32"/>
  <c r="L209" i="32"/>
  <c r="L208" i="32"/>
  <c r="L207" i="32"/>
  <c r="L206" i="32"/>
  <c r="L205" i="32"/>
  <c r="L204" i="32"/>
  <c r="L203" i="32"/>
  <c r="L202" i="32"/>
  <c r="L201" i="32"/>
  <c r="L200" i="32"/>
  <c r="L199" i="32"/>
  <c r="L198" i="32"/>
  <c r="L197" i="32"/>
  <c r="L196" i="32"/>
  <c r="L195" i="32"/>
  <c r="L194" i="32"/>
  <c r="L193" i="32"/>
  <c r="L192" i="32"/>
  <c r="L191" i="32"/>
  <c r="L190" i="32"/>
  <c r="L189" i="32"/>
  <c r="L188" i="32"/>
  <c r="L187" i="32"/>
  <c r="L186" i="32"/>
  <c r="L185" i="32"/>
  <c r="L184" i="32"/>
  <c r="L183" i="32"/>
  <c r="L182" i="32"/>
  <c r="L181" i="32"/>
  <c r="L180" i="32"/>
  <c r="L179" i="32"/>
  <c r="L178" i="32"/>
  <c r="L177" i="32"/>
  <c r="L176" i="32"/>
  <c r="L175" i="32"/>
  <c r="L174" i="32"/>
  <c r="L173" i="32"/>
  <c r="L172" i="32"/>
  <c r="L171" i="32"/>
  <c r="L170" i="32"/>
  <c r="L169" i="32"/>
  <c r="L168" i="32"/>
  <c r="L167" i="32"/>
  <c r="L166" i="32"/>
  <c r="L165" i="32"/>
  <c r="L164" i="32"/>
  <c r="L163" i="32"/>
  <c r="L162" i="32"/>
  <c r="L161" i="32"/>
  <c r="L160" i="32"/>
  <c r="L159" i="32"/>
  <c r="L158" i="32"/>
  <c r="L157" i="32"/>
  <c r="L156" i="32"/>
  <c r="L155" i="32"/>
  <c r="L154" i="32"/>
  <c r="L153" i="32"/>
  <c r="L152" i="32"/>
  <c r="L151" i="32"/>
  <c r="L150" i="32"/>
  <c r="L149" i="32"/>
  <c r="L148" i="32"/>
  <c r="L147" i="32"/>
  <c r="L146" i="32"/>
  <c r="L145" i="32"/>
  <c r="L144" i="32"/>
  <c r="L143" i="32"/>
  <c r="L142" i="32"/>
  <c r="L141" i="32"/>
  <c r="L140" i="32"/>
  <c r="L139" i="32"/>
  <c r="L138" i="32"/>
  <c r="L137" i="32"/>
  <c r="L136" i="32"/>
  <c r="L135" i="32"/>
  <c r="L134" i="32"/>
  <c r="L133" i="32"/>
  <c r="L132" i="32"/>
  <c r="L131" i="32"/>
  <c r="L130" i="32"/>
  <c r="L129" i="32"/>
  <c r="L128" i="32"/>
  <c r="L127" i="32"/>
  <c r="L126" i="32"/>
  <c r="L125" i="32"/>
  <c r="L124" i="32"/>
  <c r="L123" i="32"/>
  <c r="L122" i="32"/>
  <c r="L121" i="32"/>
  <c r="L120" i="32"/>
  <c r="L119" i="32"/>
  <c r="L118" i="32"/>
  <c r="L117" i="32"/>
  <c r="L116" i="32"/>
  <c r="L115" i="32"/>
  <c r="L114" i="32"/>
  <c r="L113" i="32"/>
  <c r="L112" i="32"/>
  <c r="L111" i="32"/>
  <c r="L110" i="32"/>
  <c r="L109" i="32"/>
  <c r="L108" i="32"/>
  <c r="L107" i="32"/>
  <c r="L106" i="32"/>
  <c r="L105" i="32"/>
  <c r="L104" i="32"/>
  <c r="L103" i="32"/>
  <c r="L102" i="32"/>
  <c r="L100" i="32"/>
  <c r="L99" i="32"/>
  <c r="L98" i="32"/>
  <c r="L97" i="32"/>
  <c r="L96" i="32"/>
  <c r="L95" i="32"/>
  <c r="L94" i="32"/>
  <c r="L93" i="32"/>
  <c r="L92" i="32"/>
  <c r="L91" i="32"/>
  <c r="L90" i="32"/>
  <c r="L89" i="32"/>
  <c r="L88" i="32"/>
  <c r="L87" i="32"/>
  <c r="L86" i="32"/>
  <c r="L85" i="32"/>
  <c r="L84" i="32"/>
  <c r="L83" i="32"/>
  <c r="L82" i="32"/>
  <c r="L81" i="32"/>
  <c r="L80" i="32"/>
  <c r="L79" i="32"/>
  <c r="L78" i="32"/>
  <c r="L77" i="32"/>
  <c r="L76" i="32"/>
  <c r="L75" i="32"/>
  <c r="L74" i="32"/>
  <c r="L73" i="32"/>
  <c r="L72" i="32"/>
  <c r="L71" i="32"/>
  <c r="L70" i="32"/>
  <c r="L69" i="32"/>
  <c r="L68" i="32"/>
  <c r="L67" i="32"/>
  <c r="L66" i="32"/>
  <c r="L65" i="32"/>
  <c r="L64" i="32"/>
  <c r="L63" i="32"/>
  <c r="L62" i="32"/>
  <c r="L61" i="32"/>
  <c r="L60" i="32"/>
  <c r="L59" i="32"/>
  <c r="L58" i="32"/>
  <c r="L57" i="32"/>
  <c r="L56" i="32"/>
  <c r="L55" i="32"/>
  <c r="L54" i="32"/>
  <c r="L53" i="32"/>
  <c r="L52" i="32"/>
  <c r="L51" i="32"/>
  <c r="L50" i="32"/>
  <c r="L49" i="32"/>
  <c r="L48" i="32"/>
  <c r="L47" i="32"/>
  <c r="L46" i="32"/>
  <c r="L45" i="32"/>
  <c r="L44" i="32"/>
  <c r="L43" i="32"/>
  <c r="L42" i="32"/>
  <c r="L41" i="32"/>
  <c r="L40" i="32"/>
  <c r="L39" i="32"/>
  <c r="L38" i="32"/>
  <c r="L37" i="32"/>
  <c r="L36" i="32"/>
  <c r="L35" i="32"/>
  <c r="L34" i="32"/>
  <c r="L33" i="32"/>
  <c r="L32" i="32"/>
  <c r="L31" i="32"/>
  <c r="L30" i="32"/>
  <c r="L29" i="32"/>
  <c r="L28" i="32"/>
  <c r="L27" i="32"/>
  <c r="L26" i="32"/>
  <c r="L25" i="32"/>
  <c r="L24" i="32"/>
  <c r="P23" i="32"/>
  <c r="L23" i="32"/>
  <c r="S22" i="32"/>
  <c r="L22" i="32"/>
  <c r="L21" i="32"/>
  <c r="P20" i="32"/>
  <c r="L20" i="32"/>
  <c r="C20" i="32"/>
  <c r="S19" i="32"/>
  <c r="P19" i="32"/>
  <c r="L19" i="32"/>
  <c r="F19" i="32"/>
  <c r="C19" i="32"/>
  <c r="S18" i="32"/>
  <c r="P18" i="32"/>
  <c r="L18" i="32"/>
  <c r="F18" i="32"/>
  <c r="C18" i="32"/>
  <c r="S17" i="32"/>
  <c r="P17" i="32"/>
  <c r="L17" i="32"/>
  <c r="F17" i="32"/>
  <c r="C17" i="32"/>
  <c r="S16" i="32"/>
  <c r="P16" i="32"/>
  <c r="L16" i="32"/>
  <c r="F16" i="32"/>
  <c r="C16" i="32"/>
  <c r="S15" i="32"/>
  <c r="P15" i="32"/>
  <c r="L15" i="32"/>
  <c r="F15" i="32"/>
  <c r="C15" i="32"/>
  <c r="K13" i="32"/>
  <c r="J13" i="32"/>
  <c r="L11" i="32"/>
  <c r="L10" i="32"/>
  <c r="L9" i="32"/>
  <c r="L8" i="32"/>
  <c r="L7" i="32"/>
  <c r="L6" i="32"/>
  <c r="L5" i="32"/>
  <c r="L4" i="32"/>
  <c r="L3" i="32"/>
  <c r="K1" i="32"/>
  <c r="J1" i="32"/>
  <c r="L354" i="31"/>
  <c r="L353" i="31"/>
  <c r="L352" i="31"/>
  <c r="L351" i="31"/>
  <c r="L350" i="31"/>
  <c r="L349" i="31"/>
  <c r="L348" i="31"/>
  <c r="L347" i="31"/>
  <c r="L346" i="31"/>
  <c r="L345" i="31"/>
  <c r="L344" i="31"/>
  <c r="L343" i="31"/>
  <c r="L342" i="31"/>
  <c r="L341" i="31"/>
  <c r="L340" i="31"/>
  <c r="L339" i="31"/>
  <c r="L338" i="31"/>
  <c r="L337" i="31"/>
  <c r="L336" i="31"/>
  <c r="L335" i="31"/>
  <c r="L334" i="31"/>
  <c r="L333" i="31"/>
  <c r="L332" i="31"/>
  <c r="L331" i="31"/>
  <c r="L330" i="31"/>
  <c r="L329" i="31"/>
  <c r="L328" i="31"/>
  <c r="L327" i="31"/>
  <c r="L326" i="31"/>
  <c r="L325" i="31"/>
  <c r="L324" i="31"/>
  <c r="L323" i="31"/>
  <c r="L322" i="31"/>
  <c r="L321" i="31"/>
  <c r="L320" i="31"/>
  <c r="L319" i="31"/>
  <c r="L318" i="31"/>
  <c r="L317" i="31"/>
  <c r="L316" i="31"/>
  <c r="L315" i="31"/>
  <c r="L314" i="31"/>
  <c r="L313" i="31"/>
  <c r="L312" i="31"/>
  <c r="L311" i="31"/>
  <c r="L310" i="31"/>
  <c r="L309" i="31"/>
  <c r="L308" i="31"/>
  <c r="L307" i="31"/>
  <c r="L306" i="31"/>
  <c r="L305" i="31"/>
  <c r="L304" i="31"/>
  <c r="L303" i="31"/>
  <c r="L302" i="31"/>
  <c r="L301" i="31"/>
  <c r="L300" i="31"/>
  <c r="L299" i="31"/>
  <c r="L298" i="31"/>
  <c r="L297" i="31"/>
  <c r="L296" i="31"/>
  <c r="L295" i="31"/>
  <c r="L294" i="31"/>
  <c r="L293" i="31"/>
  <c r="L292" i="31"/>
  <c r="L291" i="31"/>
  <c r="L290" i="31"/>
  <c r="L289" i="31"/>
  <c r="L288" i="31"/>
  <c r="L287" i="31"/>
  <c r="L286" i="31"/>
  <c r="L285" i="31"/>
  <c r="L284" i="31"/>
  <c r="L283" i="31"/>
  <c r="L282" i="31"/>
  <c r="L281" i="31"/>
  <c r="L280" i="31"/>
  <c r="L279" i="31"/>
  <c r="L278" i="31"/>
  <c r="L277" i="31"/>
  <c r="L276" i="31"/>
  <c r="L275" i="31"/>
  <c r="L274" i="31"/>
  <c r="L273" i="31"/>
  <c r="L272" i="31"/>
  <c r="L271" i="31"/>
  <c r="L270" i="31"/>
  <c r="L269" i="31"/>
  <c r="L268" i="31"/>
  <c r="L267" i="31"/>
  <c r="L266" i="31"/>
  <c r="L265" i="31"/>
  <c r="L264" i="31"/>
  <c r="L263" i="31"/>
  <c r="L262" i="31"/>
  <c r="L261" i="31"/>
  <c r="L260" i="31"/>
  <c r="L259" i="31"/>
  <c r="L258" i="31"/>
  <c r="L257" i="31"/>
  <c r="L256" i="31"/>
  <c r="L255" i="31"/>
  <c r="L254" i="31"/>
  <c r="L253" i="31"/>
  <c r="L252" i="31"/>
  <c r="L251" i="31"/>
  <c r="L250" i="31"/>
  <c r="L249" i="31"/>
  <c r="L248" i="31"/>
  <c r="L247" i="31"/>
  <c r="L246" i="31"/>
  <c r="L245" i="31"/>
  <c r="L244" i="31"/>
  <c r="L243" i="31"/>
  <c r="L242" i="31"/>
  <c r="L241" i="31"/>
  <c r="L240" i="31"/>
  <c r="L239" i="31"/>
  <c r="L238" i="31"/>
  <c r="L237" i="31"/>
  <c r="L236" i="31"/>
  <c r="L235" i="31"/>
  <c r="L234" i="31"/>
  <c r="L233" i="31"/>
  <c r="L232" i="31"/>
  <c r="L231" i="31"/>
  <c r="L230" i="31"/>
  <c r="L229" i="31"/>
  <c r="L228" i="31"/>
  <c r="L227" i="31"/>
  <c r="L226" i="31"/>
  <c r="L225" i="31"/>
  <c r="L224" i="31"/>
  <c r="L223" i="31"/>
  <c r="L222" i="31"/>
  <c r="L221" i="31"/>
  <c r="L220" i="31"/>
  <c r="L219" i="31"/>
  <c r="L218" i="31"/>
  <c r="L217" i="31"/>
  <c r="L216" i="31"/>
  <c r="L215" i="31"/>
  <c r="L214" i="31"/>
  <c r="L213" i="31"/>
  <c r="L212" i="31"/>
  <c r="L211" i="31"/>
  <c r="L210" i="31"/>
  <c r="L209" i="31"/>
  <c r="L208" i="31"/>
  <c r="L207" i="31"/>
  <c r="L206" i="31"/>
  <c r="L205" i="31"/>
  <c r="L204" i="31"/>
  <c r="L203" i="31"/>
  <c r="L202" i="31"/>
  <c r="L201" i="31"/>
  <c r="L200" i="31"/>
  <c r="L199" i="31"/>
  <c r="L198" i="31"/>
  <c r="L197" i="31"/>
  <c r="L196" i="31"/>
  <c r="L195" i="31"/>
  <c r="L194" i="31"/>
  <c r="L193" i="31"/>
  <c r="L192" i="31"/>
  <c r="L191" i="31"/>
  <c r="L190" i="31"/>
  <c r="L189" i="31"/>
  <c r="L188" i="31"/>
  <c r="L187" i="31"/>
  <c r="L186" i="31"/>
  <c r="L185" i="31"/>
  <c r="L184" i="31"/>
  <c r="L183" i="31"/>
  <c r="L182" i="31"/>
  <c r="L181" i="31"/>
  <c r="L180" i="31"/>
  <c r="L179" i="31"/>
  <c r="L178" i="31"/>
  <c r="L177" i="31"/>
  <c r="L176" i="31"/>
  <c r="L175" i="31"/>
  <c r="L174" i="31"/>
  <c r="L173" i="31"/>
  <c r="L172" i="31"/>
  <c r="L171" i="31"/>
  <c r="L170" i="31"/>
  <c r="L169" i="31"/>
  <c r="L168" i="31"/>
  <c r="L167" i="31"/>
  <c r="L166" i="31"/>
  <c r="L165" i="31"/>
  <c r="L164" i="31"/>
  <c r="L163" i="31"/>
  <c r="L162" i="31"/>
  <c r="L161" i="31"/>
  <c r="L160" i="31"/>
  <c r="L159" i="31"/>
  <c r="L158" i="31"/>
  <c r="L157" i="31"/>
  <c r="L156" i="31"/>
  <c r="L155" i="31"/>
  <c r="L154" i="31"/>
  <c r="L153" i="31"/>
  <c r="L152" i="31"/>
  <c r="L151" i="31"/>
  <c r="L150" i="31"/>
  <c r="L149" i="31"/>
  <c r="L148" i="31"/>
  <c r="L147" i="31"/>
  <c r="L146" i="31"/>
  <c r="L145" i="31"/>
  <c r="L144" i="31"/>
  <c r="L143" i="31"/>
  <c r="L142" i="31"/>
  <c r="L141" i="31"/>
  <c r="L140" i="31"/>
  <c r="L139" i="31"/>
  <c r="L138" i="31"/>
  <c r="L137" i="31"/>
  <c r="L136" i="31"/>
  <c r="L135" i="31"/>
  <c r="L134" i="31"/>
  <c r="L133" i="31"/>
  <c r="L132" i="31"/>
  <c r="L131" i="31"/>
  <c r="L130" i="31"/>
  <c r="L129" i="31"/>
  <c r="L128" i="31"/>
  <c r="L127" i="31"/>
  <c r="L126" i="31"/>
  <c r="L125" i="31"/>
  <c r="L124" i="31"/>
  <c r="L123" i="31"/>
  <c r="L122" i="31"/>
  <c r="L121" i="31"/>
  <c r="L120" i="31"/>
  <c r="L119" i="31"/>
  <c r="L118" i="31"/>
  <c r="L117" i="31"/>
  <c r="L116" i="31"/>
  <c r="L115" i="31"/>
  <c r="L114" i="31"/>
  <c r="L113" i="31"/>
  <c r="L112" i="31"/>
  <c r="L111" i="31"/>
  <c r="L110" i="31"/>
  <c r="L109" i="31"/>
  <c r="L108" i="31"/>
  <c r="L107" i="31"/>
  <c r="L106" i="31"/>
  <c r="L105" i="31"/>
  <c r="L104" i="31"/>
  <c r="L103" i="31"/>
  <c r="L102" i="31"/>
  <c r="L101" i="31"/>
  <c r="L100" i="31"/>
  <c r="L99" i="31"/>
  <c r="L98" i="31"/>
  <c r="L97" i="31"/>
  <c r="L96" i="31"/>
  <c r="L95" i="31"/>
  <c r="L94" i="31"/>
  <c r="L93" i="31"/>
  <c r="L92" i="31"/>
  <c r="L91" i="31"/>
  <c r="L90" i="31"/>
  <c r="L89" i="31"/>
  <c r="L88" i="31"/>
  <c r="L87" i="31"/>
  <c r="L86" i="31"/>
  <c r="L85" i="31"/>
  <c r="L84" i="31"/>
  <c r="L83" i="31"/>
  <c r="L82" i="31"/>
  <c r="L81" i="31"/>
  <c r="L80" i="31"/>
  <c r="L79" i="31"/>
  <c r="L78" i="31"/>
  <c r="L77" i="31"/>
  <c r="L76" i="31"/>
  <c r="L75" i="31"/>
  <c r="L74" i="31"/>
  <c r="L73" i="31"/>
  <c r="L72" i="31"/>
  <c r="L71" i="31"/>
  <c r="L70" i="31"/>
  <c r="L69" i="31"/>
  <c r="L68" i="31"/>
  <c r="L67" i="31"/>
  <c r="L66" i="31"/>
  <c r="L65" i="31"/>
  <c r="L64" i="31"/>
  <c r="L63" i="31"/>
  <c r="L62" i="31"/>
  <c r="L61" i="31"/>
  <c r="L60" i="31"/>
  <c r="L59" i="31"/>
  <c r="L58" i="31"/>
  <c r="L57" i="31"/>
  <c r="L56" i="31"/>
  <c r="L55" i="31"/>
  <c r="L54" i="31"/>
  <c r="L53" i="31"/>
  <c r="L52" i="31"/>
  <c r="L51" i="31"/>
  <c r="L50" i="31"/>
  <c r="L49" i="31"/>
  <c r="L48" i="31"/>
  <c r="L47" i="31"/>
  <c r="L46" i="31"/>
  <c r="L45" i="31"/>
  <c r="L44" i="31"/>
  <c r="L43" i="31"/>
  <c r="L42" i="31"/>
  <c r="L41" i="31"/>
  <c r="L40" i="31"/>
  <c r="L39" i="31"/>
  <c r="L38" i="31"/>
  <c r="L37" i="31"/>
  <c r="L36" i="31"/>
  <c r="L35" i="31"/>
  <c r="L34" i="31"/>
  <c r="L33" i="31"/>
  <c r="L32" i="31"/>
  <c r="L31" i="31"/>
  <c r="L30" i="31"/>
  <c r="L29" i="31"/>
  <c r="L28" i="31"/>
  <c r="L27" i="31"/>
  <c r="L26" i="31"/>
  <c r="L25" i="31"/>
  <c r="L24" i="31"/>
  <c r="P23" i="31"/>
  <c r="L23" i="31"/>
  <c r="S22" i="31"/>
  <c r="L22" i="31"/>
  <c r="L21" i="31"/>
  <c r="P20" i="31"/>
  <c r="L20" i="31"/>
  <c r="C20" i="31"/>
  <c r="S19" i="31"/>
  <c r="P19" i="31"/>
  <c r="L19" i="31"/>
  <c r="F19" i="31"/>
  <c r="C19" i="31"/>
  <c r="S18" i="31"/>
  <c r="P18" i="31"/>
  <c r="L18" i="31"/>
  <c r="F18" i="31"/>
  <c r="C18" i="31"/>
  <c r="S17" i="31"/>
  <c r="P17" i="31"/>
  <c r="L17" i="31"/>
  <c r="F17" i="31"/>
  <c r="C17" i="31"/>
  <c r="S16" i="31"/>
  <c r="P16" i="31"/>
  <c r="L16" i="31"/>
  <c r="F16" i="31"/>
  <c r="C16" i="31"/>
  <c r="S15" i="31"/>
  <c r="P15" i="31"/>
  <c r="L15" i="31"/>
  <c r="F15" i="31"/>
  <c r="C15" i="31"/>
  <c r="K13" i="31"/>
  <c r="J13" i="31"/>
  <c r="L11" i="31"/>
  <c r="L10" i="31"/>
  <c r="L9" i="31"/>
  <c r="L8" i="31"/>
  <c r="L7" i="31"/>
  <c r="L6" i="31"/>
  <c r="L5" i="31"/>
  <c r="L4" i="31"/>
  <c r="L3" i="31"/>
  <c r="K1" i="31"/>
  <c r="J1" i="31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28" i="28"/>
  <c r="L29" i="28"/>
  <c r="L30" i="28"/>
  <c r="L31" i="28"/>
  <c r="L32" i="28"/>
  <c r="L33" i="28"/>
  <c r="L34" i="28"/>
  <c r="L35" i="28"/>
  <c r="L36" i="28"/>
  <c r="L37" i="28"/>
  <c r="L38" i="28"/>
  <c r="L39" i="28"/>
  <c r="L40" i="28"/>
  <c r="L41" i="28"/>
  <c r="L4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57" i="28"/>
  <c r="L58" i="28"/>
  <c r="L59" i="28"/>
  <c r="L60" i="28"/>
  <c r="L61" i="28"/>
  <c r="L62" i="28"/>
  <c r="L63" i="28"/>
  <c r="L64" i="28"/>
  <c r="L65" i="28"/>
  <c r="L66" i="28"/>
  <c r="L67" i="28"/>
  <c r="L68" i="28"/>
  <c r="L69" i="28"/>
  <c r="L70" i="28"/>
  <c r="L71" i="28"/>
  <c r="L72" i="28"/>
  <c r="L73" i="28"/>
  <c r="L74" i="28"/>
  <c r="L75" i="28"/>
  <c r="L76" i="28"/>
  <c r="L77" i="28"/>
  <c r="L78" i="28"/>
  <c r="L79" i="28"/>
  <c r="L80" i="28"/>
  <c r="L81" i="28"/>
  <c r="L82" i="28"/>
  <c r="L83" i="28"/>
  <c r="L84" i="28"/>
  <c r="L85" i="28"/>
  <c r="L86" i="28"/>
  <c r="L87" i="28"/>
  <c r="L88" i="28"/>
  <c r="L89" i="28"/>
  <c r="L90" i="28"/>
  <c r="L91" i="28"/>
  <c r="L92" i="28"/>
  <c r="L93" i="28"/>
  <c r="L94" i="28"/>
  <c r="L95" i="28"/>
  <c r="L96" i="28"/>
  <c r="L97" i="28"/>
  <c r="L98" i="28"/>
  <c r="L99" i="28"/>
  <c r="L100" i="28"/>
  <c r="L101" i="28"/>
  <c r="L102" i="28"/>
  <c r="L103" i="28"/>
  <c r="L104" i="28"/>
  <c r="L105" i="28"/>
  <c r="L106" i="28"/>
  <c r="L107" i="28"/>
  <c r="L108" i="28"/>
  <c r="L109" i="28"/>
  <c r="L110" i="28"/>
  <c r="L111" i="28"/>
  <c r="L112" i="28"/>
  <c r="L113" i="28"/>
  <c r="L114" i="28"/>
  <c r="L115" i="28"/>
  <c r="L116" i="28"/>
  <c r="L117" i="28"/>
  <c r="L118" i="28"/>
  <c r="L119" i="28"/>
  <c r="L120" i="28"/>
  <c r="L121" i="28"/>
  <c r="L122" i="28"/>
  <c r="L123" i="28"/>
  <c r="L124" i="28"/>
  <c r="L125" i="28"/>
  <c r="L126" i="28"/>
  <c r="L127" i="28"/>
  <c r="L128" i="28"/>
  <c r="L129" i="28"/>
  <c r="L130" i="28"/>
  <c r="L131" i="28"/>
  <c r="L132" i="28"/>
  <c r="L133" i="28"/>
  <c r="L134" i="28"/>
  <c r="L135" i="28"/>
  <c r="L136" i="28"/>
  <c r="L137" i="28"/>
  <c r="L138" i="28"/>
  <c r="L139" i="28"/>
  <c r="L140" i="28"/>
  <c r="L141" i="28"/>
  <c r="L142" i="28"/>
  <c r="L143" i="28"/>
  <c r="L144" i="28"/>
  <c r="L145" i="28"/>
  <c r="L146" i="28"/>
  <c r="L147" i="28"/>
  <c r="L148" i="28"/>
  <c r="L149" i="28"/>
  <c r="L150" i="28"/>
  <c r="L151" i="28"/>
  <c r="L152" i="28"/>
  <c r="L153" i="28"/>
  <c r="L154" i="28"/>
  <c r="L155" i="28"/>
  <c r="L156" i="28"/>
  <c r="L157" i="28"/>
  <c r="L158" i="28"/>
  <c r="L159" i="28"/>
  <c r="L160" i="28"/>
  <c r="L161" i="28"/>
  <c r="L162" i="28"/>
  <c r="L163" i="28"/>
  <c r="L164" i="28"/>
  <c r="L165" i="28"/>
  <c r="L166" i="28"/>
  <c r="L167" i="28"/>
  <c r="L168" i="28"/>
  <c r="L169" i="28"/>
  <c r="L170" i="28"/>
  <c r="L171" i="28"/>
  <c r="L172" i="28"/>
  <c r="L173" i="28"/>
  <c r="L174" i="28"/>
  <c r="L175" i="28"/>
  <c r="L176" i="28"/>
  <c r="L177" i="28"/>
  <c r="L178" i="28"/>
  <c r="L179" i="28"/>
  <c r="L180" i="28"/>
  <c r="L181" i="28"/>
  <c r="L182" i="28"/>
  <c r="L183" i="28"/>
  <c r="L184" i="28"/>
  <c r="L185" i="28"/>
  <c r="L186" i="28"/>
  <c r="L187" i="28"/>
  <c r="L188" i="28"/>
  <c r="L189" i="28"/>
  <c r="L190" i="28"/>
  <c r="L191" i="28"/>
  <c r="L192" i="28"/>
  <c r="L193" i="28"/>
  <c r="L194" i="28"/>
  <c r="L195" i="28"/>
  <c r="L196" i="28"/>
  <c r="L197" i="28"/>
  <c r="L198" i="28"/>
  <c r="L199" i="28"/>
  <c r="L200" i="28"/>
  <c r="L201" i="28"/>
  <c r="L202" i="28"/>
  <c r="L203" i="28"/>
  <c r="L204" i="28"/>
  <c r="L205" i="28"/>
  <c r="L206" i="28"/>
  <c r="L207" i="28"/>
  <c r="L208" i="28"/>
  <c r="L209" i="28"/>
  <c r="L210" i="28"/>
  <c r="L211" i="28"/>
  <c r="L212" i="28"/>
  <c r="L213" i="28"/>
  <c r="L214" i="28"/>
  <c r="L215" i="28"/>
  <c r="L216" i="28"/>
  <c r="L217" i="28"/>
  <c r="L218" i="28"/>
  <c r="L219" i="28"/>
  <c r="L220" i="28"/>
  <c r="L221" i="28"/>
  <c r="L222" i="28"/>
  <c r="L223" i="28"/>
  <c r="L224" i="28"/>
  <c r="L225" i="28"/>
  <c r="L226" i="28"/>
  <c r="L227" i="28"/>
  <c r="L228" i="28"/>
  <c r="L229" i="28"/>
  <c r="L230" i="28"/>
  <c r="L231" i="28"/>
  <c r="L232" i="28"/>
  <c r="L233" i="28"/>
  <c r="L234" i="28"/>
  <c r="L235" i="28"/>
  <c r="L236" i="28"/>
  <c r="L237" i="28"/>
  <c r="L238" i="28"/>
  <c r="L239" i="28"/>
  <c r="L240" i="28"/>
  <c r="L241" i="28"/>
  <c r="L242" i="28"/>
  <c r="L243" i="28"/>
  <c r="L244" i="28"/>
  <c r="L245" i="28"/>
  <c r="L246" i="28"/>
  <c r="L247" i="28"/>
  <c r="L248" i="28"/>
  <c r="L249" i="28"/>
  <c r="L250" i="28"/>
  <c r="L251" i="28"/>
  <c r="L252" i="28"/>
  <c r="L253" i="28"/>
  <c r="L254" i="28"/>
  <c r="L255" i="28"/>
  <c r="L256" i="28"/>
  <c r="L257" i="28"/>
  <c r="L258" i="28"/>
  <c r="L259" i="28"/>
  <c r="L260" i="28"/>
  <c r="L261" i="28"/>
  <c r="L262" i="28"/>
  <c r="L263" i="28"/>
  <c r="L264" i="28"/>
  <c r="L265" i="28"/>
  <c r="L266" i="28"/>
  <c r="L267" i="28"/>
  <c r="L268" i="28"/>
  <c r="L269" i="28"/>
  <c r="L270" i="28"/>
  <c r="L271" i="28"/>
  <c r="L272" i="28"/>
  <c r="L273" i="28"/>
  <c r="L274" i="28"/>
  <c r="L275" i="28"/>
  <c r="L276" i="28"/>
  <c r="L277" i="28"/>
  <c r="L278" i="28"/>
  <c r="L279" i="28"/>
  <c r="L280" i="28"/>
  <c r="L281" i="28"/>
  <c r="L282" i="28"/>
  <c r="L283" i="28"/>
  <c r="L284" i="28"/>
  <c r="L285" i="28"/>
  <c r="L286" i="28"/>
  <c r="L287" i="28"/>
  <c r="L288" i="28"/>
  <c r="L289" i="28"/>
  <c r="L290" i="28"/>
  <c r="L291" i="28"/>
  <c r="L292" i="28"/>
  <c r="L293" i="28"/>
  <c r="L294" i="28"/>
  <c r="L295" i="28"/>
  <c r="L296" i="28"/>
  <c r="L297" i="28"/>
  <c r="L298" i="28"/>
  <c r="L299" i="28"/>
  <c r="L300" i="28"/>
  <c r="L301" i="28"/>
  <c r="L302" i="28"/>
  <c r="L303" i="28"/>
  <c r="L304" i="28"/>
  <c r="L305" i="28"/>
  <c r="L306" i="28"/>
  <c r="L307" i="28"/>
  <c r="L308" i="28"/>
  <c r="L309" i="28"/>
  <c r="L310" i="28"/>
  <c r="L311" i="28"/>
  <c r="L312" i="28"/>
  <c r="L313" i="28"/>
  <c r="L314" i="28"/>
  <c r="L315" i="28"/>
  <c r="L316" i="28"/>
  <c r="L317" i="28"/>
  <c r="L318" i="28"/>
  <c r="L319" i="28"/>
  <c r="L320" i="28"/>
  <c r="L321" i="28"/>
  <c r="L322" i="28"/>
  <c r="L323" i="28"/>
  <c r="L324" i="28"/>
  <c r="L325" i="28"/>
  <c r="L326" i="28"/>
  <c r="L327" i="28"/>
  <c r="L328" i="28"/>
  <c r="L329" i="28"/>
  <c r="L330" i="28"/>
  <c r="L331" i="28"/>
  <c r="L332" i="28"/>
  <c r="L333" i="28"/>
  <c r="L334" i="28"/>
  <c r="L335" i="28"/>
  <c r="L336" i="28"/>
  <c r="L337" i="28"/>
  <c r="L338" i="28"/>
  <c r="L339" i="28"/>
  <c r="L340" i="28"/>
  <c r="L341" i="28"/>
  <c r="L342" i="28"/>
  <c r="L343" i="28"/>
  <c r="L344" i="28"/>
  <c r="L345" i="28"/>
  <c r="L346" i="28"/>
  <c r="L347" i="28"/>
  <c r="L348" i="28"/>
  <c r="L349" i="28"/>
  <c r="L350" i="28"/>
  <c r="L351" i="28"/>
  <c r="L352" i="28"/>
  <c r="L11" i="28"/>
  <c r="L10" i="28"/>
  <c r="L9" i="28"/>
  <c r="L8" i="28"/>
  <c r="L7" i="28"/>
  <c r="L6" i="28"/>
  <c r="L5" i="28"/>
  <c r="L4" i="28"/>
  <c r="L3" i="28"/>
  <c r="K1" i="28"/>
  <c r="J1" i="28"/>
  <c r="K1" i="29"/>
  <c r="J1" i="29"/>
  <c r="L11" i="29"/>
  <c r="L10" i="29"/>
  <c r="L9" i="29"/>
  <c r="L8" i="29"/>
  <c r="L7" i="29"/>
  <c r="L6" i="29"/>
  <c r="L5" i="29"/>
  <c r="L4" i="29"/>
  <c r="L3" i="29"/>
  <c r="L15" i="29"/>
  <c r="L16" i="29"/>
  <c r="L17" i="29"/>
  <c r="L18" i="29"/>
  <c r="L19" i="29"/>
  <c r="L20" i="29"/>
  <c r="L21" i="29"/>
  <c r="L22" i="29"/>
  <c r="L23" i="29"/>
  <c r="L24" i="29"/>
  <c r="L25" i="29"/>
  <c r="L26" i="29"/>
  <c r="L27" i="29"/>
  <c r="L28" i="29"/>
  <c r="L29" i="29"/>
  <c r="L30" i="29"/>
  <c r="L31" i="29"/>
  <c r="L32" i="29"/>
  <c r="L33" i="29"/>
  <c r="L34" i="29"/>
  <c r="L35" i="29"/>
  <c r="L36" i="29"/>
  <c r="L37" i="29"/>
  <c r="L38" i="29"/>
  <c r="L39" i="29"/>
  <c r="L40" i="29"/>
  <c r="L41" i="29"/>
  <c r="L42" i="29"/>
  <c r="L43" i="29"/>
  <c r="L44" i="29"/>
  <c r="L45" i="29"/>
  <c r="L46" i="29"/>
  <c r="L47" i="29"/>
  <c r="L48" i="29"/>
  <c r="L49" i="29"/>
  <c r="L50" i="29"/>
  <c r="L51" i="29"/>
  <c r="L52" i="29"/>
  <c r="L53" i="29"/>
  <c r="L54" i="29"/>
  <c r="L55" i="29"/>
  <c r="L56" i="29"/>
  <c r="L57" i="29"/>
  <c r="L58" i="29"/>
  <c r="L59" i="29"/>
  <c r="L60" i="29"/>
  <c r="L61" i="29"/>
  <c r="L62" i="29"/>
  <c r="L63" i="29"/>
  <c r="L64" i="29"/>
  <c r="L65" i="29"/>
  <c r="L66" i="29"/>
  <c r="L67" i="29"/>
  <c r="L68" i="29"/>
  <c r="L69" i="29"/>
  <c r="L70" i="29"/>
  <c r="L71" i="29"/>
  <c r="L72" i="29"/>
  <c r="L73" i="29"/>
  <c r="L74" i="29"/>
  <c r="L75" i="29"/>
  <c r="L76" i="29"/>
  <c r="L77" i="29"/>
  <c r="L78" i="29"/>
  <c r="L79" i="29"/>
  <c r="L80" i="29"/>
  <c r="L81" i="29"/>
  <c r="L82" i="29"/>
  <c r="L83" i="29"/>
  <c r="L84" i="29"/>
  <c r="L85" i="29"/>
  <c r="L86" i="29"/>
  <c r="L87" i="29"/>
  <c r="L88" i="29"/>
  <c r="L89" i="29"/>
  <c r="L90" i="29"/>
  <c r="L91" i="29"/>
  <c r="L92" i="29"/>
  <c r="L93" i="29"/>
  <c r="L94" i="29"/>
  <c r="L95" i="29"/>
  <c r="L96" i="29"/>
  <c r="L97" i="29"/>
  <c r="L98" i="29"/>
  <c r="L99" i="29"/>
  <c r="L100" i="29"/>
  <c r="L101" i="29"/>
  <c r="L102" i="29"/>
  <c r="L103" i="29"/>
  <c r="L104" i="29"/>
  <c r="L105" i="29"/>
  <c r="L106" i="29"/>
  <c r="L107" i="29"/>
  <c r="L108" i="29"/>
  <c r="L109" i="29"/>
  <c r="L110" i="29"/>
  <c r="L111" i="29"/>
  <c r="L112" i="29"/>
  <c r="L113" i="29"/>
  <c r="L114" i="29"/>
  <c r="L115" i="29"/>
  <c r="L116" i="29"/>
  <c r="L117" i="29"/>
  <c r="L118" i="29"/>
  <c r="L119" i="29"/>
  <c r="L120" i="29"/>
  <c r="L121" i="29"/>
  <c r="L122" i="29"/>
  <c r="L123" i="29"/>
  <c r="L124" i="29"/>
  <c r="L125" i="29"/>
  <c r="L126" i="29"/>
  <c r="L127" i="29"/>
  <c r="L128" i="29"/>
  <c r="L129" i="29"/>
  <c r="L130" i="29"/>
  <c r="L131" i="29"/>
  <c r="L132" i="29"/>
  <c r="L133" i="29"/>
  <c r="L134" i="29"/>
  <c r="L135" i="29"/>
  <c r="L136" i="29"/>
  <c r="L137" i="29"/>
  <c r="L138" i="29"/>
  <c r="L139" i="29"/>
  <c r="L140" i="29"/>
  <c r="L141" i="29"/>
  <c r="L142" i="29"/>
  <c r="L143" i="29"/>
  <c r="L144" i="29"/>
  <c r="L145" i="29"/>
  <c r="L146" i="29"/>
  <c r="L147" i="29"/>
  <c r="L148" i="29"/>
  <c r="L149" i="29"/>
  <c r="L150" i="29"/>
  <c r="L151" i="29"/>
  <c r="L152" i="29"/>
  <c r="L153" i="29"/>
  <c r="L154" i="29"/>
  <c r="L155" i="29"/>
  <c r="L156" i="29"/>
  <c r="L157" i="29"/>
  <c r="L158" i="29"/>
  <c r="L159" i="29"/>
  <c r="L160" i="29"/>
  <c r="L161" i="29"/>
  <c r="L162" i="29"/>
  <c r="L163" i="29"/>
  <c r="L164" i="29"/>
  <c r="L165" i="29"/>
  <c r="L166" i="29"/>
  <c r="L167" i="29"/>
  <c r="L168" i="29"/>
  <c r="L169" i="29"/>
  <c r="L170" i="29"/>
  <c r="L171" i="29"/>
  <c r="L172" i="29"/>
  <c r="L173" i="29"/>
  <c r="L174" i="29"/>
  <c r="L175" i="29"/>
  <c r="L176" i="29"/>
  <c r="L177" i="29"/>
  <c r="L178" i="29"/>
  <c r="L179" i="29"/>
  <c r="L180" i="29"/>
  <c r="L181" i="29"/>
  <c r="L182" i="29"/>
  <c r="L183" i="29"/>
  <c r="L184" i="29"/>
  <c r="L185" i="29"/>
  <c r="L186" i="29"/>
  <c r="L187" i="29"/>
  <c r="L188" i="29"/>
  <c r="L189" i="29"/>
  <c r="L190" i="29"/>
  <c r="L191" i="29"/>
  <c r="L192" i="29"/>
  <c r="L193" i="29"/>
  <c r="L194" i="29"/>
  <c r="L195" i="29"/>
  <c r="L196" i="29"/>
  <c r="L197" i="29"/>
  <c r="L198" i="29"/>
  <c r="L199" i="29"/>
  <c r="L200" i="29"/>
  <c r="L201" i="29"/>
  <c r="L202" i="29"/>
  <c r="L203" i="29"/>
  <c r="L204" i="29"/>
  <c r="L205" i="29"/>
  <c r="L206" i="29"/>
  <c r="L207" i="29"/>
  <c r="L208" i="29"/>
  <c r="L209" i="29"/>
  <c r="L210" i="29"/>
  <c r="L211" i="29"/>
  <c r="L212" i="29"/>
  <c r="L213" i="29"/>
  <c r="L214" i="29"/>
  <c r="L215" i="29"/>
  <c r="L216" i="29"/>
  <c r="L217" i="29"/>
  <c r="L218" i="29"/>
  <c r="L219" i="29"/>
  <c r="L220" i="29"/>
  <c r="L221" i="29"/>
  <c r="L222" i="29"/>
  <c r="L223" i="29"/>
  <c r="L224" i="29"/>
  <c r="L225" i="29"/>
  <c r="L226" i="29"/>
  <c r="L227" i="29"/>
  <c r="L228" i="29"/>
  <c r="L229" i="29"/>
  <c r="L230" i="29"/>
  <c r="L231" i="29"/>
  <c r="L232" i="29"/>
  <c r="L233" i="29"/>
  <c r="L234" i="29"/>
  <c r="L235" i="29"/>
  <c r="L236" i="29"/>
  <c r="L237" i="29"/>
  <c r="L238" i="29"/>
  <c r="L239" i="29"/>
  <c r="L240" i="29"/>
  <c r="L241" i="29"/>
  <c r="L242" i="29"/>
  <c r="L243" i="29"/>
  <c r="L244" i="29"/>
  <c r="L245" i="29"/>
  <c r="L246" i="29"/>
  <c r="L247" i="29"/>
  <c r="L248" i="29"/>
  <c r="L249" i="29"/>
  <c r="L250" i="29"/>
  <c r="L251" i="29"/>
  <c r="L252" i="29"/>
  <c r="L253" i="29"/>
  <c r="L254" i="29"/>
  <c r="L255" i="29"/>
  <c r="L256" i="29"/>
  <c r="L257" i="29"/>
  <c r="L258" i="29"/>
  <c r="L259" i="29"/>
  <c r="L260" i="29"/>
  <c r="L261" i="29"/>
  <c r="L262" i="29"/>
  <c r="L263" i="29"/>
  <c r="L264" i="29"/>
  <c r="L265" i="29"/>
  <c r="L266" i="29"/>
  <c r="L267" i="29"/>
  <c r="L268" i="29"/>
  <c r="L269" i="29"/>
  <c r="L270" i="29"/>
  <c r="L271" i="29"/>
  <c r="L272" i="29"/>
  <c r="L273" i="29"/>
  <c r="L274" i="29"/>
  <c r="L275" i="29"/>
  <c r="L276" i="29"/>
  <c r="L277" i="29"/>
  <c r="L278" i="29"/>
  <c r="L279" i="29"/>
  <c r="L280" i="29"/>
  <c r="L281" i="29"/>
  <c r="L282" i="29"/>
  <c r="L283" i="29"/>
  <c r="L284" i="29"/>
  <c r="L285" i="29"/>
  <c r="L286" i="29"/>
  <c r="L287" i="29"/>
  <c r="L288" i="29"/>
  <c r="L289" i="29"/>
  <c r="L290" i="29"/>
  <c r="L291" i="29"/>
  <c r="L292" i="29"/>
  <c r="L293" i="29"/>
  <c r="L294" i="29"/>
  <c r="L295" i="29"/>
  <c r="L296" i="29"/>
  <c r="L297" i="29"/>
  <c r="L298" i="29"/>
  <c r="L299" i="29"/>
  <c r="L300" i="29"/>
  <c r="L301" i="29"/>
  <c r="L302" i="29"/>
  <c r="L303" i="29"/>
  <c r="L304" i="29"/>
  <c r="L305" i="29"/>
  <c r="L306" i="29"/>
  <c r="L307" i="29"/>
  <c r="L308" i="29"/>
  <c r="L309" i="29"/>
  <c r="L310" i="29"/>
  <c r="L311" i="29"/>
  <c r="L312" i="29"/>
  <c r="L313" i="29"/>
  <c r="L314" i="29"/>
  <c r="L315" i="29"/>
  <c r="L316" i="29"/>
  <c r="L317" i="29"/>
  <c r="L318" i="29"/>
  <c r="L319" i="29"/>
  <c r="L320" i="29"/>
  <c r="L321" i="29"/>
  <c r="L322" i="29"/>
  <c r="L323" i="29"/>
  <c r="L324" i="29"/>
  <c r="L325" i="29"/>
  <c r="L326" i="29"/>
  <c r="L327" i="29"/>
  <c r="L328" i="29"/>
  <c r="L329" i="29"/>
  <c r="L330" i="29"/>
  <c r="L331" i="29"/>
  <c r="L332" i="29"/>
  <c r="L333" i="29"/>
  <c r="L334" i="29"/>
  <c r="L335" i="29"/>
  <c r="L336" i="29"/>
  <c r="L337" i="29"/>
  <c r="L338" i="29"/>
  <c r="L339" i="29"/>
  <c r="L340" i="29"/>
  <c r="L341" i="29"/>
  <c r="L342" i="29"/>
  <c r="L343" i="29"/>
  <c r="L344" i="29"/>
  <c r="L345" i="29"/>
  <c r="L346" i="29"/>
  <c r="L347" i="29"/>
  <c r="L348" i="29"/>
  <c r="L349" i="29"/>
  <c r="L350" i="29"/>
  <c r="L351" i="29"/>
  <c r="L352" i="29"/>
  <c r="L353" i="29"/>
  <c r="L354" i="29"/>
  <c r="P23" i="29"/>
  <c r="S22" i="29"/>
  <c r="P20" i="29"/>
  <c r="C20" i="29"/>
  <c r="S19" i="29"/>
  <c r="P19" i="29"/>
  <c r="F19" i="29"/>
  <c r="C19" i="29"/>
  <c r="S18" i="29"/>
  <c r="P18" i="29"/>
  <c r="F18" i="29"/>
  <c r="C18" i="29"/>
  <c r="S17" i="29"/>
  <c r="P17" i="29"/>
  <c r="F17" i="29"/>
  <c r="C17" i="29"/>
  <c r="S16" i="29"/>
  <c r="P16" i="29"/>
  <c r="F16" i="29"/>
  <c r="C16" i="29"/>
  <c r="S15" i="29"/>
  <c r="P15" i="29"/>
  <c r="F15" i="29"/>
  <c r="C15" i="29"/>
  <c r="K13" i="29"/>
  <c r="J13" i="29"/>
  <c r="P21" i="28"/>
  <c r="S20" i="28"/>
  <c r="P18" i="28"/>
  <c r="C18" i="28"/>
  <c r="S17" i="28"/>
  <c r="P17" i="28"/>
  <c r="F17" i="28"/>
  <c r="C17" i="28"/>
  <c r="S16" i="28"/>
  <c r="P16" i="28"/>
  <c r="F16" i="28"/>
  <c r="C16" i="28"/>
  <c r="S15" i="28"/>
  <c r="P15" i="28"/>
  <c r="F15" i="28"/>
  <c r="C15" i="28"/>
  <c r="S14" i="28"/>
  <c r="P14" i="28"/>
  <c r="F14" i="28"/>
  <c r="C14" i="28"/>
  <c r="S13" i="28"/>
  <c r="P13" i="28"/>
  <c r="F13" i="28"/>
  <c r="C13" i="28"/>
  <c r="N11" i="27"/>
  <c r="Q10" i="27"/>
  <c r="N8" i="27"/>
  <c r="C8" i="27"/>
  <c r="Q7" i="27"/>
  <c r="N7" i="27"/>
  <c r="F7" i="27"/>
  <c r="C7" i="27"/>
  <c r="Q6" i="27"/>
  <c r="N6" i="27"/>
  <c r="F6" i="27"/>
  <c r="C6" i="27"/>
  <c r="Q5" i="27"/>
  <c r="N5" i="27"/>
  <c r="F5" i="27"/>
  <c r="C5" i="27"/>
  <c r="Q4" i="27"/>
  <c r="N4" i="27"/>
  <c r="F4" i="27"/>
  <c r="C4" i="27"/>
  <c r="Q3" i="27"/>
  <c r="N3" i="27"/>
  <c r="F3" i="27"/>
  <c r="C3" i="27"/>
  <c r="J1" i="27"/>
  <c r="I1" i="27"/>
  <c r="N11" i="26"/>
  <c r="Q10" i="26"/>
  <c r="N8" i="26"/>
  <c r="C8" i="26"/>
  <c r="Q7" i="26"/>
  <c r="N7" i="26"/>
  <c r="F7" i="26"/>
  <c r="C7" i="26"/>
  <c r="Q6" i="26"/>
  <c r="N6" i="26"/>
  <c r="F6" i="26"/>
  <c r="C6" i="26"/>
  <c r="Q5" i="26"/>
  <c r="N5" i="26"/>
  <c r="F5" i="26"/>
  <c r="C5" i="26"/>
  <c r="Q4" i="26"/>
  <c r="N4" i="26"/>
  <c r="F4" i="26"/>
  <c r="C4" i="26"/>
  <c r="Q3" i="26"/>
  <c r="N3" i="26"/>
  <c r="F3" i="26"/>
  <c r="C3" i="26"/>
  <c r="J1" i="26"/>
  <c r="I1" i="26"/>
  <c r="N11" i="25"/>
  <c r="Q10" i="25"/>
  <c r="N8" i="25"/>
  <c r="C8" i="25"/>
  <c r="Q7" i="25"/>
  <c r="N7" i="25"/>
  <c r="F7" i="25"/>
  <c r="C7" i="25"/>
  <c r="Q6" i="25"/>
  <c r="N6" i="25"/>
  <c r="F6" i="25"/>
  <c r="C6" i="25"/>
  <c r="Q5" i="25"/>
  <c r="N5" i="25"/>
  <c r="F5" i="25"/>
  <c r="C5" i="25"/>
  <c r="Q4" i="25"/>
  <c r="N4" i="25"/>
  <c r="F4" i="25"/>
  <c r="C4" i="25"/>
  <c r="Q3" i="25"/>
  <c r="N3" i="25"/>
  <c r="F3" i="25"/>
  <c r="C3" i="25"/>
  <c r="J1" i="25"/>
  <c r="I1" i="25"/>
  <c r="I30" i="24"/>
  <c r="Q10" i="24" s="1"/>
  <c r="N11" i="24"/>
  <c r="N8" i="24"/>
  <c r="C8" i="24"/>
  <c r="Q7" i="24"/>
  <c r="N7" i="24"/>
  <c r="F7" i="24"/>
  <c r="C7" i="24"/>
  <c r="Q6" i="24"/>
  <c r="N6" i="24"/>
  <c r="F6" i="24"/>
  <c r="C6" i="24"/>
  <c r="Q5" i="24"/>
  <c r="N5" i="24"/>
  <c r="F5" i="24"/>
  <c r="C5" i="24"/>
  <c r="Q4" i="24"/>
  <c r="N4" i="24"/>
  <c r="F4" i="24"/>
  <c r="C4" i="24"/>
  <c r="Q3" i="24"/>
  <c r="N3" i="24"/>
  <c r="F3" i="24"/>
  <c r="C3" i="24"/>
  <c r="J1" i="24"/>
  <c r="Q7" i="23"/>
  <c r="N11" i="23"/>
  <c r="Q10" i="23"/>
  <c r="N8" i="23"/>
  <c r="C8" i="23"/>
  <c r="N7" i="23"/>
  <c r="F7" i="23"/>
  <c r="C7" i="23"/>
  <c r="Q6" i="23"/>
  <c r="N6" i="23"/>
  <c r="F6" i="23"/>
  <c r="C6" i="23"/>
  <c r="Q5" i="23"/>
  <c r="N5" i="23"/>
  <c r="F5" i="23"/>
  <c r="C5" i="23"/>
  <c r="Q4" i="23"/>
  <c r="N4" i="23"/>
  <c r="F4" i="23"/>
  <c r="C4" i="23"/>
  <c r="Q3" i="23"/>
  <c r="N3" i="23"/>
  <c r="F3" i="23"/>
  <c r="C3" i="23"/>
  <c r="J1" i="23"/>
  <c r="I1" i="23"/>
  <c r="N11" i="21"/>
  <c r="Q10" i="21"/>
  <c r="N8" i="21"/>
  <c r="C8" i="21"/>
  <c r="Q7" i="21"/>
  <c r="N7" i="21"/>
  <c r="F7" i="21"/>
  <c r="C7" i="21"/>
  <c r="Q6" i="21"/>
  <c r="N6" i="21"/>
  <c r="F6" i="21"/>
  <c r="C6" i="21"/>
  <c r="Q5" i="21"/>
  <c r="N5" i="21"/>
  <c r="F5" i="21"/>
  <c r="C5" i="21"/>
  <c r="Q4" i="21"/>
  <c r="N4" i="21"/>
  <c r="F4" i="21"/>
  <c r="C4" i="21"/>
  <c r="Q3" i="21"/>
  <c r="N3" i="21"/>
  <c r="F3" i="21"/>
  <c r="C3" i="21"/>
  <c r="J1" i="21"/>
  <c r="I1" i="21"/>
  <c r="N11" i="20"/>
  <c r="Q10" i="20"/>
  <c r="N8" i="20"/>
  <c r="C8" i="20"/>
  <c r="Q7" i="20"/>
  <c r="N7" i="20"/>
  <c r="F7" i="20"/>
  <c r="C7" i="20"/>
  <c r="Q6" i="20"/>
  <c r="N6" i="20"/>
  <c r="F6" i="20"/>
  <c r="C6" i="20"/>
  <c r="Q5" i="20"/>
  <c r="N5" i="20"/>
  <c r="F5" i="20"/>
  <c r="C5" i="20"/>
  <c r="Q4" i="20"/>
  <c r="N4" i="20"/>
  <c r="F4" i="20"/>
  <c r="C4" i="20"/>
  <c r="Q3" i="20"/>
  <c r="N3" i="20"/>
  <c r="F3" i="20"/>
  <c r="C3" i="20"/>
  <c r="J1" i="20"/>
  <c r="I1" i="20"/>
  <c r="N11" i="19"/>
  <c r="Q10" i="19"/>
  <c r="N8" i="19"/>
  <c r="C8" i="19"/>
  <c r="Q7" i="19"/>
  <c r="N7" i="19"/>
  <c r="F7" i="19"/>
  <c r="C7" i="19"/>
  <c r="Q6" i="19"/>
  <c r="N6" i="19"/>
  <c r="F6" i="19"/>
  <c r="C6" i="19"/>
  <c r="Q5" i="19"/>
  <c r="N5" i="19"/>
  <c r="F5" i="19"/>
  <c r="C5" i="19"/>
  <c r="Q4" i="19"/>
  <c r="N4" i="19"/>
  <c r="F4" i="19"/>
  <c r="C4" i="19"/>
  <c r="Q3" i="19"/>
  <c r="N3" i="19"/>
  <c r="F3" i="19"/>
  <c r="C3" i="19"/>
  <c r="J1" i="19"/>
  <c r="I1" i="19"/>
  <c r="N11" i="17"/>
  <c r="Q10" i="17"/>
  <c r="N8" i="17"/>
  <c r="C8" i="17"/>
  <c r="Q7" i="17"/>
  <c r="N7" i="17"/>
  <c r="F7" i="17"/>
  <c r="C7" i="17"/>
  <c r="Q6" i="17"/>
  <c r="N6" i="17"/>
  <c r="F6" i="17"/>
  <c r="C6" i="17"/>
  <c r="Q5" i="17"/>
  <c r="N5" i="17"/>
  <c r="F5" i="17"/>
  <c r="C5" i="17"/>
  <c r="Q4" i="17"/>
  <c r="N4" i="17"/>
  <c r="F4" i="17"/>
  <c r="C4" i="17"/>
  <c r="Q3" i="17"/>
  <c r="N3" i="17"/>
  <c r="F3" i="17"/>
  <c r="C3" i="17"/>
  <c r="J1" i="17"/>
  <c r="I1" i="17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2" i="15"/>
  <c r="K83" i="15"/>
  <c r="K84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97" i="15"/>
  <c r="K98" i="15"/>
  <c r="K99" i="15"/>
  <c r="K100" i="15"/>
  <c r="K101" i="15"/>
  <c r="K102" i="15"/>
  <c r="K103" i="15"/>
  <c r="K104" i="15"/>
  <c r="K105" i="15"/>
  <c r="K106" i="15"/>
  <c r="K107" i="15"/>
  <c r="K108" i="15"/>
  <c r="K109" i="15"/>
  <c r="K110" i="15"/>
  <c r="K111" i="15"/>
  <c r="K112" i="15"/>
  <c r="K113" i="15"/>
  <c r="K114" i="15"/>
  <c r="K115" i="15"/>
  <c r="K116" i="15"/>
  <c r="K117" i="15"/>
  <c r="K118" i="15"/>
  <c r="K119" i="15"/>
  <c r="K120" i="15"/>
  <c r="K121" i="15"/>
  <c r="K122" i="15"/>
  <c r="K123" i="15"/>
  <c r="K124" i="15"/>
  <c r="K125" i="15"/>
  <c r="K126" i="15"/>
  <c r="K127" i="15"/>
  <c r="K128" i="15"/>
  <c r="K129" i="15"/>
  <c r="K130" i="15"/>
  <c r="K131" i="15"/>
  <c r="K132" i="15"/>
  <c r="K133" i="15"/>
  <c r="K134" i="15"/>
  <c r="K135" i="15"/>
  <c r="K136" i="15"/>
  <c r="K137" i="15"/>
  <c r="K138" i="15"/>
  <c r="K139" i="15"/>
  <c r="K140" i="15"/>
  <c r="K141" i="15"/>
  <c r="K142" i="15"/>
  <c r="K143" i="15"/>
  <c r="K144" i="15"/>
  <c r="K145" i="15"/>
  <c r="K146" i="15"/>
  <c r="K147" i="15"/>
  <c r="K148" i="15"/>
  <c r="K149" i="15"/>
  <c r="K150" i="15"/>
  <c r="K151" i="15"/>
  <c r="K152" i="15"/>
  <c r="K153" i="15"/>
  <c r="K154" i="15"/>
  <c r="K155" i="15"/>
  <c r="K156" i="15"/>
  <c r="K157" i="15"/>
  <c r="K158" i="15"/>
  <c r="K159" i="15"/>
  <c r="K160" i="15"/>
  <c r="K161" i="15"/>
  <c r="K162" i="15"/>
  <c r="K163" i="15"/>
  <c r="K164" i="15"/>
  <c r="K165" i="15"/>
  <c r="K166" i="15"/>
  <c r="K167" i="15"/>
  <c r="K168" i="15"/>
  <c r="K169" i="15"/>
  <c r="K170" i="15"/>
  <c r="K171" i="15"/>
  <c r="K172" i="15"/>
  <c r="K173" i="15"/>
  <c r="K174" i="15"/>
  <c r="K175" i="15"/>
  <c r="K176" i="15"/>
  <c r="K177" i="15"/>
  <c r="K178" i="15"/>
  <c r="K179" i="15"/>
  <c r="K180" i="15"/>
  <c r="K181" i="15"/>
  <c r="K182" i="15"/>
  <c r="K183" i="15"/>
  <c r="K184" i="15"/>
  <c r="K185" i="15"/>
  <c r="K186" i="15"/>
  <c r="K187" i="15"/>
  <c r="K188" i="15"/>
  <c r="K189" i="15"/>
  <c r="K190" i="15"/>
  <c r="K191" i="15"/>
  <c r="K192" i="15"/>
  <c r="K193" i="15"/>
  <c r="K194" i="15"/>
  <c r="K195" i="15"/>
  <c r="K196" i="15"/>
  <c r="K197" i="15"/>
  <c r="K198" i="15"/>
  <c r="K199" i="15"/>
  <c r="K200" i="15"/>
  <c r="K201" i="15"/>
  <c r="K202" i="15"/>
  <c r="K203" i="15"/>
  <c r="K204" i="15"/>
  <c r="K205" i="15"/>
  <c r="K206" i="15"/>
  <c r="K207" i="15"/>
  <c r="K208" i="15"/>
  <c r="K209" i="15"/>
  <c r="K210" i="15"/>
  <c r="K211" i="15"/>
  <c r="K212" i="15"/>
  <c r="K213" i="15"/>
  <c r="K214" i="15"/>
  <c r="K215" i="15"/>
  <c r="K216" i="15"/>
  <c r="K217" i="15"/>
  <c r="K218" i="15"/>
  <c r="K219" i="15"/>
  <c r="K220" i="15"/>
  <c r="K221" i="15"/>
  <c r="K222" i="15"/>
  <c r="K223" i="15"/>
  <c r="K224" i="15"/>
  <c r="K225" i="15"/>
  <c r="K226" i="15"/>
  <c r="K227" i="15"/>
  <c r="K228" i="15"/>
  <c r="K229" i="15"/>
  <c r="K230" i="15"/>
  <c r="K231" i="15"/>
  <c r="K232" i="15"/>
  <c r="K233" i="15"/>
  <c r="K234" i="15"/>
  <c r="K235" i="15"/>
  <c r="K236" i="15"/>
  <c r="K237" i="15"/>
  <c r="K238" i="15"/>
  <c r="K239" i="15"/>
  <c r="K240" i="15"/>
  <c r="K241" i="15"/>
  <c r="K242" i="15"/>
  <c r="K243" i="15"/>
  <c r="K244" i="15"/>
  <c r="K245" i="15"/>
  <c r="K246" i="15"/>
  <c r="K247" i="15"/>
  <c r="K248" i="15"/>
  <c r="K249" i="15"/>
  <c r="K250" i="15"/>
  <c r="K251" i="15"/>
  <c r="K252" i="15"/>
  <c r="K253" i="15"/>
  <c r="K254" i="15"/>
  <c r="K255" i="15"/>
  <c r="K256" i="15"/>
  <c r="K257" i="15"/>
  <c r="K258" i="15"/>
  <c r="K259" i="15"/>
  <c r="K260" i="15"/>
  <c r="K261" i="15"/>
  <c r="K262" i="15"/>
  <c r="K263" i="15"/>
  <c r="K264" i="15"/>
  <c r="K265" i="15"/>
  <c r="K266" i="15"/>
  <c r="K267" i="15"/>
  <c r="K268" i="15"/>
  <c r="K269" i="15"/>
  <c r="K270" i="15"/>
  <c r="K271" i="15"/>
  <c r="K272" i="15"/>
  <c r="K273" i="15"/>
  <c r="K274" i="15"/>
  <c r="K275" i="15"/>
  <c r="K276" i="15"/>
  <c r="K277" i="15"/>
  <c r="K278" i="15"/>
  <c r="K279" i="15"/>
  <c r="K280" i="15"/>
  <c r="K281" i="15"/>
  <c r="K282" i="15"/>
  <c r="K283" i="15"/>
  <c r="K284" i="15"/>
  <c r="K285" i="15"/>
  <c r="K286" i="15"/>
  <c r="K287" i="15"/>
  <c r="K288" i="15"/>
  <c r="K289" i="15"/>
  <c r="K290" i="15"/>
  <c r="K291" i="15"/>
  <c r="K292" i="15"/>
  <c r="K293" i="15"/>
  <c r="K294" i="15"/>
  <c r="K295" i="15"/>
  <c r="K296" i="15"/>
  <c r="K297" i="15"/>
  <c r="K298" i="15"/>
  <c r="K299" i="15"/>
  <c r="K300" i="15"/>
  <c r="K301" i="15"/>
  <c r="K302" i="15"/>
  <c r="K303" i="15"/>
  <c r="K304" i="15"/>
  <c r="K305" i="15"/>
  <c r="K306" i="15"/>
  <c r="K307" i="15"/>
  <c r="K308" i="15"/>
  <c r="K309" i="15"/>
  <c r="K310" i="15"/>
  <c r="K311" i="15"/>
  <c r="K312" i="15"/>
  <c r="K313" i="15"/>
  <c r="K314" i="15"/>
  <c r="K315" i="15"/>
  <c r="K316" i="15"/>
  <c r="K317" i="15"/>
  <c r="K318" i="15"/>
  <c r="K319" i="15"/>
  <c r="K320" i="15"/>
  <c r="K321" i="15"/>
  <c r="K322" i="15"/>
  <c r="K323" i="15"/>
  <c r="K324" i="15"/>
  <c r="K325" i="15"/>
  <c r="K326" i="15"/>
  <c r="K327" i="15"/>
  <c r="K328" i="15"/>
  <c r="K329" i="15"/>
  <c r="K330" i="15"/>
  <c r="K331" i="15"/>
  <c r="K332" i="15"/>
  <c r="K333" i="15"/>
  <c r="K334" i="15"/>
  <c r="K335" i="15"/>
  <c r="K336" i="15"/>
  <c r="K337" i="15"/>
  <c r="K338" i="15"/>
  <c r="K339" i="15"/>
  <c r="K340" i="15"/>
  <c r="K341" i="15"/>
  <c r="K342" i="15"/>
  <c r="N11" i="16"/>
  <c r="Q10" i="16"/>
  <c r="N8" i="16"/>
  <c r="C8" i="16"/>
  <c r="Q7" i="16"/>
  <c r="N7" i="16"/>
  <c r="F7" i="16"/>
  <c r="C7" i="16"/>
  <c r="Q6" i="16"/>
  <c r="N6" i="16"/>
  <c r="F6" i="16"/>
  <c r="C6" i="16"/>
  <c r="Q5" i="16"/>
  <c r="N5" i="16"/>
  <c r="F5" i="16"/>
  <c r="C5" i="16"/>
  <c r="Q4" i="16"/>
  <c r="N4" i="16"/>
  <c r="F4" i="16"/>
  <c r="C4" i="16"/>
  <c r="Q3" i="16"/>
  <c r="N3" i="16"/>
  <c r="F3" i="16"/>
  <c r="C3" i="16"/>
  <c r="J1" i="16"/>
  <c r="I1" i="16"/>
  <c r="O11" i="15"/>
  <c r="R10" i="15"/>
  <c r="O8" i="15"/>
  <c r="C8" i="15"/>
  <c r="R7" i="15"/>
  <c r="O7" i="15"/>
  <c r="F7" i="15"/>
  <c r="C7" i="15"/>
  <c r="R6" i="15"/>
  <c r="O6" i="15"/>
  <c r="F6" i="15"/>
  <c r="C6" i="15"/>
  <c r="R5" i="15"/>
  <c r="O5" i="15"/>
  <c r="F5" i="15"/>
  <c r="C5" i="15"/>
  <c r="R4" i="15"/>
  <c r="O4" i="15"/>
  <c r="F4" i="15"/>
  <c r="C4" i="15"/>
  <c r="R3" i="15"/>
  <c r="O3" i="15"/>
  <c r="F3" i="15"/>
  <c r="C3" i="15"/>
  <c r="J1" i="15"/>
  <c r="I1" i="15"/>
  <c r="J1" i="13"/>
  <c r="I1" i="13"/>
  <c r="J9" i="11"/>
  <c r="N11" i="11" s="1"/>
  <c r="N11" i="13"/>
  <c r="Q10" i="13"/>
  <c r="N8" i="13"/>
  <c r="C8" i="13"/>
  <c r="Q7" i="13"/>
  <c r="N7" i="13"/>
  <c r="F7" i="13"/>
  <c r="C7" i="13"/>
  <c r="Q6" i="13"/>
  <c r="N6" i="13"/>
  <c r="F6" i="13"/>
  <c r="C6" i="13"/>
  <c r="Q5" i="13"/>
  <c r="N5" i="13"/>
  <c r="F5" i="13"/>
  <c r="C5" i="13"/>
  <c r="Q4" i="13"/>
  <c r="N4" i="13"/>
  <c r="F4" i="13"/>
  <c r="C4" i="13"/>
  <c r="Q3" i="13"/>
  <c r="N3" i="13"/>
  <c r="F3" i="13"/>
  <c r="C3" i="13"/>
  <c r="N11" i="12"/>
  <c r="Q10" i="12"/>
  <c r="N8" i="12"/>
  <c r="C8" i="12"/>
  <c r="Q7" i="12"/>
  <c r="N7" i="12"/>
  <c r="F7" i="12"/>
  <c r="C7" i="12"/>
  <c r="Q6" i="12"/>
  <c r="N6" i="12"/>
  <c r="F6" i="12"/>
  <c r="C6" i="12"/>
  <c r="Q5" i="12"/>
  <c r="N5" i="12"/>
  <c r="F5" i="12"/>
  <c r="C5" i="12"/>
  <c r="Q4" i="12"/>
  <c r="N4" i="12"/>
  <c r="F4" i="12"/>
  <c r="C4" i="12"/>
  <c r="Q3" i="12"/>
  <c r="N3" i="12"/>
  <c r="F3" i="12"/>
  <c r="C3" i="12"/>
  <c r="Q10" i="11"/>
  <c r="N8" i="11"/>
  <c r="C8" i="11"/>
  <c r="Q7" i="11"/>
  <c r="N7" i="11"/>
  <c r="F7" i="11"/>
  <c r="C7" i="11"/>
  <c r="Q6" i="11"/>
  <c r="N6" i="11"/>
  <c r="F6" i="11"/>
  <c r="C6" i="11"/>
  <c r="Q5" i="11"/>
  <c r="N5" i="11"/>
  <c r="F5" i="11"/>
  <c r="C5" i="11"/>
  <c r="Q4" i="11"/>
  <c r="N4" i="11"/>
  <c r="F4" i="11"/>
  <c r="C4" i="11"/>
  <c r="Q3" i="11"/>
  <c r="N3" i="11"/>
  <c r="F3" i="11"/>
  <c r="C3" i="11"/>
  <c r="N11" i="4"/>
  <c r="Q10" i="4"/>
  <c r="N8" i="4"/>
  <c r="C8" i="4"/>
  <c r="Q7" i="4"/>
  <c r="N7" i="4"/>
  <c r="F7" i="4"/>
  <c r="C7" i="4"/>
  <c r="Q6" i="4"/>
  <c r="N6" i="4"/>
  <c r="F6" i="4"/>
  <c r="C6" i="4"/>
  <c r="Q5" i="4"/>
  <c r="N5" i="4"/>
  <c r="F5" i="4"/>
  <c r="C5" i="4"/>
  <c r="Q4" i="4"/>
  <c r="N4" i="4"/>
  <c r="F4" i="4"/>
  <c r="C4" i="4"/>
  <c r="Q3" i="4"/>
  <c r="N3" i="4"/>
  <c r="F3" i="4"/>
  <c r="C3" i="4"/>
  <c r="N11" i="10"/>
  <c r="Q10" i="10"/>
  <c r="N8" i="10"/>
  <c r="C8" i="10"/>
  <c r="Q7" i="10"/>
  <c r="N7" i="10"/>
  <c r="F7" i="10"/>
  <c r="C7" i="10"/>
  <c r="Q6" i="10"/>
  <c r="N6" i="10"/>
  <c r="F6" i="10"/>
  <c r="C6" i="10"/>
  <c r="Q5" i="10"/>
  <c r="N5" i="10"/>
  <c r="F5" i="10"/>
  <c r="C5" i="10"/>
  <c r="Q4" i="10"/>
  <c r="N4" i="10"/>
  <c r="F4" i="10"/>
  <c r="C4" i="10"/>
  <c r="Q3" i="10"/>
  <c r="N3" i="10"/>
  <c r="F3" i="10"/>
  <c r="C3" i="10"/>
  <c r="N11" i="9"/>
  <c r="Q10" i="9"/>
  <c r="N8" i="9"/>
  <c r="C8" i="9"/>
  <c r="Q7" i="9"/>
  <c r="N7" i="9"/>
  <c r="F7" i="9"/>
  <c r="C7" i="9"/>
  <c r="Q6" i="9"/>
  <c r="N6" i="9"/>
  <c r="F6" i="9"/>
  <c r="C6" i="9"/>
  <c r="Q5" i="9"/>
  <c r="N5" i="9"/>
  <c r="F5" i="9"/>
  <c r="C5" i="9"/>
  <c r="Q4" i="9"/>
  <c r="N4" i="9"/>
  <c r="F4" i="9"/>
  <c r="C4" i="9"/>
  <c r="Q3" i="9"/>
  <c r="N3" i="9"/>
  <c r="F3" i="9"/>
  <c r="C3" i="9"/>
  <c r="N11" i="8"/>
  <c r="Q10" i="8"/>
  <c r="N8" i="8"/>
  <c r="C8" i="8"/>
  <c r="Q7" i="8"/>
  <c r="N7" i="8"/>
  <c r="F7" i="8"/>
  <c r="C7" i="8"/>
  <c r="Q6" i="8"/>
  <c r="N6" i="8"/>
  <c r="F6" i="8"/>
  <c r="C6" i="8"/>
  <c r="Q5" i="8"/>
  <c r="N5" i="8"/>
  <c r="F5" i="8"/>
  <c r="C5" i="8"/>
  <c r="Q4" i="8"/>
  <c r="N4" i="8"/>
  <c r="F4" i="8"/>
  <c r="C4" i="8"/>
  <c r="Q3" i="8"/>
  <c r="N3" i="8"/>
  <c r="F3" i="8"/>
  <c r="C3" i="8"/>
  <c r="N11" i="7"/>
  <c r="Q10" i="7"/>
  <c r="N8" i="7"/>
  <c r="C8" i="7"/>
  <c r="Q7" i="7"/>
  <c r="N7" i="7"/>
  <c r="F7" i="7"/>
  <c r="C7" i="7"/>
  <c r="Q6" i="7"/>
  <c r="N6" i="7"/>
  <c r="F6" i="7"/>
  <c r="C6" i="7"/>
  <c r="Q5" i="7"/>
  <c r="N5" i="7"/>
  <c r="F5" i="7"/>
  <c r="C5" i="7"/>
  <c r="Q4" i="7"/>
  <c r="N4" i="7"/>
  <c r="F4" i="7"/>
  <c r="C4" i="7"/>
  <c r="Q3" i="7"/>
  <c r="N3" i="7"/>
  <c r="F3" i="7"/>
  <c r="C3" i="7"/>
  <c r="N11" i="6"/>
  <c r="Q10" i="6"/>
  <c r="N8" i="6"/>
  <c r="C8" i="6"/>
  <c r="Q7" i="6"/>
  <c r="N7" i="6"/>
  <c r="F7" i="6"/>
  <c r="C7" i="6"/>
  <c r="Q6" i="6"/>
  <c r="N6" i="6"/>
  <c r="F6" i="6"/>
  <c r="C6" i="6"/>
  <c r="Q5" i="6"/>
  <c r="N5" i="6"/>
  <c r="F5" i="6"/>
  <c r="C5" i="6"/>
  <c r="Q4" i="6"/>
  <c r="N4" i="6"/>
  <c r="F4" i="6"/>
  <c r="C4" i="6"/>
  <c r="Q3" i="6"/>
  <c r="N3" i="6"/>
  <c r="F3" i="6"/>
  <c r="C3" i="6"/>
  <c r="T1" i="2"/>
  <c r="AB10" i="2" s="1"/>
  <c r="U1" i="2"/>
  <c r="Y11" i="2" s="1"/>
  <c r="Y8" i="2"/>
  <c r="AB7" i="2"/>
  <c r="Y7" i="2"/>
  <c r="AB6" i="2"/>
  <c r="Y6" i="2"/>
  <c r="AB5" i="2"/>
  <c r="Y5" i="2"/>
  <c r="AB4" i="2"/>
  <c r="Y4" i="2"/>
  <c r="AB3" i="2"/>
  <c r="Y3" i="2"/>
  <c r="N11" i="5"/>
  <c r="Q10" i="5"/>
  <c r="N8" i="5"/>
  <c r="C8" i="5"/>
  <c r="Q7" i="5"/>
  <c r="N7" i="5"/>
  <c r="F7" i="5"/>
  <c r="C7" i="5"/>
  <c r="Q6" i="5"/>
  <c r="N6" i="5"/>
  <c r="F6" i="5"/>
  <c r="C6" i="5"/>
  <c r="Q5" i="5"/>
  <c r="N5" i="5"/>
  <c r="F5" i="5"/>
  <c r="C5" i="5"/>
  <c r="Q4" i="5"/>
  <c r="N4" i="5"/>
  <c r="F4" i="5"/>
  <c r="C4" i="5"/>
  <c r="Q3" i="5"/>
  <c r="N3" i="5"/>
  <c r="F3" i="5"/>
  <c r="C3" i="5"/>
  <c r="P7" i="2"/>
  <c r="Q7" i="2" s="1"/>
  <c r="N11" i="2"/>
  <c r="Q10" i="2"/>
  <c r="N8" i="2"/>
  <c r="N7" i="2"/>
  <c r="Q6" i="2"/>
  <c r="N6" i="2"/>
  <c r="Q5" i="2"/>
  <c r="N5" i="2"/>
  <c r="Q4" i="2"/>
  <c r="N4" i="2"/>
  <c r="Q3" i="2"/>
  <c r="N3" i="2"/>
  <c r="C8" i="2"/>
  <c r="F7" i="2"/>
  <c r="C7" i="2"/>
  <c r="F6" i="2"/>
  <c r="C6" i="2"/>
  <c r="F5" i="2"/>
  <c r="C5" i="2"/>
  <c r="F4" i="2"/>
  <c r="C4" i="2"/>
  <c r="F3" i="2"/>
  <c r="C3" i="2"/>
  <c r="B23" i="30"/>
  <c r="B20" i="30"/>
  <c r="C13" i="30"/>
  <c r="D16" i="30"/>
  <c r="D15" i="30"/>
  <c r="F22" i="34"/>
  <c r="D11" i="30"/>
  <c r="D5" i="30"/>
  <c r="F29" i="38"/>
  <c r="D32" i="30"/>
  <c r="B5" i="30"/>
  <c r="D28" i="30"/>
  <c r="B10" i="30"/>
  <c r="D10" i="30"/>
  <c r="D21" i="30"/>
  <c r="F29" i="36"/>
  <c r="D23" i="30"/>
  <c r="B6" i="30"/>
  <c r="C25" i="30"/>
  <c r="F26" i="33"/>
  <c r="C30" i="38"/>
  <c r="B15" i="30"/>
  <c r="D17" i="30"/>
  <c r="B4" i="30"/>
  <c r="D19" i="30"/>
  <c r="B25" i="30"/>
  <c r="C29" i="30"/>
  <c r="B17" i="30"/>
  <c r="D12" i="30"/>
  <c r="C30" i="35"/>
  <c r="C24" i="30"/>
  <c r="D3" i="30"/>
  <c r="D24" i="30"/>
  <c r="D25" i="30"/>
  <c r="F22" i="32"/>
  <c r="B30" i="30"/>
  <c r="D30" i="30"/>
  <c r="C14" i="30"/>
  <c r="C23" i="34"/>
  <c r="B7" i="30"/>
  <c r="B9" i="30"/>
  <c r="B31" i="30"/>
  <c r="B32" i="30"/>
  <c r="D4" i="30"/>
  <c r="D31" i="30"/>
  <c r="C27" i="30"/>
  <c r="C27" i="33"/>
  <c r="C30" i="37"/>
  <c r="C20" i="30"/>
  <c r="B16" i="30"/>
  <c r="C10" i="30"/>
  <c r="D20" i="30"/>
  <c r="C8" i="30"/>
  <c r="D29" i="30"/>
  <c r="D26" i="30"/>
  <c r="C23" i="32"/>
  <c r="C26" i="30"/>
  <c r="C31" i="30"/>
  <c r="D22" i="30"/>
  <c r="B29" i="30"/>
  <c r="C32" i="30"/>
  <c r="C23" i="30"/>
  <c r="B3" i="30"/>
  <c r="C5" i="30"/>
  <c r="D8" i="30"/>
  <c r="F29" i="35"/>
  <c r="D13" i="30"/>
  <c r="B13" i="30"/>
  <c r="F29" i="37"/>
  <c r="C21" i="30"/>
  <c r="C15" i="30"/>
  <c r="B24" i="30"/>
  <c r="C4" i="30"/>
  <c r="B28" i="30"/>
  <c r="D9" i="30"/>
  <c r="B26" i="30"/>
  <c r="C12" i="30"/>
  <c r="C7" i="30"/>
  <c r="B12" i="30"/>
  <c r="C11" i="30"/>
  <c r="C19" i="30"/>
  <c r="D27" i="30"/>
  <c r="B18" i="30"/>
  <c r="C28" i="30"/>
  <c r="B22" i="30"/>
  <c r="B14" i="30"/>
  <c r="D7" i="30"/>
  <c r="C18" i="30"/>
  <c r="C6" i="30"/>
  <c r="C17" i="30"/>
  <c r="D6" i="30"/>
  <c r="C22" i="30"/>
  <c r="C16" i="30"/>
  <c r="B11" i="30"/>
  <c r="B19" i="30"/>
  <c r="C9" i="30"/>
  <c r="B27" i="30"/>
  <c r="C30" i="30"/>
  <c r="C3" i="30"/>
  <c r="B21" i="30"/>
  <c r="D18" i="30"/>
  <c r="D14" i="30"/>
  <c r="C30" i="36"/>
  <c r="B8" i="30"/>
  <c r="F27" i="38" l="1"/>
  <c r="S31" i="38" s="1"/>
  <c r="L1" i="38"/>
  <c r="P28" i="38"/>
  <c r="P32" i="38" s="1"/>
  <c r="L20" i="38"/>
  <c r="G7" i="30"/>
  <c r="F7" i="30"/>
  <c r="G14" i="30"/>
  <c r="F14" i="30"/>
  <c r="S20" i="34"/>
  <c r="C21" i="34"/>
  <c r="C25" i="33"/>
  <c r="F27" i="37"/>
  <c r="C28" i="37"/>
  <c r="L1" i="37"/>
  <c r="S27" i="37"/>
  <c r="P28" i="37"/>
  <c r="L20" i="37"/>
  <c r="S27" i="36"/>
  <c r="C28" i="36"/>
  <c r="L1" i="36"/>
  <c r="F27" i="36"/>
  <c r="P28" i="36"/>
  <c r="L20" i="36"/>
  <c r="S27" i="35"/>
  <c r="F20" i="34"/>
  <c r="F27" i="35"/>
  <c r="L1" i="35"/>
  <c r="P28" i="35"/>
  <c r="L20" i="35"/>
  <c r="C28" i="35"/>
  <c r="L1" i="34"/>
  <c r="P21" i="34"/>
  <c r="L13" i="34"/>
  <c r="Q8" i="20"/>
  <c r="L1" i="32"/>
  <c r="L1" i="31"/>
  <c r="E8" i="30"/>
  <c r="E13" i="30"/>
  <c r="E9" i="30"/>
  <c r="E11" i="30"/>
  <c r="E10" i="30"/>
  <c r="E12" i="30"/>
  <c r="E6" i="30"/>
  <c r="E5" i="30"/>
  <c r="E4" i="30"/>
  <c r="E7" i="30"/>
  <c r="E3" i="30"/>
  <c r="S24" i="33"/>
  <c r="F24" i="33"/>
  <c r="P25" i="33"/>
  <c r="L1" i="33"/>
  <c r="L17" i="33"/>
  <c r="S20" i="32"/>
  <c r="P21" i="32"/>
  <c r="F20" i="32"/>
  <c r="C21" i="32"/>
  <c r="L13" i="32"/>
  <c r="L1" i="28"/>
  <c r="F8" i="21"/>
  <c r="Q8" i="11"/>
  <c r="S20" i="31"/>
  <c r="P21" i="31"/>
  <c r="F20" i="31"/>
  <c r="C21" i="31"/>
  <c r="L13" i="31"/>
  <c r="N9" i="20"/>
  <c r="L1" i="29"/>
  <c r="F8" i="4"/>
  <c r="C9" i="20"/>
  <c r="C9" i="26"/>
  <c r="N9" i="4"/>
  <c r="N9" i="11"/>
  <c r="F8" i="20"/>
  <c r="Q8" i="4"/>
  <c r="N9" i="26"/>
  <c r="I1" i="24"/>
  <c r="F8" i="23"/>
  <c r="C9" i="24"/>
  <c r="F8" i="24"/>
  <c r="L13" i="29"/>
  <c r="C19" i="28"/>
  <c r="F20" i="29"/>
  <c r="P21" i="29"/>
  <c r="S20" i="29"/>
  <c r="C21" i="29"/>
  <c r="S18" i="28"/>
  <c r="P19" i="28"/>
  <c r="F18" i="28"/>
  <c r="Q8" i="27"/>
  <c r="N9" i="27"/>
  <c r="F8" i="27"/>
  <c r="C9" i="27"/>
  <c r="Q8" i="26"/>
  <c r="F8" i="26"/>
  <c r="N9" i="25"/>
  <c r="Q8" i="25"/>
  <c r="F8" i="25"/>
  <c r="C9" i="25"/>
  <c r="Q8" i="24"/>
  <c r="N9" i="24"/>
  <c r="Q8" i="23"/>
  <c r="N9" i="23"/>
  <c r="C9" i="23"/>
  <c r="Q8" i="21"/>
  <c r="N9" i="21"/>
  <c r="C9" i="21"/>
  <c r="Q8" i="19"/>
  <c r="N9" i="19"/>
  <c r="F8" i="19"/>
  <c r="C9" i="19"/>
  <c r="Q8" i="17"/>
  <c r="N9" i="17"/>
  <c r="F8" i="17"/>
  <c r="C9" i="17"/>
  <c r="Y9" i="2"/>
  <c r="Q8" i="12"/>
  <c r="N9" i="9"/>
  <c r="F8" i="12"/>
  <c r="I1" i="12" s="1"/>
  <c r="N9" i="12"/>
  <c r="C9" i="4"/>
  <c r="Q8" i="6"/>
  <c r="Q8" i="7"/>
  <c r="Q8" i="9"/>
  <c r="N9" i="16"/>
  <c r="C9" i="16"/>
  <c r="AB8" i="2"/>
  <c r="F8" i="6"/>
  <c r="Q12" i="6" s="1"/>
  <c r="F8" i="8"/>
  <c r="C9" i="12"/>
  <c r="J1" i="12" s="1"/>
  <c r="Q8" i="16"/>
  <c r="O9" i="15"/>
  <c r="R8" i="15"/>
  <c r="F8" i="16"/>
  <c r="F8" i="15"/>
  <c r="Q8" i="13"/>
  <c r="C9" i="15"/>
  <c r="N9" i="13"/>
  <c r="F8" i="13"/>
  <c r="C9" i="13"/>
  <c r="F8" i="11"/>
  <c r="C9" i="11"/>
  <c r="Q8" i="10"/>
  <c r="N9" i="10"/>
  <c r="F8" i="10"/>
  <c r="C9" i="10"/>
  <c r="C9" i="9"/>
  <c r="F8" i="9"/>
  <c r="Q8" i="8"/>
  <c r="N9" i="8"/>
  <c r="C9" i="8"/>
  <c r="C9" i="7"/>
  <c r="F8" i="7"/>
  <c r="Q12" i="7" s="1"/>
  <c r="N9" i="7"/>
  <c r="N9" i="6"/>
  <c r="C9" i="6"/>
  <c r="N9" i="5"/>
  <c r="F8" i="5"/>
  <c r="C9" i="5"/>
  <c r="Q8" i="5"/>
  <c r="Q8" i="2"/>
  <c r="N9" i="2"/>
  <c r="F8" i="2"/>
  <c r="C9" i="2"/>
  <c r="C25" i="32"/>
  <c r="F31" i="37"/>
  <c r="F31" i="35"/>
  <c r="C25" i="34"/>
  <c r="C32" i="37"/>
  <c r="C32" i="36"/>
  <c r="F28" i="33"/>
  <c r="C32" i="38"/>
  <c r="F24" i="32"/>
  <c r="F24" i="34"/>
  <c r="C32" i="35"/>
  <c r="F31" i="36"/>
  <c r="C29" i="33"/>
  <c r="F31" i="38"/>
  <c r="S22" i="28" l="1"/>
  <c r="P25" i="34"/>
  <c r="N13" i="8"/>
  <c r="R12" i="15"/>
  <c r="P29" i="33"/>
  <c r="Q12" i="20"/>
  <c r="H14" i="30"/>
  <c r="H7" i="30"/>
  <c r="Q12" i="12"/>
  <c r="Q12" i="21"/>
  <c r="Q12" i="27"/>
  <c r="P32" i="35"/>
  <c r="S24" i="34"/>
  <c r="N13" i="23"/>
  <c r="S31" i="37"/>
  <c r="P32" i="37"/>
  <c r="S31" i="36"/>
  <c r="P32" i="36"/>
  <c r="S31" i="35"/>
  <c r="N13" i="26"/>
  <c r="Q12" i="25"/>
  <c r="Q12" i="8"/>
  <c r="N13" i="20"/>
  <c r="N13" i="12"/>
  <c r="S24" i="29"/>
  <c r="N13" i="4"/>
  <c r="S28" i="33"/>
  <c r="S24" i="32"/>
  <c r="P25" i="32"/>
  <c r="N13" i="24"/>
  <c r="Q12" i="24"/>
  <c r="P23" i="28"/>
  <c r="Q12" i="4"/>
  <c r="N13" i="11"/>
  <c r="Q12" i="2"/>
  <c r="Q12" i="11"/>
  <c r="P25" i="31"/>
  <c r="S24" i="31"/>
  <c r="P25" i="29"/>
  <c r="Q12" i="13"/>
  <c r="Q12" i="23"/>
  <c r="N13" i="6"/>
  <c r="N13" i="2"/>
  <c r="Q12" i="19"/>
  <c r="N13" i="27"/>
  <c r="Q12" i="26"/>
  <c r="N13" i="25"/>
  <c r="N13" i="21"/>
  <c r="N13" i="19"/>
  <c r="Q12" i="17"/>
  <c r="N13" i="17"/>
  <c r="Q12" i="16"/>
  <c r="N13" i="16"/>
  <c r="N13" i="5"/>
  <c r="Q12" i="9"/>
  <c r="N13" i="9"/>
  <c r="AB12" i="2"/>
  <c r="Y13" i="2"/>
  <c r="O13" i="15"/>
  <c r="N13" i="13"/>
  <c r="Q12" i="10"/>
  <c r="N13" i="10"/>
  <c r="N13" i="7"/>
  <c r="Q12" i="5"/>
  <c r="D1" i="30" l="1"/>
  <c r="C1" i="30"/>
  <c r="B1" i="30" l="1"/>
  <c r="E1" i="30" s="1"/>
</calcChain>
</file>

<file path=xl/sharedStrings.xml><?xml version="1.0" encoding="utf-8"?>
<sst xmlns="http://schemas.openxmlformats.org/spreadsheetml/2006/main" count="4974" uniqueCount="618">
  <si>
    <t>العدد</t>
  </si>
  <si>
    <t>المجموع</t>
  </si>
  <si>
    <t>الفئة دولار</t>
  </si>
  <si>
    <t>الفئة لبناني</t>
  </si>
  <si>
    <t>الدولار</t>
  </si>
  <si>
    <t>اللبناني</t>
  </si>
  <si>
    <t>البيان</t>
  </si>
  <si>
    <t>ابو طارق</t>
  </si>
  <si>
    <t>شطافة +طابة سوداء</t>
  </si>
  <si>
    <t>بنزين حسام</t>
  </si>
  <si>
    <t>فؤاد</t>
  </si>
  <si>
    <t>ترابة سوداء</t>
  </si>
  <si>
    <t>احمد حبله</t>
  </si>
  <si>
    <t>تلزيق+ورق حف</t>
  </si>
  <si>
    <t>خضر شعبان</t>
  </si>
  <si>
    <t>ابو محمود قباني</t>
  </si>
  <si>
    <t>شطافة</t>
  </si>
  <si>
    <t>طابة 1/2 ع20</t>
  </si>
  <si>
    <t>عبد السلام</t>
  </si>
  <si>
    <t>نربيج + حنفية</t>
  </si>
  <si>
    <t>مهدي</t>
  </si>
  <si>
    <t>للحاج</t>
  </si>
  <si>
    <t>من الحاج</t>
  </si>
  <si>
    <t>ايبو</t>
  </si>
  <si>
    <t>مسكة شطافة</t>
  </si>
  <si>
    <t>رندال</t>
  </si>
  <si>
    <t>خلاط وسكورة</t>
  </si>
  <si>
    <t>الفرق</t>
  </si>
  <si>
    <t>-</t>
  </si>
  <si>
    <t>جرد اول النهار</t>
  </si>
  <si>
    <t>تيه كروم+بعزقة</t>
  </si>
  <si>
    <t>كاتو</t>
  </si>
  <si>
    <t>حاج خضر</t>
  </si>
  <si>
    <t>جرد اخر النهار</t>
  </si>
  <si>
    <t>ابو عمر خان</t>
  </si>
  <si>
    <t>قسطل 5" 1 متر</t>
  </si>
  <si>
    <t>مشاقة</t>
  </si>
  <si>
    <t>م.دوش+ايزي</t>
  </si>
  <si>
    <t>حركة الصندوق</t>
  </si>
  <si>
    <t>حركة الصندوق $</t>
  </si>
  <si>
    <t>حركة الصندوق ل.ل</t>
  </si>
  <si>
    <t>خلاط مجلى+نربيج</t>
  </si>
  <si>
    <t>مرتجع الحاج خضر</t>
  </si>
  <si>
    <t>15*15 AZ</t>
  </si>
  <si>
    <t>ماي سوداء</t>
  </si>
  <si>
    <t>نربيج ايطالي 80سم</t>
  </si>
  <si>
    <t>نسلة+وصل</t>
  </si>
  <si>
    <t>ابراهيم الحوت</t>
  </si>
  <si>
    <t>عباس</t>
  </si>
  <si>
    <t>محمود سلامة</t>
  </si>
  <si>
    <t>قازان 80</t>
  </si>
  <si>
    <t>ماليزي</t>
  </si>
  <si>
    <t>فرق القازان</t>
  </si>
  <si>
    <t>حبله</t>
  </si>
  <si>
    <t>نربيج شطافة</t>
  </si>
  <si>
    <t>لقمان</t>
  </si>
  <si>
    <t>بسام</t>
  </si>
  <si>
    <t>عبد الشيخ</t>
  </si>
  <si>
    <t>اغراض</t>
  </si>
  <si>
    <t>جوزة</t>
  </si>
  <si>
    <t>خلاط</t>
  </si>
  <si>
    <t>ليو حصان</t>
  </si>
  <si>
    <t>60+50</t>
  </si>
  <si>
    <t>نربيج دوش  2م</t>
  </si>
  <si>
    <t>فلتر غسالة</t>
  </si>
  <si>
    <t>قسطل 1 1/2</t>
  </si>
  <si>
    <t>ايلي مجدلاني</t>
  </si>
  <si>
    <t>ابو الحسن</t>
  </si>
  <si>
    <t>سدة + كتيت</t>
  </si>
  <si>
    <t>قنينة</t>
  </si>
  <si>
    <t>بنزين ابراهيم</t>
  </si>
  <si>
    <t>تراب سوداء</t>
  </si>
  <si>
    <t>رزيستنس</t>
  </si>
  <si>
    <t>وصل باكس</t>
  </si>
  <si>
    <t>عدة جنب+اغراض</t>
  </si>
  <si>
    <t>دولار مطابق</t>
  </si>
  <si>
    <t>نقص</t>
  </si>
  <si>
    <t>3 بيروت</t>
  </si>
  <si>
    <t>بنزين ابو هيثم</t>
  </si>
  <si>
    <t>فرق دجاج</t>
  </si>
  <si>
    <t>مطعم الوليد</t>
  </si>
  <si>
    <t>بويا</t>
  </si>
  <si>
    <t>الرصيد الان</t>
  </si>
  <si>
    <t>سدة</t>
  </si>
  <si>
    <t>طبوش</t>
  </si>
  <si>
    <t>مرتجع</t>
  </si>
  <si>
    <t>رشيد ريحانية</t>
  </si>
  <si>
    <t>ابو حسين سلامة</t>
  </si>
  <si>
    <t>محمد الصايل</t>
  </si>
  <si>
    <t>نربيج شطافة كروم</t>
  </si>
  <si>
    <t>خزان دياب</t>
  </si>
  <si>
    <t>حنفية غلة وقلب ومسكة</t>
  </si>
  <si>
    <t>رزيستنس 1200</t>
  </si>
  <si>
    <t>غطاء ولمبتين</t>
  </si>
  <si>
    <t>نربيج زراعي وركورات</t>
  </si>
  <si>
    <t>مقص باكس</t>
  </si>
  <si>
    <t>بلاط</t>
  </si>
  <si>
    <t>مصفاية مجلى</t>
  </si>
  <si>
    <t>ابو حسن بعلبكي</t>
  </si>
  <si>
    <t>علي اكشاي</t>
  </si>
  <si>
    <t>تلزيق بلاط</t>
  </si>
  <si>
    <t>علي ايبو</t>
  </si>
  <si>
    <t>ابو علي ضاحية</t>
  </si>
  <si>
    <t>الجمل</t>
  </si>
  <si>
    <t>بنزين عبد</t>
  </si>
  <si>
    <t>شطافة ماليزي</t>
  </si>
  <si>
    <t>ناصر</t>
  </si>
  <si>
    <t>سيليكون</t>
  </si>
  <si>
    <t>كتر وسيليكون ومنخل</t>
  </si>
  <si>
    <t>خالد العلي</t>
  </si>
  <si>
    <t>ريشة حديد</t>
  </si>
  <si>
    <t>ترابة</t>
  </si>
  <si>
    <t>ابو علي كركي</t>
  </si>
  <si>
    <t>ديسك حديد</t>
  </si>
  <si>
    <t>حاج تركي</t>
  </si>
  <si>
    <t>ركور</t>
  </si>
  <si>
    <t>فرق قازان 50 لتر</t>
  </si>
  <si>
    <t xml:space="preserve">كرسي وخلاط </t>
  </si>
  <si>
    <t>موتير ليو حصان</t>
  </si>
  <si>
    <t>فاتورة 3 ام بيروت</t>
  </si>
  <si>
    <t>صباب مجلى</t>
  </si>
  <si>
    <t>قنينة ورزيستنس</t>
  </si>
  <si>
    <t>جوان حصر 1 1/4</t>
  </si>
  <si>
    <t>دياب</t>
  </si>
  <si>
    <t>طرش</t>
  </si>
  <si>
    <t>تلزيق وترابة</t>
  </si>
  <si>
    <t>طابة غروهي</t>
  </si>
  <si>
    <t>قلب ومسكة</t>
  </si>
  <si>
    <t>محمد دبوس</t>
  </si>
  <si>
    <t>براغي كرسي</t>
  </si>
  <si>
    <t>طابة عيتاني</t>
  </si>
  <si>
    <t>سامي الصيفي</t>
  </si>
  <si>
    <t>شمعة فلتر</t>
  </si>
  <si>
    <t>رباط شد</t>
  </si>
  <si>
    <t>مرتجع فحام</t>
  </si>
  <si>
    <t>اكياس ردم</t>
  </si>
  <si>
    <t>عنق خلاط مغسلة</t>
  </si>
  <si>
    <t>ابو حسن</t>
  </si>
  <si>
    <t>مشكة شطافة تركي</t>
  </si>
  <si>
    <t>ايزي 1 1/2 ايطالي</t>
  </si>
  <si>
    <t>يوسف</t>
  </si>
  <si>
    <t>مشتريات بزون</t>
  </si>
  <si>
    <t>ابو هيثم</t>
  </si>
  <si>
    <t>وصل 16</t>
  </si>
  <si>
    <t>ترابة جاهزة</t>
  </si>
  <si>
    <t>مطابق $ و ل.ل</t>
  </si>
  <si>
    <t>فيلوكس</t>
  </si>
  <si>
    <t>حسن نجم</t>
  </si>
  <si>
    <t>خلاط + عنق</t>
  </si>
  <si>
    <t>نحاته 6</t>
  </si>
  <si>
    <t>مسامير عمار</t>
  </si>
  <si>
    <t>تركية</t>
  </si>
  <si>
    <t>شريط عمار</t>
  </si>
  <si>
    <t>برميل معجونة  بروفيل</t>
  </si>
  <si>
    <t>عدة + اغراض</t>
  </si>
  <si>
    <t>عدة سحب نحاس</t>
  </si>
  <si>
    <t>نربيج 1.2م</t>
  </si>
  <si>
    <t>طابة كهرباء صيني</t>
  </si>
  <si>
    <t>رزيستنس صيني</t>
  </si>
  <si>
    <t>مرتجع عدة سحب</t>
  </si>
  <si>
    <t>طابة وشريط</t>
  </si>
  <si>
    <t>عماد شعبان</t>
  </si>
  <si>
    <t>حسن</t>
  </si>
  <si>
    <t>موتير 1/2 بدرلو</t>
  </si>
  <si>
    <t>تلزيق شفاف</t>
  </si>
  <si>
    <t>فلتر ونربيج ضغط</t>
  </si>
  <si>
    <t>مسكة شطافة صيني</t>
  </si>
  <si>
    <t>عنق+ترابة+نربيج</t>
  </si>
  <si>
    <t>بطاريات لقازان الغاز</t>
  </si>
  <si>
    <t xml:space="preserve">ترابة </t>
  </si>
  <si>
    <t>مفصلات+غطاء زغرتا</t>
  </si>
  <si>
    <t>تلوينة+مسكة ورول</t>
  </si>
  <si>
    <t>مجموع$</t>
  </si>
  <si>
    <t>كوع بسن 20 زراعي</t>
  </si>
  <si>
    <t>تلزيق المنيوم</t>
  </si>
  <si>
    <t xml:space="preserve">فاتورة </t>
  </si>
  <si>
    <t>محمد القيسي</t>
  </si>
  <si>
    <t>تلوينة</t>
  </si>
  <si>
    <t>تفلون</t>
  </si>
  <si>
    <t>ركور زراعي+ادبتر</t>
  </si>
  <si>
    <t>عدة كبس</t>
  </si>
  <si>
    <t>غطاء كرسي</t>
  </si>
  <si>
    <t>فاطمة</t>
  </si>
  <si>
    <t>ابو انس</t>
  </si>
  <si>
    <t>يوسف من امبارح</t>
  </si>
  <si>
    <t>رزيس فدار</t>
  </si>
  <si>
    <t>حسام خاروف</t>
  </si>
  <si>
    <t>صباب 1 1/2</t>
  </si>
  <si>
    <t>براغي</t>
  </si>
  <si>
    <t>اسود +جفصين</t>
  </si>
  <si>
    <t xml:space="preserve">منخل براغي </t>
  </si>
  <si>
    <t>غطاء 20*20</t>
  </si>
  <si>
    <t>شمع</t>
  </si>
  <si>
    <t>مطابق</t>
  </si>
  <si>
    <t>ايزي+صباب</t>
  </si>
  <si>
    <t>تلزيق كهرباء</t>
  </si>
  <si>
    <t>*</t>
  </si>
  <si>
    <t>رول نقشة</t>
  </si>
  <si>
    <t>فؤاد زهرة</t>
  </si>
  <si>
    <t>ربيع</t>
  </si>
  <si>
    <t>صباب+ايزي تركي</t>
  </si>
  <si>
    <t>نربيج شفاف</t>
  </si>
  <si>
    <t>احمد</t>
  </si>
  <si>
    <t>مجموة دوش</t>
  </si>
  <si>
    <t>مصفاية خلاط</t>
  </si>
  <si>
    <t>عبود البلاط</t>
  </si>
  <si>
    <t>خلاط دوش ايطالي</t>
  </si>
  <si>
    <t>طابة ايطالي</t>
  </si>
  <si>
    <t>موتير بدرلو</t>
  </si>
  <si>
    <t>رياض المحمود</t>
  </si>
  <si>
    <t>الصايل</t>
  </si>
  <si>
    <t>ترابة ورمل</t>
  </si>
  <si>
    <t>زراعي</t>
  </si>
  <si>
    <t>قنينة بويا</t>
  </si>
  <si>
    <t>لقط</t>
  </si>
  <si>
    <t>جعفر مراد</t>
  </si>
  <si>
    <t>فاتورة</t>
  </si>
  <si>
    <t>جفصين</t>
  </si>
  <si>
    <t>ديمول</t>
  </si>
  <si>
    <t>اسامة تركية</t>
  </si>
  <si>
    <t>مطابقة</t>
  </si>
  <si>
    <t>كهربجي</t>
  </si>
  <si>
    <t>نربيج 1.5م</t>
  </si>
  <si>
    <t>تنر</t>
  </si>
  <si>
    <t>جهاد زين</t>
  </si>
  <si>
    <t>سوناكس</t>
  </si>
  <si>
    <t>ابو علي</t>
  </si>
  <si>
    <t>طوف</t>
  </si>
  <si>
    <t>خلاط دوش غروهي</t>
  </si>
  <si>
    <t>ايزي 1 1/4</t>
  </si>
  <si>
    <t>مرتجع الصايع</t>
  </si>
  <si>
    <t>زياد عيتاني</t>
  </si>
  <si>
    <t>موتير ستانلس</t>
  </si>
  <si>
    <t xml:space="preserve">خزان 500 </t>
  </si>
  <si>
    <t>مرتجع خزان 500</t>
  </si>
  <si>
    <t>سبراي بويا</t>
  </si>
  <si>
    <t>عدي</t>
  </si>
  <si>
    <t>باكس</t>
  </si>
  <si>
    <t>صباب وتيه</t>
  </si>
  <si>
    <t>لفة زراعي</t>
  </si>
  <si>
    <t>نربيج غاز</t>
  </si>
  <si>
    <t>ابو عماد</t>
  </si>
  <si>
    <t xml:space="preserve">من الحاج </t>
  </si>
  <si>
    <t>عدة جنب</t>
  </si>
  <si>
    <t>مصفاية</t>
  </si>
  <si>
    <t>طابة 1/2</t>
  </si>
  <si>
    <t>تفلون ومخالف</t>
  </si>
  <si>
    <t>موتير</t>
  </si>
  <si>
    <t>نسكافيه</t>
  </si>
  <si>
    <t>مارسيل</t>
  </si>
  <si>
    <t>خزان</t>
  </si>
  <si>
    <t>ابو مهدي</t>
  </si>
  <si>
    <t>ايزي ومصفاية</t>
  </si>
  <si>
    <t>مشتريات كهرباء</t>
  </si>
  <si>
    <t>ابو هادي</t>
  </si>
  <si>
    <t>كوع زراعي 32</t>
  </si>
  <si>
    <t>تحويلة كرسي</t>
  </si>
  <si>
    <t>براغي+كبسة عدة</t>
  </si>
  <si>
    <t>بعزقة 1</t>
  </si>
  <si>
    <t>فراش موتير حصان</t>
  </si>
  <si>
    <t>القيسي</t>
  </si>
  <si>
    <t>محمد بواب</t>
  </si>
  <si>
    <t>موتير 1/2 اكوا</t>
  </si>
  <si>
    <t>ايزي</t>
  </si>
  <si>
    <t>خوري دبوس</t>
  </si>
  <si>
    <t>تيه زراعي</t>
  </si>
  <si>
    <t>م.فواز م. مومنة</t>
  </si>
  <si>
    <t>م.شطافة+سكر دوبل</t>
  </si>
  <si>
    <t>شبك</t>
  </si>
  <si>
    <t>ا. القيسي</t>
  </si>
  <si>
    <t>ساعة غاز</t>
  </si>
  <si>
    <t>غطاء+نربيج</t>
  </si>
  <si>
    <t>تلحيم 25</t>
  </si>
  <si>
    <t>ورق حف اسود</t>
  </si>
  <si>
    <t>ايزي مع صباب</t>
  </si>
  <si>
    <t>رزيستنس مرتجع</t>
  </si>
  <si>
    <t>ترابة سريعة</t>
  </si>
  <si>
    <t>موتير وصباب</t>
  </si>
  <si>
    <t>كلور</t>
  </si>
  <si>
    <t>انور ياسين</t>
  </si>
  <si>
    <t>مفتاح ظاهر</t>
  </si>
  <si>
    <t>غطا فينيسيا</t>
  </si>
  <si>
    <t>غطاء سيلكون</t>
  </si>
  <si>
    <t>باكس وركور</t>
  </si>
  <si>
    <t>كفوف ورق حف</t>
  </si>
  <si>
    <t>نربيج</t>
  </si>
  <si>
    <t>الحنون</t>
  </si>
  <si>
    <t>سكر شوفاج</t>
  </si>
  <si>
    <t>قاسم</t>
  </si>
  <si>
    <t>موتير 3/4 ليو</t>
  </si>
  <si>
    <t>قنينة تنر</t>
  </si>
  <si>
    <t>رمل</t>
  </si>
  <si>
    <t>كونتكتير</t>
  </si>
  <si>
    <t>عمر</t>
  </si>
  <si>
    <t>خلاط مجلى غروهي</t>
  </si>
  <si>
    <t>عدنان</t>
  </si>
  <si>
    <t>احمد السنكري</t>
  </si>
  <si>
    <t>.</t>
  </si>
  <si>
    <t>وصل 4*3</t>
  </si>
  <si>
    <t>مخالفة</t>
  </si>
  <si>
    <t>مرتجع غطاء</t>
  </si>
  <si>
    <t>سوداء</t>
  </si>
  <si>
    <t>رزيس وتفلون</t>
  </si>
  <si>
    <t xml:space="preserve">عنق </t>
  </si>
  <si>
    <t>حنفي وصباب</t>
  </si>
  <si>
    <t>معمار</t>
  </si>
  <si>
    <t>ابو محمود</t>
  </si>
  <si>
    <t>احمد الموسى</t>
  </si>
  <si>
    <t>فاروق حوسو</t>
  </si>
  <si>
    <t>ديسك باطون</t>
  </si>
  <si>
    <t>موتير علي السطل</t>
  </si>
  <si>
    <t>نربيج دوش</t>
  </si>
  <si>
    <t>مسطرين</t>
  </si>
  <si>
    <t>للزبون</t>
  </si>
  <si>
    <t>كرسي</t>
  </si>
  <si>
    <t>ريشة</t>
  </si>
  <si>
    <t>مصفاية بلاستيك</t>
  </si>
  <si>
    <t xml:space="preserve">ماي </t>
  </si>
  <si>
    <t>عنق خلاط</t>
  </si>
  <si>
    <t>قلبين</t>
  </si>
  <si>
    <t>ابو عبدو</t>
  </si>
  <si>
    <t>عثمان سوبرة</t>
  </si>
  <si>
    <t>نربيج +سكر</t>
  </si>
  <si>
    <t>داخون</t>
  </si>
  <si>
    <t>ترابة وغراوت</t>
  </si>
  <si>
    <t>مصفاية برونزو</t>
  </si>
  <si>
    <t>فاتورة مبيع</t>
  </si>
  <si>
    <t>تيه + رباط</t>
  </si>
  <si>
    <t>نربيج 50</t>
  </si>
  <si>
    <t>سوادء</t>
  </si>
  <si>
    <t xml:space="preserve">مسكة </t>
  </si>
  <si>
    <t>تصليح بكاش السيارة
الحاج ابو هيثم</t>
  </si>
  <si>
    <t>ترابة بيضاء</t>
  </si>
  <si>
    <t>قطرون</t>
  </si>
  <si>
    <t>غطاء مصفاية</t>
  </si>
  <si>
    <t>ترابة جاهزة+تلزيق</t>
  </si>
  <si>
    <t>نص ليو</t>
  </si>
  <si>
    <t>جوان حصر</t>
  </si>
  <si>
    <t>مطابق $ - ل ل</t>
  </si>
  <si>
    <t>طابة سوداء</t>
  </si>
  <si>
    <t>عنق رصور</t>
  </si>
  <si>
    <t>قلب</t>
  </si>
  <si>
    <t>موتير غسالة</t>
  </si>
  <si>
    <t>مجموعة شطافة</t>
  </si>
  <si>
    <t>دفعة</t>
  </si>
  <si>
    <t xml:space="preserve">سامر </t>
  </si>
  <si>
    <t>AB</t>
  </si>
  <si>
    <t>نربيج ايطالي</t>
  </si>
  <si>
    <t>غالون طرش</t>
  </si>
  <si>
    <t>رزيستنس و حنفية</t>
  </si>
  <si>
    <t>رمزي</t>
  </si>
  <si>
    <t>مجلى وايزي</t>
  </si>
  <si>
    <t>كوع 18*18</t>
  </si>
  <si>
    <t>سكر دوبل وترابة نارية</t>
  </si>
  <si>
    <t>موسى</t>
  </si>
  <si>
    <t>دوش</t>
  </si>
  <si>
    <t>مفصلات</t>
  </si>
  <si>
    <t>قنينة  4ملم</t>
  </si>
  <si>
    <t>ريشة وزاوية و</t>
  </si>
  <si>
    <t>وسام شقير</t>
  </si>
  <si>
    <t>منجد</t>
  </si>
  <si>
    <t>مخالف وبعزقة  كروم</t>
  </si>
  <si>
    <t>قسطل 25</t>
  </si>
  <si>
    <t>سكر دوبل</t>
  </si>
  <si>
    <t>وصل زراعي</t>
  </si>
  <si>
    <t>مالج</t>
  </si>
  <si>
    <t>محمد الاسمر</t>
  </si>
  <si>
    <t>الشامي</t>
  </si>
  <si>
    <t>محمد الاحمد</t>
  </si>
  <si>
    <t>سبراي ونفط</t>
  </si>
  <si>
    <t>نربيج فيتاس</t>
  </si>
  <si>
    <t>مرتجع كاتو</t>
  </si>
  <si>
    <t>برجس</t>
  </si>
  <si>
    <t>عنق</t>
  </si>
  <si>
    <t>احمد السيد</t>
  </si>
  <si>
    <t>خلاط سحب</t>
  </si>
  <si>
    <t>هايتك</t>
  </si>
  <si>
    <t>الديري</t>
  </si>
  <si>
    <t>بلا اسيد</t>
  </si>
  <si>
    <t>سيليكون 3</t>
  </si>
  <si>
    <t>قهوة</t>
  </si>
  <si>
    <t>سك زاوية</t>
  </si>
  <si>
    <t>خلاط وم. دوش</t>
  </si>
  <si>
    <t>عبد الله الاحمد</t>
  </si>
  <si>
    <t>حنفية غسالة</t>
  </si>
  <si>
    <t>مطابق $ول.ل</t>
  </si>
  <si>
    <t>سبراي</t>
  </si>
  <si>
    <t>غطاء فينيسيا</t>
  </si>
  <si>
    <t>وجيه</t>
  </si>
  <si>
    <t>جوان حصر وايزي</t>
  </si>
  <si>
    <t>تلزيق بلاط وطني</t>
  </si>
  <si>
    <t>مسكة فيتاس</t>
  </si>
  <si>
    <t>خلاط دوش+سكر</t>
  </si>
  <si>
    <t>قطع وصل</t>
  </si>
  <si>
    <t>ورق حف</t>
  </si>
  <si>
    <t>علبة باتكس</t>
  </si>
  <si>
    <t>تطويلة غروهي</t>
  </si>
  <si>
    <t>نربيج غاز وحبسة</t>
  </si>
  <si>
    <t>احمد القيسي</t>
  </si>
  <si>
    <t>للحاج اشتراك</t>
  </si>
  <si>
    <t>بطاريات</t>
  </si>
  <si>
    <t>شبك ورباطات</t>
  </si>
  <si>
    <t>سيليكون شفاف</t>
  </si>
  <si>
    <t>عبد حمر ا</t>
  </si>
  <si>
    <t>حسن سعادة</t>
  </si>
  <si>
    <t>ديسك حديد2</t>
  </si>
  <si>
    <t>مصفايتين</t>
  </si>
  <si>
    <t>مفك</t>
  </si>
  <si>
    <t>رمل و ترابة</t>
  </si>
  <si>
    <t>مع ابراهيم</t>
  </si>
  <si>
    <t xml:space="preserve">تصليح دولاب </t>
  </si>
  <si>
    <t>فرشاية</t>
  </si>
  <si>
    <t>قازان 100 فيلوكس</t>
  </si>
  <si>
    <t>غطاء ريغار</t>
  </si>
  <si>
    <t>متر</t>
  </si>
  <si>
    <t>مبيع $</t>
  </si>
  <si>
    <t>مرتجع حجر</t>
  </si>
  <si>
    <t>باقي رمل</t>
  </si>
  <si>
    <t>قلبين ايطالي</t>
  </si>
  <si>
    <t>خرطوشة فلتر</t>
  </si>
  <si>
    <t>بلال مكداشي</t>
  </si>
  <si>
    <t>موتير غسالة ستانلس</t>
  </si>
  <si>
    <t>محمد الطير</t>
  </si>
  <si>
    <t>نواعم</t>
  </si>
  <si>
    <t>قازان غاز</t>
  </si>
  <si>
    <t>بيد م. علي</t>
  </si>
  <si>
    <t>العملية</t>
  </si>
  <si>
    <t>مسكة باب+قفل</t>
  </si>
  <si>
    <t>باكس 18</t>
  </si>
  <si>
    <t>احمد الديري</t>
  </si>
  <si>
    <t>ماي للمحل</t>
  </si>
  <si>
    <t>حجر 10</t>
  </si>
  <si>
    <t>جهاد موتير 3/4</t>
  </si>
  <si>
    <t>سبراي+ترابة س</t>
  </si>
  <si>
    <t>بيع</t>
  </si>
  <si>
    <t>مصاريف</t>
  </si>
  <si>
    <t>سحب</t>
  </si>
  <si>
    <t>التاريخ</t>
  </si>
  <si>
    <t>مع الحاج</t>
  </si>
  <si>
    <t>مملوك</t>
  </si>
  <si>
    <t>ابو حسن صالح</t>
  </si>
  <si>
    <t>بنزين</t>
  </si>
  <si>
    <t>خلاط مجلى برم</t>
  </si>
  <si>
    <t>ابو هشام</t>
  </si>
  <si>
    <t>محمد فواز</t>
  </si>
  <si>
    <t>عزقة 8ملم</t>
  </si>
  <si>
    <t>كهرباء</t>
  </si>
  <si>
    <t>قنينة 100</t>
  </si>
  <si>
    <t>قازان تيرمو</t>
  </si>
  <si>
    <t>بيد الحاج</t>
  </si>
  <si>
    <t>عثمان سوبره</t>
  </si>
  <si>
    <t xml:space="preserve">عدة جنب وسكر </t>
  </si>
  <si>
    <t>حنفية وعنق</t>
  </si>
  <si>
    <t>مسكة دوش ونربيج</t>
  </si>
  <si>
    <t>اصبع بي يو</t>
  </si>
  <si>
    <t>احمد حلمي</t>
  </si>
  <si>
    <t>كيلو ترابة بيضاء</t>
  </si>
  <si>
    <t>عودة وقاروط</t>
  </si>
  <si>
    <t>طابة</t>
  </si>
  <si>
    <t>كبايات وكلينكس</t>
  </si>
  <si>
    <t>مسكة سجب</t>
  </si>
  <si>
    <t>موتير حصام ليو</t>
  </si>
  <si>
    <t>مفتاح</t>
  </si>
  <si>
    <t>احمد 3</t>
  </si>
  <si>
    <t>تلزيق ورق</t>
  </si>
  <si>
    <t>03-04</t>
  </si>
  <si>
    <t>مكنة لحام و تلحيم</t>
  </si>
  <si>
    <t>ابو علي كبه</t>
  </si>
  <si>
    <t>قفل</t>
  </si>
  <si>
    <t>ابو خليل</t>
  </si>
  <si>
    <t>جاهزة</t>
  </si>
  <si>
    <t>حسين شري</t>
  </si>
  <si>
    <t>مجموعة دوش</t>
  </si>
  <si>
    <t>موتير نص ليو</t>
  </si>
  <si>
    <t>مسكة خلاط</t>
  </si>
  <si>
    <t>محمد قيسي</t>
  </si>
  <si>
    <t>حجر</t>
  </si>
  <si>
    <t>تلحيم 40</t>
  </si>
  <si>
    <t>زيت</t>
  </si>
  <si>
    <t>تلحيم</t>
  </si>
  <si>
    <t>محاسب الشركة</t>
  </si>
  <si>
    <t>سايبس</t>
  </si>
  <si>
    <t>واصف سنو</t>
  </si>
  <si>
    <t>حسين السيد</t>
  </si>
  <si>
    <t>حديد</t>
  </si>
  <si>
    <t>نحاته</t>
  </si>
  <si>
    <t>الفاتح</t>
  </si>
  <si>
    <t>بلاستيك</t>
  </si>
  <si>
    <t>سكر وشطافة</t>
  </si>
  <si>
    <t>كوع ذكر</t>
  </si>
  <si>
    <t>عنق مجلى</t>
  </si>
  <si>
    <t>مع ابراهيم 3m بيروت</t>
  </si>
  <si>
    <t>مستودع الناعمة 4</t>
  </si>
  <si>
    <t>مستودع الناعمة 5</t>
  </si>
  <si>
    <t>احمد عباس</t>
  </si>
  <si>
    <t>نربيج غسالة</t>
  </si>
  <si>
    <t>3m بيروت</t>
  </si>
  <si>
    <t>قلب طويل</t>
  </si>
  <si>
    <t>ايزي وجوان</t>
  </si>
  <si>
    <t>اصبع سيليكون</t>
  </si>
  <si>
    <t>محمود مملوك</t>
  </si>
  <si>
    <t>حديد وتلحيم</t>
  </si>
  <si>
    <t>جمال ابو حشمة</t>
  </si>
  <si>
    <t>فرق برميل</t>
  </si>
  <si>
    <t>طابة واسعة</t>
  </si>
  <si>
    <t>بلاستيك 1 1/2</t>
  </si>
  <si>
    <t>اصبع شمع</t>
  </si>
  <si>
    <t>شفرة</t>
  </si>
  <si>
    <t>قسطل</t>
  </si>
  <si>
    <t>خلاط مغسلة وسكرين</t>
  </si>
  <si>
    <t>مطابق$ول.ل</t>
  </si>
  <si>
    <t>الديري خلاط مجلى</t>
  </si>
  <si>
    <t>هادي عمار</t>
  </si>
  <si>
    <t>نسبة المصاريف</t>
  </si>
  <si>
    <t xml:space="preserve">يحي  - خلاط </t>
  </si>
  <si>
    <t>04-04</t>
  </si>
  <si>
    <t>06-04</t>
  </si>
  <si>
    <t>رواتب</t>
  </si>
  <si>
    <t>اتوماتيك</t>
  </si>
  <si>
    <t>ايزي وصباب ايطالي</t>
  </si>
  <si>
    <t>سليم بواب</t>
  </si>
  <si>
    <t>رياض</t>
  </si>
  <si>
    <t>مخالفة دوش</t>
  </si>
  <si>
    <t>ايزي وصباب</t>
  </si>
  <si>
    <t>وصل</t>
  </si>
  <si>
    <t>طابة جنب</t>
  </si>
  <si>
    <t>زريق</t>
  </si>
  <si>
    <t>مشحاف</t>
  </si>
  <si>
    <t>حنفي غسالة ايطالي</t>
  </si>
  <si>
    <t>الاحمد</t>
  </si>
  <si>
    <t>رصيد قديم من تاريخ</t>
  </si>
  <si>
    <t>يوسف القزاز</t>
  </si>
  <si>
    <t>ابو عمر قصاب</t>
  </si>
  <si>
    <t>سيخ مجرور</t>
  </si>
  <si>
    <t>مشتريات كرتونال</t>
  </si>
  <si>
    <t xml:space="preserve">غطاء وصباب </t>
  </si>
  <si>
    <t>عدة سحب</t>
  </si>
  <si>
    <t>خلاط مجلى</t>
  </si>
  <si>
    <t>موتير غسالة وطابة</t>
  </si>
  <si>
    <t>جنب</t>
  </si>
  <si>
    <t>حسن سليمان</t>
  </si>
  <si>
    <t>تصليح موتسيك</t>
  </si>
  <si>
    <t>07-04</t>
  </si>
  <si>
    <t>اكرم ناصر</t>
  </si>
  <si>
    <t>تلزيق</t>
  </si>
  <si>
    <t>فؤاد زهر</t>
  </si>
  <si>
    <t>حديد+نربيج</t>
  </si>
  <si>
    <t>قلب ومسكة ايطالي 3</t>
  </si>
  <si>
    <t>قوى الامن</t>
  </si>
  <si>
    <t>بالخزنة</t>
  </si>
  <si>
    <t>مجراية</t>
  </si>
  <si>
    <t>كوع + تلزيق</t>
  </si>
  <si>
    <t>ابو موسى</t>
  </si>
  <si>
    <t>بلال</t>
  </si>
  <si>
    <t>لفة</t>
  </si>
  <si>
    <t>تلزيق بلاط وترابة</t>
  </si>
  <si>
    <t>جهاد الاغا</t>
  </si>
  <si>
    <t>كرسي ومغسلة وخلاط</t>
  </si>
  <si>
    <t>ركور ذكر</t>
  </si>
  <si>
    <t>الحاج بسام عبد الله</t>
  </si>
  <si>
    <t>النقاش شادي نقوزي</t>
  </si>
  <si>
    <t>سيليكون ابيض</t>
  </si>
  <si>
    <t>مبولة</t>
  </si>
  <si>
    <t>قاعدة دوش</t>
  </si>
  <si>
    <t>خزانات</t>
  </si>
  <si>
    <t>باتكس</t>
  </si>
  <si>
    <t>براغي غطاء</t>
  </si>
  <si>
    <t>باكس 16 1م</t>
  </si>
  <si>
    <t>عزقة 16</t>
  </si>
  <si>
    <t>مرتجع نربيجين وبعزقة</t>
  </si>
  <si>
    <t>كوع</t>
  </si>
  <si>
    <t>للحاج فواتير نقدية</t>
  </si>
  <si>
    <t>موتير ليو</t>
  </si>
  <si>
    <t>مع ابراهيم للصيفي</t>
  </si>
  <si>
    <t>08-04</t>
  </si>
  <si>
    <t>صرف</t>
  </si>
  <si>
    <t>جميل ترجمان</t>
  </si>
  <si>
    <t>نربيج خلاط</t>
  </si>
  <si>
    <t>غطاء ميوركس</t>
  </si>
  <si>
    <t>نحاتة</t>
  </si>
  <si>
    <t>خلاط واغراض</t>
  </si>
  <si>
    <t>اسافين</t>
  </si>
  <si>
    <t>من ابراهيم الصيفي</t>
  </si>
  <si>
    <t>خزان 2000</t>
  </si>
  <si>
    <t>محمد درويش</t>
  </si>
  <si>
    <t>اكسسوار</t>
  </si>
  <si>
    <t>ابو مراد</t>
  </si>
  <si>
    <t>ابو عبد الله</t>
  </si>
  <si>
    <t>صباب وايزي</t>
  </si>
  <si>
    <t xml:space="preserve">تيه واي </t>
  </si>
  <si>
    <t>بنزين من الحاج</t>
  </si>
  <si>
    <t>سلامة</t>
  </si>
  <si>
    <t>سليمان تركية</t>
  </si>
  <si>
    <t>09-04</t>
  </si>
  <si>
    <t>كتر و قسطل</t>
  </si>
  <si>
    <t>خالد أبو الدقن</t>
  </si>
  <si>
    <t>ابو علي زريق</t>
  </si>
  <si>
    <t>ابو الياس</t>
  </si>
  <si>
    <t>مصطفى</t>
  </si>
  <si>
    <t>سبراي اسود مات</t>
  </si>
  <si>
    <t>ابو الحسن موتير</t>
  </si>
  <si>
    <t>ابو عماد الصالحاني</t>
  </si>
  <si>
    <t>طابة ومسكة وتلزيق</t>
  </si>
  <si>
    <t>نربيج شطافة وبلجيكي</t>
  </si>
  <si>
    <t>عدة كبس صيني</t>
  </si>
  <si>
    <t>عنق نربج</t>
  </si>
  <si>
    <t>نربيج فيتاس ودوش</t>
  </si>
  <si>
    <t>طابة ايطالي 2</t>
  </si>
  <si>
    <t>سدة وشاسيه</t>
  </si>
  <si>
    <t>مرتجع سليم البواب</t>
  </si>
  <si>
    <t>حسين</t>
  </si>
  <si>
    <t>خلاط مغسلة فيتاس</t>
  </si>
  <si>
    <t>قلب وايزي</t>
  </si>
  <si>
    <t>خضر</t>
  </si>
  <si>
    <t>جوزة اف اف</t>
  </si>
  <si>
    <t>مرتجع احمد 3</t>
  </si>
  <si>
    <t>خزان واغراض</t>
  </si>
  <si>
    <t>عزق ورندال وتيج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</si>
</sst>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#,##0\ &quot;$&quot;;[Red]\-#,##0\ &quot;$&quot;"/>
    <numFmt numFmtId="8" formatCode="#,##0.00\ &quot;$&quot;;[Red]\-#,##0.00\ &quot;$&quot;"/>
    <numFmt numFmtId="43" formatCode="_-* #,##0.00_-;\-* #,##0.00_-;_-* &quot;-&quot;??_-;_-@_-"/>
    <numFmt numFmtId="164" formatCode="_-* #,##0_-;\-* #,##0_-;_-* &quot;-&quot;??_-;_-@_-"/>
    <numFmt numFmtId="165" formatCode="#,##0_ ;[Red]\-#,##0\ "/>
    <numFmt numFmtId="166" formatCode="#,##0\ [$ل.ل.‏-3001];[Red]\-#,##0\ [$ل.ل.‏-3001]"/>
    <numFmt numFmtId="167" formatCode="#,##0.00\ [$ل.ل.‏-3001];[Red]\-#,##0.00\ [$ل.ل.‏-3001]"/>
    <numFmt numFmtId="168" formatCode="#,##0.00_ ;[Red]\-#,##0.00\ "/>
    <numFmt numFmtId="169" formatCode="#,##0.0_ ;[Red]\-#,##0.0\ "/>
    <numFmt numFmtId="170" formatCode="dddd\-dd\-mmm\-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3" fillId="2" borderId="0" xfId="0" applyFont="1" applyFill="1"/>
    <xf numFmtId="0" fontId="3" fillId="0" borderId="0" xfId="0" applyFont="1"/>
    <xf numFmtId="164" fontId="3" fillId="2" borderId="0" xfId="1" applyNumberFormat="1" applyFont="1" applyFill="1"/>
    <xf numFmtId="164" fontId="3" fillId="0" borderId="0" xfId="0" applyNumberFormat="1" applyFont="1"/>
    <xf numFmtId="164" fontId="3" fillId="0" borderId="0" xfId="1" applyNumberFormat="1" applyFont="1"/>
    <xf numFmtId="165" fontId="3" fillId="0" borderId="0" xfId="0" applyNumberFormat="1" applyFont="1"/>
    <xf numFmtId="165" fontId="3" fillId="0" borderId="0" xfId="1" applyNumberFormat="1" applyFont="1"/>
    <xf numFmtId="164" fontId="4" fillId="0" borderId="0" xfId="1" applyNumberFormat="1" applyFont="1"/>
    <xf numFmtId="164" fontId="4" fillId="2" borderId="0" xfId="1" applyNumberFormat="1" applyFont="1" applyFill="1"/>
    <xf numFmtId="164" fontId="4" fillId="0" borderId="0" xfId="0" applyNumberFormat="1" applyFont="1"/>
    <xf numFmtId="6" fontId="3" fillId="0" borderId="0" xfId="0" applyNumberFormat="1" applyFont="1"/>
    <xf numFmtId="6" fontId="3" fillId="2" borderId="0" xfId="0" applyNumberFormat="1" applyFont="1" applyFill="1"/>
    <xf numFmtId="165" fontId="3" fillId="2" borderId="0" xfId="0" applyNumberFormat="1" applyFont="1" applyFill="1"/>
    <xf numFmtId="164" fontId="3" fillId="0" borderId="0" xfId="1" applyNumberFormat="1" applyFont="1" applyFill="1"/>
    <xf numFmtId="0" fontId="3" fillId="3" borderId="0" xfId="0" applyFont="1" applyFill="1"/>
    <xf numFmtId="164" fontId="3" fillId="3" borderId="0" xfId="1" applyNumberFormat="1" applyFont="1" applyFill="1"/>
    <xf numFmtId="164" fontId="3" fillId="4" borderId="0" xfId="1" applyNumberFormat="1" applyFont="1" applyFill="1"/>
    <xf numFmtId="166" fontId="3" fillId="0" borderId="0" xfId="1" applyNumberFormat="1" applyFont="1"/>
    <xf numFmtId="166" fontId="3" fillId="2" borderId="0" xfId="1" applyNumberFormat="1" applyFont="1" applyFill="1"/>
    <xf numFmtId="166" fontId="3" fillId="0" borderId="0" xfId="0" applyNumberFormat="1" applyFont="1"/>
    <xf numFmtId="6" fontId="3" fillId="3" borderId="0" xfId="1" applyNumberFormat="1" applyFont="1" applyFill="1"/>
    <xf numFmtId="6" fontId="3" fillId="2" borderId="0" xfId="1" applyNumberFormat="1" applyFont="1" applyFill="1"/>
    <xf numFmtId="166" fontId="3" fillId="4" borderId="0" xfId="1" applyNumberFormat="1" applyFont="1" applyFill="1"/>
    <xf numFmtId="166" fontId="3" fillId="2" borderId="0" xfId="0" applyNumberFormat="1" applyFont="1" applyFill="1"/>
    <xf numFmtId="8" fontId="3" fillId="3" borderId="0" xfId="1" applyNumberFormat="1" applyFont="1" applyFill="1"/>
    <xf numFmtId="8" fontId="3" fillId="2" borderId="0" xfId="1" applyNumberFormat="1" applyFont="1" applyFill="1"/>
    <xf numFmtId="8" fontId="3" fillId="0" borderId="0" xfId="0" applyNumberFormat="1" applyFont="1"/>
    <xf numFmtId="8" fontId="3" fillId="2" borderId="0" xfId="0" applyNumberFormat="1" applyFont="1" applyFill="1"/>
    <xf numFmtId="167" fontId="3" fillId="4" borderId="0" xfId="1" applyNumberFormat="1" applyFont="1" applyFill="1"/>
    <xf numFmtId="167" fontId="3" fillId="2" borderId="0" xfId="1" applyNumberFormat="1" applyFont="1" applyFill="1"/>
    <xf numFmtId="167" fontId="3" fillId="0" borderId="0" xfId="0" applyNumberFormat="1" applyFont="1"/>
    <xf numFmtId="167" fontId="3" fillId="2" borderId="0" xfId="0" applyNumberFormat="1" applyFont="1" applyFill="1"/>
    <xf numFmtId="164" fontId="4" fillId="0" borderId="0" xfId="0" applyNumberFormat="1" applyFont="1" applyAlignment="1">
      <alignment readingOrder="2"/>
    </xf>
    <xf numFmtId="168" fontId="3" fillId="0" borderId="0" xfId="1" applyNumberFormat="1" applyFont="1"/>
    <xf numFmtId="168" fontId="3" fillId="2" borderId="0" xfId="0" applyNumberFormat="1" applyFont="1" applyFill="1"/>
    <xf numFmtId="168" fontId="5" fillId="0" borderId="0" xfId="0" applyNumberFormat="1" applyFont="1"/>
    <xf numFmtId="168" fontId="3" fillId="0" borderId="0" xfId="0" applyNumberFormat="1" applyFont="1"/>
    <xf numFmtId="164" fontId="4" fillId="0" borderId="0" xfId="0" applyNumberFormat="1" applyFont="1" applyAlignment="1">
      <alignment wrapText="1"/>
    </xf>
    <xf numFmtId="164" fontId="4" fillId="0" borderId="0" xfId="1" applyNumberFormat="1" applyFont="1" applyAlignment="1">
      <alignment horizontal="right"/>
    </xf>
    <xf numFmtId="164" fontId="4" fillId="2" borderId="0" xfId="1" applyNumberFormat="1" applyFont="1" applyFill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 readingOrder="2"/>
    </xf>
    <xf numFmtId="164" fontId="4" fillId="0" borderId="0" xfId="0" applyNumberFormat="1" applyFont="1" applyAlignment="1">
      <alignment horizontal="right" wrapText="1"/>
    </xf>
    <xf numFmtId="169" fontId="3" fillId="0" borderId="0" xfId="0" applyNumberFormat="1" applyFont="1"/>
    <xf numFmtId="16" fontId="0" fillId="0" borderId="0" xfId="0" applyNumberFormat="1"/>
    <xf numFmtId="0" fontId="0" fillId="0" borderId="1" xfId="0" applyBorder="1"/>
    <xf numFmtId="165" fontId="0" fillId="0" borderId="1" xfId="1" applyNumberFormat="1" applyFont="1" applyBorder="1"/>
    <xf numFmtId="165" fontId="0" fillId="0" borderId="0" xfId="0" applyNumberFormat="1"/>
    <xf numFmtId="49" fontId="3" fillId="0" borderId="0" xfId="0" applyNumberFormat="1" applyFont="1"/>
    <xf numFmtId="166" fontId="3" fillId="0" borderId="2" xfId="1" applyNumberFormat="1" applyFont="1" applyBorder="1"/>
    <xf numFmtId="6" fontId="3" fillId="0" borderId="2" xfId="0" applyNumberFormat="1" applyFont="1" applyBorder="1"/>
    <xf numFmtId="166" fontId="3" fillId="5" borderId="2" xfId="1" applyNumberFormat="1" applyFont="1" applyFill="1" applyBorder="1"/>
    <xf numFmtId="6" fontId="3" fillId="5" borderId="2" xfId="0" applyNumberFormat="1" applyFont="1" applyFill="1" applyBorder="1"/>
    <xf numFmtId="166" fontId="3" fillId="0" borderId="0" xfId="1" applyNumberFormat="1" applyFont="1" applyFill="1" applyBorder="1"/>
    <xf numFmtId="10" fontId="0" fillId="0" borderId="1" xfId="1" applyNumberFormat="1" applyFont="1" applyBorder="1"/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0" fontId="0" fillId="0" borderId="1" xfId="0" applyNumberFormat="1" applyBorder="1"/>
    <xf numFmtId="170" fontId="0" fillId="4" borderId="1" xfId="0" applyNumberFormat="1" applyFill="1" applyBorder="1"/>
    <xf numFmtId="165" fontId="0" fillId="4" borderId="1" xfId="1" applyNumberFormat="1" applyFont="1" applyFill="1" applyBorder="1"/>
    <xf numFmtId="10" fontId="0" fillId="4" borderId="1" xfId="1" applyNumberFormat="1" applyFont="1" applyFill="1" applyBorder="1"/>
    <xf numFmtId="0" fontId="0" fillId="4" borderId="1" xfId="0" applyFill="1" applyBorder="1"/>
    <xf numFmtId="166" fontId="3" fillId="0" borderId="0" xfId="1" applyNumberFormat="1" applyFont="1" applyFill="1"/>
    <xf numFmtId="6" fontId="3" fillId="0" borderId="0" xfId="1" applyNumberFormat="1" applyFont="1" applyFill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4">
    <cellStyle name="Comma" xfId="1" builtinId="3"/>
    <cellStyle name="Comma 2" xfId="3" xr:uid="{D2E25BBC-688A-4B3C-B452-F04A86C82D65}"/>
    <cellStyle name="Normal" xfId="0" builtinId="0"/>
    <cellStyle name="Normal 2" xfId="2" xr:uid="{0120F64E-DC30-4A22-83F6-F9F65DB3FB48}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#,##0.0_ ;[Red]\-#,##0.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  <alignment horizontal="right" vertical="bottom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#,##0.0_ ;[Red]\-#,##0.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  <alignment horizontal="right" vertical="bottom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#,##0.0_ ;[Red]\-#,##0.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  <alignment horizontal="right" vertical="bottom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#,##0.0_ ;[Red]\-#,##0.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  <alignment horizontal="right" vertical="bottom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#,##0.0_ ;[Red]\-#,##0.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  <alignment horizontal="right" vertical="bottom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#,##0.0_ ;[Red]\-#,##0.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  <alignment horizontal="right" vertical="bottom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#,##0.0_ ;[Red]\-#,##0.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  <alignment horizontal="right" vertical="bottom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#,##0.0_ ;[Red]\-#,##0.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  <alignment horizontal="right" vertical="bottom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#,##0.0_ ;[Red]\-#,##0.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  <alignment horizontal="right" vertical="bottom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  <alignment horizontal="right" vertical="bottom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  <alignment horizontal="right" vertical="bottom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 tint="-0.499984740745262"/>
        <name val="Calibri"/>
        <family val="2"/>
        <scheme val="minor"/>
      </font>
      <numFmt numFmtId="168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#,##0_ ;[Red]\-#,##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#,##0.0_ ;[Red]\-#,##0.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#,##0\ &quot;$&quot;;[Red]\-#,##0\ &quot;$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\ [$ل.ل.‏-3001];[Red]\-#,##0\ [$ل.ل.‏-300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  <alignment horizontal="right" vertical="bottom" textRotation="0" indent="0" justifyLastLine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14C443C-88C7-488C-AA83-7606C0351032}" name="Table13456789" displayName="Table13456789" ref="H2:J342" totalsRowShown="0">
  <autoFilter ref="H2:J342" xr:uid="{A14C443C-88C7-488C-AA83-7606C0351032}"/>
  <tableColumns count="3">
    <tableColumn id="1" xr3:uid="{695CC590-DFF8-4CFA-9354-B4536C9F9BD4}" name="البيان" dataDxfId="105" dataCellStyle="Comma"/>
    <tableColumn id="2" xr3:uid="{8227A0C2-99AD-4F94-B64E-0CCD602615F0}" name="اللبناني" dataDxfId="104" dataCellStyle="Comma"/>
    <tableColumn id="3" xr3:uid="{2FD21D91-0006-4B12-85DF-6E1BD8A84445}" name="الدولار" dataDxfId="103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2F446C-0357-47CE-8570-3E976F7BA518}" name="Table1" displayName="Table1" ref="H2:J342" totalsRowShown="0">
  <autoFilter ref="H2:J342" xr:uid="{162F446C-0357-47CE-8570-3E976F7BA518}"/>
  <tableColumns count="3">
    <tableColumn id="1" xr3:uid="{4ABCE722-85FD-4836-8A12-ECD7DF457F92}" name="البيان" dataDxfId="102" dataCellStyle="Comma"/>
    <tableColumn id="2" xr3:uid="{50167335-76E5-4C7C-A1C0-6269F299935F}" name="اللبناني" dataDxfId="101" dataCellStyle="Comma"/>
    <tableColumn id="3" xr3:uid="{F00A0EBA-36F3-417C-BF2E-E2634F0D3AFC}" name="الدولار" dataDxfId="100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2EA0C3-16A1-4D53-A6F3-32F1E41A0CC1}" name="Table13" displayName="Table13" ref="H2:J342" totalsRowShown="0">
  <autoFilter ref="H2:J342" xr:uid="{162F446C-0357-47CE-8570-3E976F7BA518}"/>
  <tableColumns count="3">
    <tableColumn id="1" xr3:uid="{9646CBBD-69FD-4998-A497-AED133737E9E}" name="البيان" dataDxfId="99" dataCellStyle="Comma"/>
    <tableColumn id="2" xr3:uid="{BF45CB81-629A-43B2-B2A1-E3068F8B7421}" name="اللبناني" dataDxfId="98" dataCellStyle="Comma"/>
    <tableColumn id="3" xr3:uid="{06A9ADBD-2D6A-4BCF-97FA-76274167B112}" name="الدولار" dataDxfId="97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948598-8688-44B0-8FA5-64CBE34AE8E3}" name="Table134" displayName="Table134" ref="H2:J342" totalsRowShown="0">
  <autoFilter ref="H2:J342" xr:uid="{162F446C-0357-47CE-8570-3E976F7BA518}"/>
  <tableColumns count="3">
    <tableColumn id="1" xr3:uid="{7ADF47F0-B9A2-40FC-979D-580285DD78C1}" name="البيان" dataDxfId="96" dataCellStyle="Comma"/>
    <tableColumn id="2" xr3:uid="{2CAF34AC-81A4-4E7C-86C9-04C3EA81967E}" name="اللبناني" dataDxfId="95" dataCellStyle="Comma"/>
    <tableColumn id="3" xr3:uid="{F567E070-F8F4-4C79-B1C7-66F6064CD9CF}" name="الدولار" dataDxfId="94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428763-788A-4A0B-AB0C-665617C9CACB}" name="Table1345" displayName="Table1345" ref="H2:J342" totalsRowShown="0">
  <autoFilter ref="H2:J342" xr:uid="{162F446C-0357-47CE-8570-3E976F7BA518}"/>
  <tableColumns count="3">
    <tableColumn id="1" xr3:uid="{4A2865FE-1946-4376-B2D9-A5518E43C7C4}" name="البيان" dataDxfId="93" dataCellStyle="Comma"/>
    <tableColumn id="2" xr3:uid="{6F1A9959-0339-4059-9CEB-943E497147A3}" name="اللبناني" dataDxfId="92" dataCellStyle="Comma"/>
    <tableColumn id="3" xr3:uid="{686F2C2F-C84E-475E-969C-22FDFDAC639F}" name="الدولار" dataDxfId="91"/>
  </tableColumns>
  <tableStyleInfo name="TableStyleLight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8F75A5-BB67-4F74-9844-B2A6124ADE19}" name="Table13456" displayName="Table13456" ref="H2:J342" totalsRowShown="0">
  <autoFilter ref="H2:J342" xr:uid="{162F446C-0357-47CE-8570-3E976F7BA518}"/>
  <tableColumns count="3">
    <tableColumn id="1" xr3:uid="{F264F3B9-4328-4127-851F-B8A8E3463A8E}" name="البيان" dataDxfId="90" dataCellStyle="Comma"/>
    <tableColumn id="2" xr3:uid="{1ACDCE08-175A-4D5A-B417-0D6500159466}" name="اللبناني" dataDxfId="89" dataCellStyle="Comma"/>
    <tableColumn id="3" xr3:uid="{EBCF0C6B-487D-4C36-87F6-C4B70AB7E5AF}" name="الدولار" dataDxfId="88"/>
  </tableColumns>
  <tableStyleInfo name="TableStyleLight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8D335B-7773-43EF-8197-8A145A61BAFD}" name="Table134567" displayName="Table134567" ref="H2:J342" totalsRowShown="0">
  <autoFilter ref="H2:J342" xr:uid="{162F446C-0357-47CE-8570-3E976F7BA518}"/>
  <tableColumns count="3">
    <tableColumn id="1" xr3:uid="{B106F707-7A2F-4BD1-92D8-D52492BFD05D}" name="البيان" dataDxfId="87" dataCellStyle="Comma"/>
    <tableColumn id="2" xr3:uid="{7A0CD2A1-EBF2-4CE5-8177-6098D4CBFA52}" name="اللبناني" dataDxfId="86" dataCellStyle="Comma"/>
    <tableColumn id="3" xr3:uid="{371F1743-21A2-44BF-A03F-359C1D855FFF}" name="الدولار" dataDxfId="85"/>
  </tableColumns>
  <tableStyleInfo name="TableStyleLight1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8A1A3A-3C8D-4C4E-8B8E-9DA633C1B85E}" name="Table1345678" displayName="Table1345678" ref="H2:J342" totalsRowShown="0">
  <autoFilter ref="H2:J342" xr:uid="{162F446C-0357-47CE-8570-3E976F7BA518}"/>
  <tableColumns count="3">
    <tableColumn id="1" xr3:uid="{88F488FC-CD13-4C7C-8C4A-F067B7FE3B19}" name="البيان" dataDxfId="84" dataCellStyle="Comma"/>
    <tableColumn id="2" xr3:uid="{675ECC54-8F59-42A1-8B4C-09B6E20E4B9E}" name="اللبناني" dataDxfId="83" dataCellStyle="Comma"/>
    <tableColumn id="3" xr3:uid="{7DA6163B-1C80-4438-9EC4-2E83DEAAA23C}" name="الدولار" dataDxfId="82"/>
  </tableColumns>
  <tableStyleInfo name="TableStyleLight1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61338AF-153B-49C0-A3F1-52731C0AB084}" name="Table134567810" displayName="Table134567810" ref="H2:J342" totalsRowShown="0">
  <autoFilter ref="H2:J342" xr:uid="{162F446C-0357-47CE-8570-3E976F7BA518}"/>
  <tableColumns count="3">
    <tableColumn id="1" xr3:uid="{B8E6CE1A-2FB6-41F4-8D94-F4A0D6BF2D7D}" name="البيان" dataDxfId="81" dataCellStyle="Comma"/>
    <tableColumn id="2" xr3:uid="{E81E5974-19B9-43A5-8A1E-CACE16C9C912}" name="اللبناني" dataDxfId="80" dataCellStyle="Comma"/>
    <tableColumn id="3" xr3:uid="{A0435615-D2C1-4542-BA10-1231A8C05468}" name="الدولار" dataDxfId="79"/>
  </tableColumns>
  <tableStyleInfo name="TableStyleLight1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09BF9C9-45E5-42C6-A931-B24F6E0D67D8}" name="Table13456781011" displayName="Table13456781011" ref="H2:J342" totalsRowShown="0">
  <autoFilter ref="H2:J342" xr:uid="{162F446C-0357-47CE-8570-3E976F7BA518}"/>
  <tableColumns count="3">
    <tableColumn id="1" xr3:uid="{32A98882-E2B4-4A04-B101-53C916C03E4B}" name="البيان" dataDxfId="78" dataCellStyle="Comma"/>
    <tableColumn id="2" xr3:uid="{8C5FFC3B-1312-4635-8DBC-E2B503EAA2BB}" name="اللبناني" dataDxfId="77" dataCellStyle="Comma"/>
    <tableColumn id="3" xr3:uid="{CD64A764-EEB2-46B8-AC91-75D8286F0802}" name="الدولار" dataDxfId="76"/>
  </tableColumns>
  <tableStyleInfo name="TableStyleLight1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E3474C-D7A4-444D-940C-1455239F7C32}" name="Table1345678101112" displayName="Table1345678101112" ref="H2:J343" totalsRowShown="0">
  <autoFilter ref="H2:J343" xr:uid="{162F446C-0357-47CE-8570-3E976F7BA518}"/>
  <tableColumns count="3">
    <tableColumn id="1" xr3:uid="{CAD790D3-5491-4C75-97A9-61E8E8FEFE36}" name="البيان" dataDxfId="75" dataCellStyle="Comma"/>
    <tableColumn id="2" xr3:uid="{59C6911A-CA63-4274-9ECE-C40E3F19B5AE}" name="اللبناني" dataDxfId="74" dataCellStyle="Comma"/>
    <tableColumn id="3" xr3:uid="{0B1A32A2-6D74-4103-9F13-4DAB121FB66A}" name="الدولار" dataDxfId="73"/>
  </tableColumns>
  <tableStyleInfo name="TableStyleLight1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9CC5482-77C6-469F-A65C-64CABFFC14E4}" name="Table134567810111213" displayName="Table134567810111213" ref="H2:K342" totalsRowShown="0">
  <autoFilter ref="H2:K342" xr:uid="{162F446C-0357-47CE-8570-3E976F7BA518}"/>
  <tableColumns count="4">
    <tableColumn id="1" xr3:uid="{408A7006-1E23-483B-A2D8-ED14CDC5D1CA}" name="البيان" dataDxfId="72" dataCellStyle="Comma"/>
    <tableColumn id="2" xr3:uid="{3F4DB29D-5D10-42AC-AD1C-4D352A0D6D46}" name="اللبناني" dataDxfId="71" dataCellStyle="Comma"/>
    <tableColumn id="3" xr3:uid="{D1B89975-6093-4D2C-8D33-13FABCE4B32D}" name="الدولار" dataDxfId="70"/>
    <tableColumn id="4" xr3:uid="{CBE8010A-BACD-4F32-AB80-7D938E77D555}" name="مجموع$" dataDxfId="69">
      <calculatedColumnFormula>Table134567810111213[[#This Row],[الدولار]]+(Table134567810111213[[#This Row],[اللبناني]]/90)</calculatedColumnFormula>
    </tableColumn>
  </tableColumns>
  <tableStyleInfo name="TableStyleLight1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C23FB8-D106-40B5-8EE5-291646064693}" name="Table13456781011121314" displayName="Table13456781011121314" ref="H2:J342" totalsRowShown="0">
  <autoFilter ref="H2:J342" xr:uid="{162F446C-0357-47CE-8570-3E976F7BA518}"/>
  <tableColumns count="3">
    <tableColumn id="1" xr3:uid="{958599C5-3B9D-43CE-9D15-22AD4F8B98F3}" name="البيان" dataDxfId="68" dataCellStyle="Comma"/>
    <tableColumn id="2" xr3:uid="{31794CCF-8872-4C76-B70C-B0FE9DA7E906}" name="اللبناني" dataDxfId="67" dataCellStyle="Comma"/>
    <tableColumn id="3" xr3:uid="{331E74C5-47DD-4023-8FB4-098F8AA4E9A0}" name="الدولار" dataDxfId="66"/>
  </tableColumns>
  <tableStyleInfo name="TableStyleLight1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DBA8F28-5A4B-44FA-B3EF-3635F923CF29}" name="Table1345678101112131415" displayName="Table1345678101112131415" ref="H2:J342" totalsRowShown="0">
  <autoFilter ref="H2:J342" xr:uid="{162F446C-0357-47CE-8570-3E976F7BA518}"/>
  <tableColumns count="3">
    <tableColumn id="1" xr3:uid="{D1D37294-EEE5-4F72-865A-10603E403561}" name="البيان" dataDxfId="65" dataCellStyle="Comma"/>
    <tableColumn id="2" xr3:uid="{BB32F293-F718-4F99-8929-A45D05114C47}" name="اللبناني" dataDxfId="64" dataCellStyle="Comma"/>
    <tableColumn id="3" xr3:uid="{0ACE57FF-8C2F-4A48-BE13-1A5AA3F7EF2E}" name="الدولار" dataDxfId="63"/>
  </tableColumns>
  <tableStyleInfo name="TableStyleLight1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3DF6B6-C621-4D87-B6B2-9791F0C37233}" name="Table134567810111213141516" displayName="Table134567810111213141516" ref="H2:J342" totalsRowShown="0">
  <autoFilter ref="H2:J342" xr:uid="{162F446C-0357-47CE-8570-3E976F7BA518}"/>
  <tableColumns count="3">
    <tableColumn id="1" xr3:uid="{7ECA8808-50D3-429F-8420-12139BC91447}" name="البيان" dataDxfId="62" dataCellStyle="Comma"/>
    <tableColumn id="2" xr3:uid="{1B9E4C27-B76E-455F-86C9-B2B87D26C43E}" name="اللبناني" dataDxfId="61" dataCellStyle="Comma"/>
    <tableColumn id="3" xr3:uid="{CE6B7DF1-99B9-489C-8679-046AD10BFAB1}" name="الدولار" dataDxfId="60"/>
  </tableColumns>
  <tableStyleInfo name="TableStyleLight1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8D80610-FDD7-4522-9FBE-2A5CFEC717B7}" name="Table13456781011121314151617" displayName="Table13456781011121314151617" ref="H2:J342" totalsRowShown="0">
  <autoFilter ref="H2:J342" xr:uid="{162F446C-0357-47CE-8570-3E976F7BA518}"/>
  <tableColumns count="3">
    <tableColumn id="1" xr3:uid="{03FBF91F-6FE2-4316-8B57-1759EB39469B}" name="البيان" dataDxfId="59" dataCellStyle="Comma"/>
    <tableColumn id="2" xr3:uid="{AA3F3E1A-B0A4-4FD3-BD21-62C45B5B4A61}" name="اللبناني" dataDxfId="58" dataCellStyle="Comma"/>
    <tableColumn id="3" xr3:uid="{86920F89-A020-4DD2-B09B-5E5163189B20}" name="الدولار" dataDxfId="57"/>
  </tableColumns>
  <tableStyleInfo name="TableStyleLight1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17AD599-FDBC-4956-B487-95CE56C43AF3}" name="Table1345678101112131415161718" displayName="Table1345678101112131415161718" ref="H2:J342" totalsRowShown="0">
  <autoFilter ref="H2:J342" xr:uid="{162F446C-0357-47CE-8570-3E976F7BA518}"/>
  <tableColumns count="3">
    <tableColumn id="1" xr3:uid="{80D1A1E6-9563-4621-A2B6-E305B1AC6FC5}" name="البيان" dataDxfId="56" dataCellStyle="Comma"/>
    <tableColumn id="2" xr3:uid="{07E359D6-AAAF-4AA1-B934-27AA9CE628AE}" name="اللبناني" dataDxfId="55" dataCellStyle="Comma"/>
    <tableColumn id="3" xr3:uid="{89C17E15-D5EC-4E55-9AFE-F9465B180DAC}" name="الدولار" dataDxfId="54"/>
  </tableColumns>
  <tableStyleInfo name="TableStyleLight1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0EBDFF2-8660-423D-988C-101B8A65B95E}" name="Table134567810111213141516171819" displayName="Table134567810111213141516171819" ref="H2:J342" totalsRowShown="0">
  <autoFilter ref="H2:J342" xr:uid="{162F446C-0357-47CE-8570-3E976F7BA518}"/>
  <tableColumns count="3">
    <tableColumn id="1" xr3:uid="{4A68610C-31DF-47ED-826B-3C2004A496CC}" name="البيان" dataDxfId="53" dataCellStyle="Comma"/>
    <tableColumn id="2" xr3:uid="{01ABD264-92A2-4B54-8D72-92041C03A939}" name="اللبناني" dataDxfId="52" dataCellStyle="Comma"/>
    <tableColumn id="3" xr3:uid="{F1CA7C0C-87D1-4586-BFFA-332F7E955BC5}" name="الدولار" dataDxfId="51"/>
  </tableColumns>
  <tableStyleInfo name="TableStyleLight1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F2DB9B2-FB42-4BA8-A885-4CFCD8635125}" name="Table13456781011121314151617181920" displayName="Table13456781011121314151617181920" ref="H2:J342" totalsRowShown="0">
  <autoFilter ref="H2:J342" xr:uid="{162F446C-0357-47CE-8570-3E976F7BA518}"/>
  <tableColumns count="3">
    <tableColumn id="1" xr3:uid="{97B357BB-AF94-4058-AABB-7622FB11DC26}" name="البيان" dataDxfId="50" dataCellStyle="Comma"/>
    <tableColumn id="2" xr3:uid="{DEA0DAF3-3581-4BE3-85F1-8BD49848A302}" name="اللبناني" dataDxfId="49" dataCellStyle="Comma"/>
    <tableColumn id="3" xr3:uid="{54E0FE09-A076-4769-AD88-77889AF06A30}" name="الدولار" dataDxfId="48"/>
  </tableColumns>
  <tableStyleInfo name="TableStyleLight1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C7E5DFA-A5B1-46B6-B95C-4DF48CBE3FAF}" name="Table1345678101112131415161718192021" displayName="Table1345678101112131415161718192021" ref="H2:J342" totalsRowShown="0">
  <autoFilter ref="H2:J342" xr:uid="{162F446C-0357-47CE-8570-3E976F7BA518}"/>
  <tableColumns count="3">
    <tableColumn id="1" xr3:uid="{019A03F3-5D8A-4294-A1FF-FC91944667C6}" name="البيان" dataDxfId="47" dataCellStyle="Comma"/>
    <tableColumn id="2" xr3:uid="{FD085C4F-3684-4A87-8013-914841901FEA}" name="اللبناني" dataDxfId="46" dataCellStyle="Comma"/>
    <tableColumn id="3" xr3:uid="{958DC8D7-4337-4D93-9FC8-56C584DD1E8E}" name="الدولار" dataDxfId="45"/>
  </tableColumns>
  <tableStyleInfo name="TableStyleLight1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A6E4F59-0865-4BB8-B774-9472290CC723}" name="Table134567810111213141516171819202122" displayName="Table134567810111213141516171819202122" ref="H2:J342" totalsRowShown="0">
  <autoFilter ref="H2:J342" xr:uid="{162F446C-0357-47CE-8570-3E976F7BA518}"/>
  <tableColumns count="3">
    <tableColumn id="1" xr3:uid="{596D35BD-DB0A-40DD-99C3-47A3C02D6E03}" name="البيان" dataDxfId="44" dataCellStyle="Comma"/>
    <tableColumn id="2" xr3:uid="{06BCBF11-096B-4126-8418-0745C32761B6}" name="اللبناني" dataDxfId="43" dataCellStyle="Comma"/>
    <tableColumn id="3" xr3:uid="{D16CF33A-E8DD-4BBE-92CA-0819446979C8}" name="الدولار" dataDxfId="42"/>
  </tableColumns>
  <tableStyleInfo name="TableStyleLight1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7647E2B-20EA-4FFE-AA83-21A6A0A841D8}" name="Table13456781011121314151617181920212223" displayName="Table13456781011121314151617181920212223" ref="H2:J342" totalsRowShown="0">
  <autoFilter ref="H2:J342" xr:uid="{162F446C-0357-47CE-8570-3E976F7BA518}"/>
  <tableColumns count="3">
    <tableColumn id="1" xr3:uid="{C01D9821-3050-4FE4-8594-40B569EB1B74}" name="البيان" dataDxfId="41" dataCellStyle="Comma"/>
    <tableColumn id="2" xr3:uid="{9B57E408-6C3C-480A-8A34-C1CCDCA1CCCC}" name="اللبناني" dataDxfId="40" dataCellStyle="Comma"/>
    <tableColumn id="3" xr3:uid="{8816ED9C-D2A6-43A3-B9DC-81AA8399EE24}" name="الدولار" dataDxfId="39"/>
  </tableColumns>
  <tableStyleInfo name="TableStyleLight1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72F6D15-9494-4F4D-BF48-02DDBA2D33A4}" name="Table1345678101112131415161718192021222324" displayName="Table1345678101112131415161718192021222324" ref="I12:L352" totalsRowShown="0">
  <autoFilter ref="I12:L352" xr:uid="{162F446C-0357-47CE-8570-3E976F7BA518}"/>
  <tableColumns count="4">
    <tableColumn id="1" xr3:uid="{DC67B27D-BE9D-4F70-85C6-B35E0378FE5D}" name="البيان" dataDxfId="38" dataCellStyle="Comma"/>
    <tableColumn id="2" xr3:uid="{15788374-6F7C-4405-B98C-73A2DD3F6B16}" name="اللبناني" dataDxfId="37" dataCellStyle="Comma"/>
    <tableColumn id="3" xr3:uid="{AA98C7BF-3991-498E-A0E5-A62E7C274200}" name="الدولار" dataDxfId="36"/>
    <tableColumn id="4" xr3:uid="{5F7F0BD9-49E7-45D0-A129-2F5D5111FD0F}" name="مبيع $" dataDxfId="35">
      <calculatedColumnFormula>Table1345678101112131415161718192021222324[[#This Row],[الدولار]]+(Table1345678101112131415161718192021222324[[#This Row],[اللبناني]]/90)</calculatedColumnFormula>
    </tableColumn>
  </tableColumns>
  <tableStyleInfo name="TableStyleLight1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69F1AE3-9B3B-4E10-88AA-49640DC16B35}" name="Table134567810111213141516171819202122232425" displayName="Table134567810111213141516171819202122232425" ref="I14:L354" totalsRowShown="0">
  <autoFilter ref="I14:L354" xr:uid="{162F446C-0357-47CE-8570-3E976F7BA518}"/>
  <tableColumns count="4">
    <tableColumn id="1" xr3:uid="{DC1E71C2-2E68-4FB2-83DC-A5FF33B3BD17}" name="البيان" dataDxfId="34" dataCellStyle="Comma"/>
    <tableColumn id="2" xr3:uid="{12DAAEFC-0A10-4736-8893-5D5DE082D113}" name="اللبناني" dataDxfId="33" dataCellStyle="Comma"/>
    <tableColumn id="3" xr3:uid="{3BC01A54-637D-466E-BFCB-BFE0A2CE4CBA}" name="الدولار" dataDxfId="32"/>
    <tableColumn id="4" xr3:uid="{E179DE72-9BF3-4716-BBA7-DC6D9CAD73ED}" name="مبيع $" dataDxfId="31">
      <calculatedColumnFormula>Table134567810111213141516171819202122232425[[#This Row],[الدولار]]+(Table134567810111213141516171819202122232425[[#This Row],[اللبناني]]/90)</calculatedColumnFormula>
    </tableColumn>
  </tableColumns>
  <tableStyleInfo name="TableStyleLight1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B511424-C79C-498E-88AA-8459E1E552AF}" name="Table13456781011121314151617181920212223242526" displayName="Table13456781011121314151617181920212223242526" ref="I14:L354" totalsRowShown="0">
  <autoFilter ref="I14:L354" xr:uid="{162F446C-0357-47CE-8570-3E976F7BA518}"/>
  <tableColumns count="4">
    <tableColumn id="1" xr3:uid="{A2008310-FABA-498A-AA35-87451E9C2CA1}" name="البيان" dataDxfId="30" dataCellStyle="Comma"/>
    <tableColumn id="2" xr3:uid="{8E11D384-1701-4ACB-A10E-54C4A2445635}" name="اللبناني" dataDxfId="29" dataCellStyle="Comma"/>
    <tableColumn id="3" xr3:uid="{2ADF4B18-9FA9-4DCE-B709-446A2B0C78F9}" name="الدولار" dataDxfId="28"/>
    <tableColumn id="4" xr3:uid="{A3318590-40A3-4FC2-83E9-E2905325EA72}" name="مبيع $" dataDxfId="27">
      <calculatedColumnFormula>Table13456781011121314151617181920212223242526[[#This Row],[الدولار]]+(Table13456781011121314151617181920212223242526[[#This Row],[اللبناني]]/90)</calculatedColumnFormula>
    </tableColumn>
  </tableColumns>
  <tableStyleInfo name="TableStyleLight1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BE74FBC-FD01-4D20-B44E-D3ADCCBBDFB3}" name="Table1345678101112131415161718192021222324252627" displayName="Table1345678101112131415161718192021222324252627" ref="I14:L354" totalsRowShown="0">
  <autoFilter ref="I14:L354" xr:uid="{162F446C-0357-47CE-8570-3E976F7BA518}"/>
  <tableColumns count="4">
    <tableColumn id="1" xr3:uid="{6726DD18-6A89-4ECC-9D85-E52076CD8F1E}" name="البيان" dataDxfId="26" dataCellStyle="Comma"/>
    <tableColumn id="2" xr3:uid="{E461FBD3-A042-4D28-B847-28D5F03978DF}" name="اللبناني" dataDxfId="25" dataCellStyle="Comma"/>
    <tableColumn id="3" xr3:uid="{9F2D54F4-BE2F-4C49-95AE-C4483070BA0B}" name="الدولار" dataDxfId="24"/>
    <tableColumn id="4" xr3:uid="{285E2C7A-B73B-4C22-A479-CAE77D6FAAAF}" name="مبيع $" dataDxfId="23">
      <calculatedColumnFormula>Table1345678101112131415161718192021222324252627[[#This Row],[الدولار]]+(Table1345678101112131415161718192021222324252627[[#This Row],[اللبناني]]/90)</calculatedColumnFormula>
    </tableColumn>
  </tableColumns>
  <tableStyleInfo name="TableStyleLight1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43AF239-2CD2-489B-9662-A49905D1C857}" name="Table134567810111213141516171819202122232425262729" displayName="Table134567810111213141516171819202122232425262729" ref="I14:L354" totalsRowShown="0">
  <autoFilter ref="I14:L354" xr:uid="{162F446C-0357-47CE-8570-3E976F7BA518}"/>
  <tableColumns count="4">
    <tableColumn id="1" xr3:uid="{99362571-1EB7-4E15-9BA6-8B5FB0A4045B}" name="البيان" dataDxfId="22" dataCellStyle="Comma"/>
    <tableColumn id="2" xr3:uid="{C0EF84E1-D48F-408F-BC75-AD88F4AC810B}" name="اللبناني" dataDxfId="21" dataCellStyle="Comma"/>
    <tableColumn id="3" xr3:uid="{5CBF08E3-3008-40C1-B0D4-441DA172189A}" name="الدولار" dataDxfId="20"/>
    <tableColumn id="4" xr3:uid="{A7B250B7-89A5-4301-949E-BAD352E7F883}" name="مبيع $" dataDxfId="19">
      <calculatedColumnFormula>Table134567810111213141516171819202122232425262729[[#This Row],[الدولار]]+(Table134567810111213141516171819202122232425262729[[#This Row],[اللبناني]]/90)</calculatedColumnFormula>
    </tableColumn>
  </tableColumns>
  <tableStyleInfo name="TableStyleLight1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5E949EC-A0DD-4FA7-948D-6F8A94B1C73F}" name="Table134567810111213141516171819202122232425262728" displayName="Table134567810111213141516171819202122232425262728" ref="I18:L358" totalsRowShown="0">
  <autoFilter ref="I18:L358" xr:uid="{162F446C-0357-47CE-8570-3E976F7BA518}"/>
  <tableColumns count="4">
    <tableColumn id="1" xr3:uid="{B2590AAD-50D8-45C7-89D1-17A680F4EADD}" name="البيان" dataDxfId="18" dataCellStyle="Comma"/>
    <tableColumn id="2" xr3:uid="{3E4B7AFC-4832-4251-AE53-6367FF62AEB3}" name="اللبناني" dataDxfId="17" dataCellStyle="Comma"/>
    <tableColumn id="3" xr3:uid="{BB90466A-2728-4E83-91A9-266AA15F4EA4}" name="الدولار" dataDxfId="16"/>
    <tableColumn id="4" xr3:uid="{9A6D1F4B-B2CC-4A79-98AA-24A388BE84BD}" name="مبيع $" dataDxfId="15">
      <calculatedColumnFormula>Table134567810111213141516171819202122232425262728[[#This Row],[الدولار]]+(Table134567810111213141516171819202122232425262728[[#This Row],[اللبناني]]/90)</calculatedColumnFormula>
    </tableColumn>
  </tableColumns>
  <tableStyleInfo name="TableStyleLight1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4D00A7D-98D9-4045-8DF6-7CE730677D1B}" name="Table13456781011121314151617181920212223242526272830" displayName="Table13456781011121314151617181920212223242526272830" ref="I21:L361" totalsRowShown="0">
  <autoFilter ref="I21:L361" xr:uid="{162F446C-0357-47CE-8570-3E976F7BA518}"/>
  <tableColumns count="4">
    <tableColumn id="1" xr3:uid="{A7D94F22-0D24-4FC6-9529-C01F6F8FDDFB}" name="البيان" dataDxfId="14" dataCellStyle="Comma"/>
    <tableColumn id="2" xr3:uid="{47601CBA-AC25-4229-98AC-031D60D43C7F}" name="اللبناني" dataDxfId="13" dataCellStyle="Comma"/>
    <tableColumn id="3" xr3:uid="{61DDFDC9-F0FF-4F21-8D74-AD2B80F7E727}" name="الدولار" dataDxfId="12"/>
    <tableColumn id="4" xr3:uid="{146EEC34-97FC-442F-A149-06E3BF1484F2}" name="مبيع $" dataDxfId="11">
      <calculatedColumnFormula>Table13456781011121314151617181920212223242526272830[[#This Row],[الدولار]]+(Table13456781011121314151617181920212223242526272830[[#This Row],[اللبناني]]/90)</calculatedColumnFormula>
    </tableColumn>
  </tableColumns>
  <tableStyleInfo name="TableStyleLight1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65DB963-4E24-4927-8988-9527A5C05887}" name="Table1345678101112131415161718192021222324252627283031" displayName="Table1345678101112131415161718192021222324252627283031" ref="I21:L361" totalsRowShown="0">
  <autoFilter ref="I21:L361" xr:uid="{162F446C-0357-47CE-8570-3E976F7BA518}"/>
  <tableColumns count="4">
    <tableColumn id="1" xr3:uid="{4A6CC659-0932-42A5-802A-F3E221AF313E}" name="البيان" dataDxfId="10" dataCellStyle="Comma"/>
    <tableColumn id="2" xr3:uid="{E3FF5611-82A3-4B12-8CB4-F1B6E2C10B09}" name="اللبناني" dataDxfId="9" dataCellStyle="Comma"/>
    <tableColumn id="3" xr3:uid="{A481C835-AAEA-4A4B-8B1E-358D3F18DF87}" name="الدولار" dataDxfId="8"/>
    <tableColumn id="4" xr3:uid="{22824071-FD70-4085-857F-1A34638772BE}" name="مبيع $" dataDxfId="7">
      <calculatedColumnFormula>Table1345678101112131415161718192021222324252627283031[[#This Row],[الدولار]]+(Table1345678101112131415161718192021222324252627283031[[#This Row],[اللبناني]]/90)</calculatedColumnFormula>
    </tableColumn>
  </tableColumns>
  <tableStyleInfo name="TableStyleLight1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5E44458-830C-4D3E-8E8D-D7951C03B380}" name="Table134567810111213141516171819202122232425262728303132" displayName="Table134567810111213141516171819202122232425262728303132" ref="I21:L361" totalsRowShown="0">
  <autoFilter ref="I21:L361" xr:uid="{162F446C-0357-47CE-8570-3E976F7BA518}"/>
  <tableColumns count="4">
    <tableColumn id="1" xr3:uid="{446F2325-1B9E-4D6E-BD39-721884D20B14}" name="البيان" dataDxfId="6" dataCellStyle="Comma"/>
    <tableColumn id="2" xr3:uid="{ACC5BC0F-8E2C-4073-8986-D2185BD18810}" name="اللبناني" dataDxfId="5" dataCellStyle="Comma"/>
    <tableColumn id="3" xr3:uid="{C134D30D-B29C-4496-B06F-098E7994BD23}" name="الدولار" dataDxfId="4"/>
    <tableColumn id="4" xr3:uid="{A1E662D4-03FD-4018-9A91-75310DEC5029}" name="مبيع $" dataDxfId="3">
      <calculatedColumnFormula>Table134567810111213141516171819202122232425262728303132[[#This Row],[الدولار]]+(Table134567810111213141516171819202122232425262728303132[[#This Row],[اللبناني]]/90)</calculatedColumnFormula>
    </tableColumn>
  </tableColumns>
  <tableStyleInfo name="TableStyleLight1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F7758B4-CD64-4E86-891C-AA268F94AE53}" name="Table13456781011121314151617181920212223242526272830313233" displayName="Table13456781011121314151617181920212223242526272830313233" ref="I21:L361" totalsRowShown="0">
  <autoFilter ref="I21:L361" xr:uid="{162F446C-0357-47CE-8570-3E976F7BA518}"/>
  <tableColumns count="4">
    <tableColumn id="1" xr3:uid="{BAFF3644-3C19-46E9-B25E-E475A5FE24BE}" name="البيان" dataDxfId="109" dataCellStyle="Comma"/>
    <tableColumn id="2" xr3:uid="{29426DBC-8256-42A1-9033-10E9F4CD55FD}" name="اللبناني" dataDxfId="108" dataCellStyle="Comma"/>
    <tableColumn id="3" xr3:uid="{232C5C34-94FE-4922-B14C-31F91BFD8795}" name="الدولار" dataDxfId="107"/>
    <tableColumn id="4" xr3:uid="{4B1C12EC-5397-475B-8A27-D0393A09AE07}" name="مبيع $" dataDxfId="106">
      <calculatedColumnFormula>Table13456781011121314151617181920212223242526272830313233[[#This Row],[الدولار]]+(Table13456781011121314151617181920212223242526272830313233[[#This Row],[اللبناني]]/90)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9622-300D-47B1-8ECC-BD94DFEBAA4A}">
  <sheetPr codeName="Sheet1"/>
  <dimension ref="A1:Q342"/>
  <sheetViews>
    <sheetView rightToLeft="1" workbookViewId="0">
      <pane ySplit="13" topLeftCell="A14" activePane="bottomLeft" state="frozen"/>
      <selection pane="bottomLeft" activeCell="H11" sqref="H11"/>
    </sheetView>
  </sheetViews>
  <sheetFormatPr defaultRowHeight="15.6" x14ac:dyDescent="0.3"/>
  <cols>
    <col min="1" max="1" width="12" style="2" bestFit="1" customWidth="1"/>
    <col min="2" max="2" width="5.109375" style="2" bestFit="1" customWidth="1"/>
    <col min="3" max="3" width="7.6640625" style="2" bestFit="1" customWidth="1"/>
    <col min="4" max="4" width="9.109375" style="2" bestFit="1" customWidth="1"/>
    <col min="5" max="5" width="5.109375" style="2" bestFit="1" customWidth="1"/>
    <col min="6" max="6" width="12.88671875" style="2" bestFit="1" customWidth="1"/>
    <col min="7" max="7" width="4.5546875" style="2" customWidth="1"/>
    <col min="8" max="8" width="19.88671875" style="8" customWidth="1"/>
    <col min="9" max="9" width="14.6640625" style="7" bestFit="1" customWidth="1"/>
    <col min="10" max="10" width="8.5546875" style="11" bestFit="1" customWidth="1"/>
    <col min="11" max="11" width="3.77734375" style="6" customWidth="1"/>
    <col min="12" max="12" width="11.44140625" style="2" customWidth="1"/>
    <col min="13" max="13" width="5.109375" style="2" bestFit="1" customWidth="1"/>
    <col min="14" max="14" width="11.5546875" style="2" bestFit="1" customWidth="1"/>
    <col min="15" max="15" width="10.21875" style="2" customWidth="1"/>
    <col min="16" max="16" width="7.77734375" style="2" customWidth="1"/>
    <col min="17" max="17" width="18.44140625" style="2" bestFit="1" customWidth="1"/>
    <col min="18" max="16384" width="8.88671875" style="2"/>
  </cols>
  <sheetData>
    <row r="1" spans="1:17" x14ac:dyDescent="0.3">
      <c r="A1" s="2" t="s">
        <v>29</v>
      </c>
      <c r="H1" s="8" t="s">
        <v>38</v>
      </c>
      <c r="L1" s="2" t="s">
        <v>33</v>
      </c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C3" s="21">
        <f>A3*B3</f>
        <v>0</v>
      </c>
      <c r="D3" s="17">
        <v>5</v>
      </c>
      <c r="F3" s="23">
        <f>D3*E3</f>
        <v>0</v>
      </c>
      <c r="G3" s="5"/>
      <c r="H3" s="10"/>
      <c r="I3" s="20"/>
      <c r="L3" s="15">
        <v>1</v>
      </c>
      <c r="N3" s="21">
        <f>L3*M3</f>
        <v>0</v>
      </c>
      <c r="O3" s="17">
        <v>5</v>
      </c>
      <c r="Q3" s="23">
        <f>O3*P3</f>
        <v>0</v>
      </c>
    </row>
    <row r="4" spans="1:17" x14ac:dyDescent="0.3">
      <c r="A4" s="15">
        <v>5</v>
      </c>
      <c r="C4" s="21">
        <f t="shared" ref="C4:C8" si="0">A4*B4</f>
        <v>0</v>
      </c>
      <c r="D4" s="17">
        <v>10</v>
      </c>
      <c r="F4" s="23">
        <f t="shared" ref="F4:F7" si="1">D4*E4</f>
        <v>0</v>
      </c>
      <c r="G4" s="5"/>
      <c r="H4" s="10"/>
      <c r="I4" s="20"/>
      <c r="L4" s="15">
        <v>5</v>
      </c>
      <c r="N4" s="21">
        <f t="shared" ref="N4:N8" si="2">L4*M4</f>
        <v>0</v>
      </c>
      <c r="O4" s="17">
        <v>10</v>
      </c>
      <c r="Q4" s="23">
        <f t="shared" ref="Q4:Q7" si="3">O4*P4</f>
        <v>0</v>
      </c>
    </row>
    <row r="5" spans="1:17" x14ac:dyDescent="0.3">
      <c r="A5" s="15">
        <v>10</v>
      </c>
      <c r="C5" s="21">
        <f t="shared" si="0"/>
        <v>0</v>
      </c>
      <c r="D5" s="17">
        <v>20</v>
      </c>
      <c r="F5" s="23">
        <f t="shared" si="1"/>
        <v>0</v>
      </c>
      <c r="G5" s="5"/>
      <c r="H5" s="10"/>
      <c r="I5" s="20"/>
      <c r="L5" s="15">
        <v>10</v>
      </c>
      <c r="N5" s="21">
        <f t="shared" si="2"/>
        <v>0</v>
      </c>
      <c r="O5" s="17">
        <v>20</v>
      </c>
      <c r="Q5" s="23">
        <f t="shared" si="3"/>
        <v>0</v>
      </c>
    </row>
    <row r="6" spans="1:17" x14ac:dyDescent="0.3">
      <c r="A6" s="15">
        <v>20</v>
      </c>
      <c r="C6" s="21">
        <f t="shared" si="0"/>
        <v>0</v>
      </c>
      <c r="D6" s="17">
        <v>50</v>
      </c>
      <c r="F6" s="23">
        <f t="shared" si="1"/>
        <v>0</v>
      </c>
      <c r="G6" s="5"/>
      <c r="H6" s="10"/>
      <c r="I6" s="20"/>
      <c r="L6" s="15">
        <v>20</v>
      </c>
      <c r="N6" s="21">
        <f t="shared" si="2"/>
        <v>0</v>
      </c>
      <c r="O6" s="17">
        <v>50</v>
      </c>
      <c r="Q6" s="23">
        <f t="shared" si="3"/>
        <v>0</v>
      </c>
    </row>
    <row r="7" spans="1:17" x14ac:dyDescent="0.3">
      <c r="A7" s="15">
        <v>50</v>
      </c>
      <c r="C7" s="21">
        <f t="shared" si="0"/>
        <v>0</v>
      </c>
      <c r="D7" s="17">
        <v>100</v>
      </c>
      <c r="F7" s="23">
        <f t="shared" si="1"/>
        <v>0</v>
      </c>
      <c r="G7" s="5"/>
      <c r="H7" s="10"/>
      <c r="I7" s="20"/>
      <c r="L7" s="15">
        <v>50</v>
      </c>
      <c r="N7" s="21">
        <f t="shared" si="2"/>
        <v>0</v>
      </c>
      <c r="O7" s="17">
        <v>100</v>
      </c>
      <c r="Q7" s="23">
        <f t="shared" si="3"/>
        <v>0</v>
      </c>
    </row>
    <row r="8" spans="1:17" x14ac:dyDescent="0.3">
      <c r="A8" s="15">
        <v>100</v>
      </c>
      <c r="C8" s="21">
        <f t="shared" si="0"/>
        <v>0</v>
      </c>
      <c r="D8" s="1" t="s">
        <v>1</v>
      </c>
      <c r="E8" s="1"/>
      <c r="F8" s="19">
        <f>SUM(F3:F7)</f>
        <v>0</v>
      </c>
      <c r="G8" s="5"/>
      <c r="H8" s="10"/>
      <c r="I8" s="20"/>
      <c r="L8" s="15">
        <v>100</v>
      </c>
      <c r="N8" s="21">
        <f t="shared" si="2"/>
        <v>0</v>
      </c>
      <c r="O8" s="1" t="s">
        <v>1</v>
      </c>
      <c r="P8" s="1"/>
      <c r="Q8" s="19">
        <f>SUM(Q3:Q7)</f>
        <v>0</v>
      </c>
    </row>
    <row r="9" spans="1:17" x14ac:dyDescent="0.3">
      <c r="A9" s="1" t="s">
        <v>1</v>
      </c>
      <c r="B9" s="1"/>
      <c r="C9" s="22">
        <f>SUM(C3:C8)</f>
        <v>0</v>
      </c>
      <c r="H9" s="10"/>
      <c r="I9" s="20"/>
      <c r="L9" s="1" t="s">
        <v>1</v>
      </c>
      <c r="M9" s="1"/>
      <c r="N9" s="22">
        <f>SUM(N3:N8)</f>
        <v>0</v>
      </c>
      <c r="Q9" s="20"/>
    </row>
    <row r="10" spans="1:17" x14ac:dyDescent="0.3">
      <c r="H10" s="10"/>
      <c r="I10" s="20"/>
      <c r="N10" s="27"/>
      <c r="O10" s="1" t="s">
        <v>40</v>
      </c>
      <c r="P10" s="1"/>
      <c r="Q10" s="24">
        <f>SUM(Table13456789[اللبناني])</f>
        <v>0</v>
      </c>
    </row>
    <row r="11" spans="1:17" x14ac:dyDescent="0.3">
      <c r="H11" s="10"/>
      <c r="I11" s="20"/>
      <c r="L11" s="1" t="s">
        <v>39</v>
      </c>
      <c r="M11" s="1"/>
      <c r="N11" s="12">
        <f>SUM(Table13456789[الدولار])</f>
        <v>0</v>
      </c>
      <c r="Q11" s="20"/>
    </row>
    <row r="12" spans="1:17" x14ac:dyDescent="0.3">
      <c r="H12" s="10"/>
      <c r="I12" s="20"/>
      <c r="N12" s="27"/>
      <c r="O12" s="1" t="s">
        <v>27</v>
      </c>
      <c r="P12" s="1"/>
      <c r="Q12" s="24">
        <f>Q8-Q10-F8</f>
        <v>0</v>
      </c>
    </row>
    <row r="13" spans="1:17" x14ac:dyDescent="0.3">
      <c r="C13" s="14"/>
      <c r="D13" s="14"/>
      <c r="F13" s="14"/>
      <c r="H13" s="10"/>
      <c r="I13" s="20"/>
      <c r="L13" s="1" t="s">
        <v>27</v>
      </c>
      <c r="M13" s="1"/>
      <c r="N13" s="12">
        <f>N9-N11-C9</f>
        <v>0</v>
      </c>
    </row>
    <row r="14" spans="1:17" x14ac:dyDescent="0.3">
      <c r="C14" s="14"/>
      <c r="D14" s="14"/>
      <c r="F14" s="14"/>
      <c r="H14" s="10"/>
      <c r="I14" s="18"/>
    </row>
    <row r="15" spans="1:17" x14ac:dyDescent="0.3">
      <c r="C15" s="14"/>
      <c r="D15" s="14"/>
      <c r="F15" s="14"/>
      <c r="H15" s="10"/>
      <c r="I15" s="18"/>
    </row>
    <row r="16" spans="1:17" x14ac:dyDescent="0.3">
      <c r="C16" s="14"/>
      <c r="D16" s="14"/>
      <c r="F16" s="14"/>
      <c r="H16" s="10"/>
      <c r="I16" s="18"/>
    </row>
    <row r="17" spans="3:11" s="11" customFormat="1" x14ac:dyDescent="0.3">
      <c r="C17" s="14"/>
      <c r="D17" s="14"/>
      <c r="E17" s="2"/>
      <c r="F17" s="14"/>
      <c r="G17" s="2"/>
      <c r="H17" s="10"/>
      <c r="I17" s="20"/>
      <c r="K17" s="6"/>
    </row>
    <row r="18" spans="3:11" s="11" customFormat="1" x14ac:dyDescent="0.3">
      <c r="C18" s="14"/>
      <c r="D18" s="2"/>
      <c r="E18" s="2"/>
      <c r="F18" s="14"/>
      <c r="G18" s="2"/>
      <c r="H18" s="10"/>
      <c r="I18" s="20"/>
      <c r="K18" s="6"/>
    </row>
    <row r="19" spans="3:11" s="11" customFormat="1" x14ac:dyDescent="0.3">
      <c r="C19" s="14"/>
      <c r="D19" s="2"/>
      <c r="E19" s="2"/>
      <c r="F19" s="2"/>
      <c r="G19" s="2"/>
      <c r="H19" s="10"/>
      <c r="I19" s="20"/>
      <c r="K19" s="6"/>
    </row>
    <row r="20" spans="3:11" s="11" customFormat="1" x14ac:dyDescent="0.3">
      <c r="C20" s="2"/>
      <c r="D20" s="2"/>
      <c r="E20" s="2"/>
      <c r="F20" s="6"/>
      <c r="G20" s="2"/>
      <c r="H20" s="10"/>
      <c r="I20" s="20"/>
      <c r="K20" s="6"/>
    </row>
    <row r="21" spans="3:11" s="11" customFormat="1" x14ac:dyDescent="0.3">
      <c r="C21" s="6"/>
      <c r="D21" s="2"/>
      <c r="E21" s="2"/>
      <c r="F21" s="2"/>
      <c r="G21" s="2"/>
      <c r="H21" s="10"/>
      <c r="I21" s="20"/>
      <c r="K21" s="6"/>
    </row>
    <row r="22" spans="3:11" s="11" customFormat="1" x14ac:dyDescent="0.3">
      <c r="C22" s="2"/>
      <c r="D22" s="2"/>
      <c r="E22" s="2"/>
      <c r="F22" s="6"/>
      <c r="G22" s="2"/>
      <c r="H22" s="10"/>
      <c r="I22" s="20"/>
      <c r="K22" s="6"/>
    </row>
    <row r="23" spans="3:11" s="11" customFormat="1" x14ac:dyDescent="0.3">
      <c r="C23" s="6"/>
      <c r="D23" s="2"/>
      <c r="E23" s="2"/>
      <c r="F23" s="2"/>
      <c r="G23" s="2"/>
      <c r="H23" s="10"/>
      <c r="I23" s="20"/>
      <c r="K23" s="6"/>
    </row>
    <row r="24" spans="3:11" s="11" customFormat="1" x14ac:dyDescent="0.3">
      <c r="C24" s="2"/>
      <c r="D24" s="2"/>
      <c r="E24" s="2"/>
      <c r="F24" s="2"/>
      <c r="G24" s="2"/>
      <c r="H24" s="10"/>
      <c r="I24" s="20"/>
      <c r="K24" s="6"/>
    </row>
    <row r="25" spans="3:11" s="11" customFormat="1" x14ac:dyDescent="0.3">
      <c r="C25" s="2"/>
      <c r="D25" s="2"/>
      <c r="E25" s="2"/>
      <c r="F25" s="2"/>
      <c r="G25" s="2"/>
      <c r="H25" s="10"/>
      <c r="I25" s="20"/>
      <c r="K25" s="6"/>
    </row>
    <row r="26" spans="3:11" s="11" customFormat="1" x14ac:dyDescent="0.3">
      <c r="C26" s="2"/>
      <c r="D26" s="2"/>
      <c r="E26" s="2"/>
      <c r="F26" s="2"/>
      <c r="G26" s="2"/>
      <c r="H26" s="10"/>
      <c r="I26" s="20"/>
      <c r="K26" s="6"/>
    </row>
    <row r="27" spans="3:11" s="11" customFormat="1" x14ac:dyDescent="0.3">
      <c r="C27" s="2"/>
      <c r="D27" s="2"/>
      <c r="E27" s="2"/>
      <c r="F27" s="2"/>
      <c r="G27" s="2"/>
      <c r="H27" s="10"/>
      <c r="I27" s="18"/>
      <c r="K27" s="6"/>
    </row>
    <row r="28" spans="3:11" s="11" customFormat="1" x14ac:dyDescent="0.3">
      <c r="C28" s="2"/>
      <c r="D28" s="2"/>
      <c r="E28" s="2"/>
      <c r="F28" s="2"/>
      <c r="G28" s="2"/>
      <c r="H28" s="8"/>
      <c r="I28" s="18"/>
      <c r="K28" s="6"/>
    </row>
    <row r="29" spans="3:11" s="11" customFormat="1" x14ac:dyDescent="0.3">
      <c r="C29" s="2"/>
      <c r="D29" s="2"/>
      <c r="E29" s="2"/>
      <c r="F29" s="2"/>
      <c r="G29" s="2"/>
      <c r="H29" s="8"/>
      <c r="I29" s="18"/>
      <c r="K29" s="6"/>
    </row>
    <row r="30" spans="3:11" s="11" customFormat="1" x14ac:dyDescent="0.3">
      <c r="C30" s="2"/>
      <c r="D30" s="2"/>
      <c r="E30" s="2"/>
      <c r="F30" s="2"/>
      <c r="G30" s="2"/>
      <c r="H30" s="8"/>
      <c r="I30" s="18"/>
      <c r="K30" s="6"/>
    </row>
    <row r="31" spans="3:11" s="11" customFormat="1" x14ac:dyDescent="0.3">
      <c r="C31" s="2"/>
      <c r="D31" s="2"/>
      <c r="E31" s="2"/>
      <c r="F31" s="2"/>
      <c r="G31" s="2"/>
      <c r="H31" s="8"/>
      <c r="I31" s="18"/>
      <c r="K31" s="6"/>
    </row>
    <row r="32" spans="3:11" s="11" customFormat="1" x14ac:dyDescent="0.3">
      <c r="C32" s="2"/>
      <c r="D32" s="2"/>
      <c r="E32" s="2"/>
      <c r="F32" s="2"/>
      <c r="G32" s="2"/>
      <c r="H32" s="8"/>
      <c r="I32" s="18"/>
      <c r="K32" s="6"/>
    </row>
    <row r="33" spans="8:11" s="11" customFormat="1" x14ac:dyDescent="0.3">
      <c r="H33" s="8"/>
      <c r="I33" s="18"/>
      <c r="K33" s="6"/>
    </row>
    <row r="34" spans="8:11" s="11" customFormat="1" x14ac:dyDescent="0.3">
      <c r="H34" s="8"/>
      <c r="I34" s="18"/>
      <c r="K34" s="6"/>
    </row>
    <row r="35" spans="8:11" s="11" customFormat="1" x14ac:dyDescent="0.3">
      <c r="H35" s="8"/>
      <c r="I35" s="18"/>
      <c r="K35" s="6"/>
    </row>
    <row r="36" spans="8:11" s="11" customFormat="1" x14ac:dyDescent="0.3">
      <c r="H36" s="8"/>
      <c r="I36" s="18"/>
      <c r="K36" s="6"/>
    </row>
    <row r="37" spans="8:11" s="11" customFormat="1" x14ac:dyDescent="0.3">
      <c r="H37" s="8"/>
      <c r="I37" s="18"/>
      <c r="K37" s="6"/>
    </row>
    <row r="38" spans="8:11" s="11" customFormat="1" x14ac:dyDescent="0.3">
      <c r="H38" s="8"/>
      <c r="I38" s="18"/>
      <c r="K38" s="6"/>
    </row>
    <row r="39" spans="8:11" s="11" customFormat="1" x14ac:dyDescent="0.3">
      <c r="H39" s="8"/>
      <c r="I39" s="18"/>
      <c r="K39" s="6"/>
    </row>
    <row r="40" spans="8:11" s="11" customFormat="1" x14ac:dyDescent="0.3">
      <c r="H40" s="8"/>
      <c r="I40" s="18"/>
      <c r="K40" s="6"/>
    </row>
    <row r="41" spans="8:11" s="11" customFormat="1" x14ac:dyDescent="0.3">
      <c r="H41" s="8"/>
      <c r="I41" s="18"/>
      <c r="K41" s="6"/>
    </row>
    <row r="42" spans="8:11" s="11" customFormat="1" x14ac:dyDescent="0.3">
      <c r="H42" s="8"/>
      <c r="I42" s="18"/>
      <c r="K42" s="6"/>
    </row>
    <row r="43" spans="8:11" s="11" customFormat="1" x14ac:dyDescent="0.3">
      <c r="H43" s="8"/>
      <c r="I43" s="18"/>
      <c r="K43" s="6"/>
    </row>
    <row r="44" spans="8:11" s="11" customFormat="1" x14ac:dyDescent="0.3">
      <c r="H44" s="8"/>
      <c r="I44" s="18"/>
      <c r="K44" s="6"/>
    </row>
    <row r="45" spans="8:11" s="11" customFormat="1" x14ac:dyDescent="0.3">
      <c r="H45" s="8"/>
      <c r="I45" s="18"/>
      <c r="K45" s="6"/>
    </row>
    <row r="46" spans="8:11" s="11" customFormat="1" x14ac:dyDescent="0.3">
      <c r="H46" s="8"/>
      <c r="I46" s="18"/>
      <c r="K46" s="6"/>
    </row>
    <row r="47" spans="8:11" s="11" customFormat="1" x14ac:dyDescent="0.3">
      <c r="H47" s="8"/>
      <c r="I47" s="18"/>
      <c r="K47" s="6"/>
    </row>
    <row r="48" spans="8:11" s="11" customFormat="1" x14ac:dyDescent="0.3">
      <c r="H48" s="8"/>
      <c r="I48" s="18"/>
      <c r="K48" s="6"/>
    </row>
    <row r="49" spans="8:11" s="11" customFormat="1" x14ac:dyDescent="0.3">
      <c r="H49" s="8"/>
      <c r="I49" s="18"/>
      <c r="K49" s="6"/>
    </row>
    <row r="50" spans="8:11" s="11" customFormat="1" x14ac:dyDescent="0.3">
      <c r="H50" s="8"/>
      <c r="I50" s="18"/>
      <c r="K50" s="6"/>
    </row>
    <row r="51" spans="8:11" s="11" customFormat="1" x14ac:dyDescent="0.3">
      <c r="H51" s="8"/>
      <c r="I51" s="18"/>
      <c r="K51" s="6"/>
    </row>
    <row r="52" spans="8:11" s="11" customFormat="1" x14ac:dyDescent="0.3">
      <c r="H52" s="8"/>
      <c r="I52" s="18"/>
      <c r="K52" s="6"/>
    </row>
    <row r="53" spans="8:11" s="11" customFormat="1" x14ac:dyDescent="0.3">
      <c r="H53" s="8"/>
      <c r="I53" s="18"/>
      <c r="K53" s="6"/>
    </row>
    <row r="54" spans="8:11" s="11" customFormat="1" x14ac:dyDescent="0.3">
      <c r="H54" s="8"/>
      <c r="I54" s="18"/>
      <c r="K54" s="6"/>
    </row>
    <row r="55" spans="8:11" s="11" customFormat="1" x14ac:dyDescent="0.3">
      <c r="H55" s="8"/>
      <c r="I55" s="18"/>
      <c r="K55" s="6"/>
    </row>
    <row r="56" spans="8:11" s="11" customFormat="1" x14ac:dyDescent="0.3">
      <c r="H56" s="8"/>
      <c r="I56" s="18"/>
      <c r="K56" s="6"/>
    </row>
    <row r="57" spans="8:11" s="11" customFormat="1" x14ac:dyDescent="0.3">
      <c r="H57" s="8"/>
      <c r="I57" s="18"/>
      <c r="K57" s="6"/>
    </row>
    <row r="58" spans="8:11" s="11" customFormat="1" x14ac:dyDescent="0.3">
      <c r="H58" s="8"/>
      <c r="I58" s="18"/>
      <c r="K58" s="6"/>
    </row>
    <row r="59" spans="8:11" s="11" customFormat="1" x14ac:dyDescent="0.3">
      <c r="H59" s="8"/>
      <c r="I59" s="18"/>
      <c r="K59" s="6"/>
    </row>
    <row r="60" spans="8:11" s="11" customFormat="1" x14ac:dyDescent="0.3">
      <c r="H60" s="8"/>
      <c r="I60" s="18"/>
      <c r="K60" s="6"/>
    </row>
    <row r="61" spans="8:11" s="11" customFormat="1" x14ac:dyDescent="0.3">
      <c r="H61" s="8"/>
      <c r="I61" s="18"/>
      <c r="K61" s="6"/>
    </row>
    <row r="62" spans="8:11" s="11" customFormat="1" x14ac:dyDescent="0.3">
      <c r="H62" s="8"/>
      <c r="I62" s="18"/>
      <c r="K62" s="6"/>
    </row>
    <row r="63" spans="8:11" s="11" customFormat="1" x14ac:dyDescent="0.3">
      <c r="H63" s="8"/>
      <c r="I63" s="18"/>
      <c r="K63" s="6"/>
    </row>
    <row r="64" spans="8:11" s="11" customFormat="1" x14ac:dyDescent="0.3">
      <c r="H64" s="8"/>
      <c r="I64" s="18"/>
      <c r="K64" s="6"/>
    </row>
    <row r="65" spans="8:11" s="11" customFormat="1" x14ac:dyDescent="0.3">
      <c r="H65" s="8"/>
      <c r="I65" s="18"/>
      <c r="K65" s="6"/>
    </row>
    <row r="66" spans="8:11" s="11" customFormat="1" x14ac:dyDescent="0.3">
      <c r="H66" s="8"/>
      <c r="I66" s="18"/>
      <c r="K66" s="6"/>
    </row>
    <row r="67" spans="8:11" s="11" customFormat="1" x14ac:dyDescent="0.3">
      <c r="H67" s="8"/>
      <c r="I67" s="18"/>
      <c r="K67" s="6"/>
    </row>
    <row r="68" spans="8:11" s="11" customFormat="1" x14ac:dyDescent="0.3">
      <c r="H68" s="8"/>
      <c r="I68" s="18"/>
      <c r="K68" s="6"/>
    </row>
    <row r="69" spans="8:11" s="11" customFormat="1" x14ac:dyDescent="0.3">
      <c r="H69" s="8"/>
      <c r="I69" s="18"/>
      <c r="K69" s="6"/>
    </row>
    <row r="70" spans="8:11" s="11" customFormat="1" x14ac:dyDescent="0.3">
      <c r="H70" s="8"/>
      <c r="I70" s="18"/>
      <c r="K70" s="6"/>
    </row>
    <row r="71" spans="8:11" s="11" customFormat="1" x14ac:dyDescent="0.3">
      <c r="H71" s="8"/>
      <c r="I71" s="18"/>
      <c r="K71" s="6"/>
    </row>
    <row r="72" spans="8:11" s="11" customFormat="1" x14ac:dyDescent="0.3">
      <c r="H72" s="8"/>
      <c r="I72" s="18"/>
      <c r="K72" s="6"/>
    </row>
    <row r="73" spans="8:11" s="11" customFormat="1" x14ac:dyDescent="0.3">
      <c r="H73" s="8"/>
      <c r="I73" s="18"/>
      <c r="K73" s="6"/>
    </row>
    <row r="74" spans="8:11" s="11" customFormat="1" x14ac:dyDescent="0.3">
      <c r="H74" s="8"/>
      <c r="I74" s="18"/>
      <c r="K74" s="6"/>
    </row>
    <row r="75" spans="8:11" s="11" customFormat="1" x14ac:dyDescent="0.3">
      <c r="H75" s="8"/>
      <c r="I75" s="18"/>
      <c r="K75" s="6"/>
    </row>
    <row r="76" spans="8:11" s="11" customFormat="1" x14ac:dyDescent="0.3">
      <c r="H76" s="8"/>
      <c r="I76" s="18"/>
      <c r="K76" s="6"/>
    </row>
    <row r="77" spans="8:11" s="11" customFormat="1" x14ac:dyDescent="0.3">
      <c r="H77" s="8"/>
      <c r="I77" s="18"/>
      <c r="K77" s="6"/>
    </row>
    <row r="78" spans="8:11" s="11" customFormat="1" x14ac:dyDescent="0.3">
      <c r="H78" s="8"/>
      <c r="I78" s="18"/>
      <c r="K78" s="6"/>
    </row>
    <row r="79" spans="8:11" s="11" customFormat="1" x14ac:dyDescent="0.3">
      <c r="H79" s="8"/>
      <c r="I79" s="18"/>
      <c r="K79" s="6"/>
    </row>
    <row r="80" spans="8:11" s="11" customFormat="1" x14ac:dyDescent="0.3">
      <c r="H80" s="8"/>
      <c r="I80" s="18"/>
      <c r="K80" s="6"/>
    </row>
    <row r="81" spans="8:11" s="11" customFormat="1" x14ac:dyDescent="0.3">
      <c r="H81" s="8"/>
      <c r="I81" s="18"/>
      <c r="K81" s="6"/>
    </row>
    <row r="82" spans="8:11" s="11" customFormat="1" x14ac:dyDescent="0.3">
      <c r="H82" s="8"/>
      <c r="I82" s="18"/>
      <c r="K82" s="6"/>
    </row>
    <row r="83" spans="8:11" s="11" customFormat="1" x14ac:dyDescent="0.3">
      <c r="H83" s="8"/>
      <c r="I83" s="18"/>
      <c r="K83" s="6"/>
    </row>
    <row r="84" spans="8:11" s="11" customFormat="1" x14ac:dyDescent="0.3">
      <c r="H84" s="8"/>
      <c r="I84" s="18"/>
      <c r="K84" s="6"/>
    </row>
    <row r="85" spans="8:11" s="11" customFormat="1" x14ac:dyDescent="0.3">
      <c r="H85" s="8"/>
      <c r="I85" s="18"/>
      <c r="K85" s="6"/>
    </row>
    <row r="86" spans="8:11" s="11" customFormat="1" x14ac:dyDescent="0.3">
      <c r="H86" s="8"/>
      <c r="I86" s="18"/>
      <c r="K86" s="6"/>
    </row>
    <row r="87" spans="8:11" s="11" customFormat="1" x14ac:dyDescent="0.3">
      <c r="H87" s="8"/>
      <c r="I87" s="18"/>
      <c r="K87" s="6"/>
    </row>
    <row r="88" spans="8:11" s="11" customFormat="1" x14ac:dyDescent="0.3">
      <c r="H88" s="8"/>
      <c r="I88" s="18"/>
      <c r="K88" s="6"/>
    </row>
    <row r="89" spans="8:11" s="11" customFormat="1" x14ac:dyDescent="0.3">
      <c r="H89" s="8"/>
      <c r="I89" s="18"/>
      <c r="K89" s="6"/>
    </row>
    <row r="90" spans="8:11" s="11" customFormat="1" x14ac:dyDescent="0.3">
      <c r="H90" s="8"/>
      <c r="I90" s="18"/>
      <c r="K90" s="6"/>
    </row>
    <row r="91" spans="8:11" s="11" customFormat="1" x14ac:dyDescent="0.3">
      <c r="H91" s="8"/>
      <c r="I91" s="18"/>
      <c r="K91" s="6"/>
    </row>
    <row r="92" spans="8:11" s="11" customFormat="1" x14ac:dyDescent="0.3">
      <c r="H92" s="8"/>
      <c r="I92" s="18"/>
      <c r="K92" s="6"/>
    </row>
    <row r="93" spans="8:11" s="11" customFormat="1" x14ac:dyDescent="0.3">
      <c r="H93" s="8"/>
      <c r="I93" s="18"/>
      <c r="K93" s="6"/>
    </row>
    <row r="94" spans="8:11" s="11" customFormat="1" x14ac:dyDescent="0.3">
      <c r="H94" s="8"/>
      <c r="I94" s="18"/>
      <c r="K94" s="6"/>
    </row>
    <row r="95" spans="8:11" s="11" customFormat="1" x14ac:dyDescent="0.3">
      <c r="H95" s="8"/>
      <c r="I95" s="18"/>
      <c r="K95" s="6"/>
    </row>
    <row r="96" spans="8:11" s="11" customFormat="1" x14ac:dyDescent="0.3">
      <c r="H96" s="8"/>
      <c r="I96" s="18"/>
      <c r="K96" s="6"/>
    </row>
    <row r="97" spans="8:11" s="11" customFormat="1" x14ac:dyDescent="0.3">
      <c r="H97" s="8"/>
      <c r="I97" s="18"/>
      <c r="K97" s="6"/>
    </row>
    <row r="98" spans="8:11" s="11" customFormat="1" x14ac:dyDescent="0.3">
      <c r="H98" s="8"/>
      <c r="I98" s="18"/>
      <c r="K98" s="6"/>
    </row>
    <row r="99" spans="8:11" s="11" customFormat="1" x14ac:dyDescent="0.3">
      <c r="H99" s="8"/>
      <c r="I99" s="18"/>
      <c r="K99" s="6"/>
    </row>
    <row r="100" spans="8:11" s="11" customFormat="1" x14ac:dyDescent="0.3">
      <c r="H100" s="8"/>
      <c r="I100" s="18"/>
      <c r="K100" s="6"/>
    </row>
    <row r="101" spans="8:11" s="11" customFormat="1" x14ac:dyDescent="0.3">
      <c r="H101" s="8"/>
      <c r="I101" s="18"/>
      <c r="K101" s="6"/>
    </row>
    <row r="102" spans="8:11" s="11" customFormat="1" x14ac:dyDescent="0.3">
      <c r="H102" s="8"/>
      <c r="I102" s="18"/>
      <c r="K102" s="6"/>
    </row>
    <row r="103" spans="8:11" s="11" customFormat="1" x14ac:dyDescent="0.3">
      <c r="H103" s="8"/>
      <c r="I103" s="18"/>
      <c r="K103" s="6"/>
    </row>
    <row r="104" spans="8:11" s="11" customFormat="1" x14ac:dyDescent="0.3">
      <c r="H104" s="8"/>
      <c r="I104" s="18"/>
      <c r="K104" s="6"/>
    </row>
    <row r="105" spans="8:11" s="11" customFormat="1" x14ac:dyDescent="0.3">
      <c r="H105" s="8"/>
      <c r="I105" s="18"/>
      <c r="K105" s="6"/>
    </row>
    <row r="106" spans="8:11" s="11" customFormat="1" x14ac:dyDescent="0.3">
      <c r="H106" s="8"/>
      <c r="I106" s="18"/>
      <c r="K106" s="6"/>
    </row>
    <row r="107" spans="8:11" s="11" customFormat="1" x14ac:dyDescent="0.3">
      <c r="H107" s="8"/>
      <c r="I107" s="18"/>
      <c r="K107" s="6"/>
    </row>
    <row r="108" spans="8:11" s="11" customFormat="1" x14ac:dyDescent="0.3">
      <c r="H108" s="8"/>
      <c r="I108" s="18"/>
      <c r="K108" s="6"/>
    </row>
    <row r="109" spans="8:11" s="11" customFormat="1" x14ac:dyDescent="0.3">
      <c r="H109" s="8"/>
      <c r="I109" s="18"/>
      <c r="K109" s="6"/>
    </row>
    <row r="110" spans="8:11" s="11" customFormat="1" x14ac:dyDescent="0.3">
      <c r="H110" s="8"/>
      <c r="I110" s="18"/>
      <c r="K110" s="6"/>
    </row>
    <row r="111" spans="8:11" s="11" customFormat="1" x14ac:dyDescent="0.3">
      <c r="H111" s="8"/>
      <c r="I111" s="18"/>
      <c r="K111" s="6"/>
    </row>
    <row r="112" spans="8:11" s="11" customFormat="1" x14ac:dyDescent="0.3">
      <c r="H112" s="8"/>
      <c r="I112" s="18"/>
      <c r="K112" s="6"/>
    </row>
    <row r="113" spans="8:11" s="11" customFormat="1" x14ac:dyDescent="0.3">
      <c r="H113" s="8"/>
      <c r="I113" s="18"/>
      <c r="K113" s="6"/>
    </row>
    <row r="114" spans="8:11" s="11" customFormat="1" x14ac:dyDescent="0.3">
      <c r="H114" s="8"/>
      <c r="I114" s="18"/>
      <c r="K114" s="6"/>
    </row>
    <row r="115" spans="8:11" s="11" customFormat="1" x14ac:dyDescent="0.3">
      <c r="H115" s="8"/>
      <c r="I115" s="18"/>
      <c r="K115" s="6"/>
    </row>
    <row r="116" spans="8:11" s="11" customFormat="1" x14ac:dyDescent="0.3">
      <c r="H116" s="8"/>
      <c r="I116" s="18"/>
      <c r="K116" s="6"/>
    </row>
    <row r="117" spans="8:11" s="11" customFormat="1" x14ac:dyDescent="0.3">
      <c r="H117" s="8"/>
      <c r="I117" s="18"/>
      <c r="K117" s="6"/>
    </row>
    <row r="118" spans="8:11" s="11" customFormat="1" x14ac:dyDescent="0.3">
      <c r="H118" s="8"/>
      <c r="I118" s="18"/>
      <c r="K118" s="6"/>
    </row>
    <row r="119" spans="8:11" s="11" customFormat="1" x14ac:dyDescent="0.3">
      <c r="H119" s="8"/>
      <c r="I119" s="18"/>
      <c r="K119" s="6"/>
    </row>
    <row r="120" spans="8:11" s="11" customFormat="1" x14ac:dyDescent="0.3">
      <c r="H120" s="8"/>
      <c r="I120" s="18"/>
      <c r="K120" s="6"/>
    </row>
    <row r="121" spans="8:11" s="11" customFormat="1" x14ac:dyDescent="0.3">
      <c r="H121" s="8"/>
      <c r="I121" s="18"/>
      <c r="K121" s="6"/>
    </row>
    <row r="122" spans="8:11" s="11" customFormat="1" x14ac:dyDescent="0.3">
      <c r="H122" s="8"/>
      <c r="I122" s="18"/>
      <c r="K122" s="6"/>
    </row>
    <row r="123" spans="8:11" s="11" customFormat="1" x14ac:dyDescent="0.3">
      <c r="H123" s="8"/>
      <c r="I123" s="18"/>
      <c r="K123" s="6"/>
    </row>
    <row r="124" spans="8:11" s="11" customFormat="1" x14ac:dyDescent="0.3">
      <c r="H124" s="8"/>
      <c r="I124" s="18"/>
      <c r="K124" s="6"/>
    </row>
    <row r="125" spans="8:11" s="11" customFormat="1" x14ac:dyDescent="0.3">
      <c r="H125" s="8"/>
      <c r="I125" s="18"/>
      <c r="K125" s="6"/>
    </row>
    <row r="126" spans="8:11" s="11" customFormat="1" x14ac:dyDescent="0.3">
      <c r="H126" s="8"/>
      <c r="I126" s="18"/>
      <c r="K126" s="6"/>
    </row>
    <row r="127" spans="8:11" s="11" customFormat="1" x14ac:dyDescent="0.3">
      <c r="H127" s="8"/>
      <c r="I127" s="18"/>
      <c r="K127" s="6"/>
    </row>
    <row r="128" spans="8:11" s="11" customFormat="1" x14ac:dyDescent="0.3">
      <c r="H128" s="8"/>
      <c r="I128" s="18"/>
      <c r="K128" s="6"/>
    </row>
    <row r="129" spans="8:11" s="11" customFormat="1" x14ac:dyDescent="0.3">
      <c r="H129" s="8"/>
      <c r="I129" s="18"/>
      <c r="K129" s="6"/>
    </row>
    <row r="130" spans="8:11" s="11" customFormat="1" x14ac:dyDescent="0.3">
      <c r="H130" s="8"/>
      <c r="I130" s="18"/>
      <c r="K130" s="6"/>
    </row>
    <row r="131" spans="8:11" s="11" customFormat="1" x14ac:dyDescent="0.3">
      <c r="H131" s="8"/>
      <c r="I131" s="18"/>
      <c r="K131" s="6"/>
    </row>
    <row r="132" spans="8:11" s="11" customFormat="1" x14ac:dyDescent="0.3">
      <c r="H132" s="8"/>
      <c r="I132" s="18"/>
      <c r="K132" s="6"/>
    </row>
    <row r="133" spans="8:11" s="11" customFormat="1" x14ac:dyDescent="0.3">
      <c r="H133" s="8"/>
      <c r="I133" s="18"/>
      <c r="K133" s="6"/>
    </row>
    <row r="134" spans="8:11" s="11" customFormat="1" x14ac:dyDescent="0.3">
      <c r="H134" s="8"/>
      <c r="I134" s="18"/>
      <c r="K134" s="6"/>
    </row>
    <row r="135" spans="8:11" s="11" customFormat="1" x14ac:dyDescent="0.3">
      <c r="H135" s="8"/>
      <c r="I135" s="18"/>
      <c r="K135" s="6"/>
    </row>
    <row r="136" spans="8:11" s="11" customFormat="1" x14ac:dyDescent="0.3">
      <c r="H136" s="8"/>
      <c r="I136" s="18"/>
      <c r="K136" s="6"/>
    </row>
    <row r="137" spans="8:11" s="11" customFormat="1" x14ac:dyDescent="0.3">
      <c r="H137" s="8"/>
      <c r="I137" s="18"/>
      <c r="K137" s="6"/>
    </row>
    <row r="138" spans="8:11" s="11" customFormat="1" x14ac:dyDescent="0.3">
      <c r="H138" s="8"/>
      <c r="I138" s="18"/>
      <c r="K138" s="6"/>
    </row>
    <row r="139" spans="8:11" s="11" customFormat="1" x14ac:dyDescent="0.3">
      <c r="H139" s="8"/>
      <c r="I139" s="18"/>
      <c r="K139" s="6"/>
    </row>
    <row r="140" spans="8:11" s="11" customFormat="1" x14ac:dyDescent="0.3">
      <c r="H140" s="8"/>
      <c r="I140" s="18"/>
      <c r="K140" s="6"/>
    </row>
    <row r="141" spans="8:11" s="11" customFormat="1" x14ac:dyDescent="0.3">
      <c r="H141" s="8"/>
      <c r="I141" s="18"/>
      <c r="K141" s="6"/>
    </row>
    <row r="142" spans="8:11" s="11" customFormat="1" x14ac:dyDescent="0.3">
      <c r="H142" s="8"/>
      <c r="I142" s="18"/>
      <c r="K142" s="6"/>
    </row>
    <row r="143" spans="8:11" s="11" customFormat="1" x14ac:dyDescent="0.3">
      <c r="H143" s="8"/>
      <c r="I143" s="18"/>
      <c r="K143" s="6"/>
    </row>
    <row r="144" spans="8:11" s="11" customFormat="1" x14ac:dyDescent="0.3">
      <c r="H144" s="8"/>
      <c r="I144" s="18"/>
      <c r="K144" s="6"/>
    </row>
    <row r="145" spans="8:11" s="11" customFormat="1" x14ac:dyDescent="0.3">
      <c r="H145" s="8"/>
      <c r="I145" s="18"/>
      <c r="K145" s="6"/>
    </row>
    <row r="146" spans="8:11" s="11" customFormat="1" x14ac:dyDescent="0.3">
      <c r="H146" s="8"/>
      <c r="I146" s="18"/>
      <c r="K146" s="6"/>
    </row>
    <row r="147" spans="8:11" s="11" customFormat="1" x14ac:dyDescent="0.3">
      <c r="H147" s="8"/>
      <c r="I147" s="18"/>
      <c r="K147" s="6"/>
    </row>
    <row r="148" spans="8:11" s="11" customFormat="1" x14ac:dyDescent="0.3">
      <c r="H148" s="8"/>
      <c r="I148" s="18"/>
      <c r="K148" s="6"/>
    </row>
    <row r="149" spans="8:11" s="11" customFormat="1" x14ac:dyDescent="0.3">
      <c r="H149" s="8"/>
      <c r="I149" s="18"/>
      <c r="K149" s="6"/>
    </row>
    <row r="150" spans="8:11" s="11" customFormat="1" x14ac:dyDescent="0.3">
      <c r="H150" s="8"/>
      <c r="I150" s="18"/>
      <c r="K150" s="6"/>
    </row>
    <row r="151" spans="8:11" s="11" customFormat="1" x14ac:dyDescent="0.3">
      <c r="H151" s="8"/>
      <c r="I151" s="18"/>
      <c r="K151" s="6"/>
    </row>
    <row r="152" spans="8:11" s="11" customFormat="1" x14ac:dyDescent="0.3">
      <c r="H152" s="8"/>
      <c r="I152" s="18"/>
      <c r="K152" s="6"/>
    </row>
    <row r="153" spans="8:11" s="11" customFormat="1" x14ac:dyDescent="0.3">
      <c r="H153" s="8"/>
      <c r="I153" s="18"/>
      <c r="K153" s="6"/>
    </row>
    <row r="154" spans="8:11" s="11" customFormat="1" x14ac:dyDescent="0.3">
      <c r="H154" s="8"/>
      <c r="I154" s="18"/>
      <c r="K154" s="6"/>
    </row>
    <row r="155" spans="8:11" s="11" customFormat="1" x14ac:dyDescent="0.3">
      <c r="H155" s="8"/>
      <c r="I155" s="18"/>
      <c r="K155" s="6"/>
    </row>
    <row r="156" spans="8:11" s="11" customFormat="1" x14ac:dyDescent="0.3">
      <c r="H156" s="8"/>
      <c r="I156" s="18"/>
      <c r="K156" s="6"/>
    </row>
    <row r="157" spans="8:11" s="11" customFormat="1" x14ac:dyDescent="0.3">
      <c r="H157" s="8"/>
      <c r="I157" s="18"/>
      <c r="K157" s="6"/>
    </row>
    <row r="158" spans="8:11" s="11" customFormat="1" x14ac:dyDescent="0.3">
      <c r="H158" s="8"/>
      <c r="I158" s="18"/>
      <c r="K158" s="6"/>
    </row>
    <row r="159" spans="8:11" s="11" customFormat="1" x14ac:dyDescent="0.3">
      <c r="H159" s="8"/>
      <c r="I159" s="18"/>
      <c r="K159" s="6"/>
    </row>
    <row r="160" spans="8:11" s="11" customFormat="1" x14ac:dyDescent="0.3">
      <c r="H160" s="8"/>
      <c r="I160" s="18"/>
      <c r="K160" s="6"/>
    </row>
    <row r="161" spans="8:11" s="11" customFormat="1" x14ac:dyDescent="0.3">
      <c r="H161" s="8"/>
      <c r="I161" s="18"/>
      <c r="K161" s="6"/>
    </row>
    <row r="162" spans="8:11" s="11" customFormat="1" x14ac:dyDescent="0.3">
      <c r="H162" s="8"/>
      <c r="I162" s="18"/>
      <c r="K162" s="6"/>
    </row>
    <row r="163" spans="8:11" s="11" customFormat="1" x14ac:dyDescent="0.3">
      <c r="H163" s="8"/>
      <c r="I163" s="18"/>
      <c r="K163" s="6"/>
    </row>
    <row r="164" spans="8:11" s="11" customFormat="1" x14ac:dyDescent="0.3">
      <c r="H164" s="8"/>
      <c r="I164" s="18"/>
      <c r="K164" s="6"/>
    </row>
    <row r="165" spans="8:11" s="11" customFormat="1" x14ac:dyDescent="0.3">
      <c r="H165" s="8"/>
      <c r="I165" s="18"/>
      <c r="K165" s="6"/>
    </row>
    <row r="166" spans="8:11" s="11" customFormat="1" x14ac:dyDescent="0.3">
      <c r="H166" s="8"/>
      <c r="I166" s="18"/>
      <c r="K166" s="6"/>
    </row>
    <row r="167" spans="8:11" s="11" customFormat="1" x14ac:dyDescent="0.3">
      <c r="H167" s="8"/>
      <c r="I167" s="18"/>
      <c r="K167" s="6"/>
    </row>
    <row r="168" spans="8:11" s="11" customFormat="1" x14ac:dyDescent="0.3">
      <c r="H168" s="8"/>
      <c r="I168" s="18"/>
      <c r="K168" s="6"/>
    </row>
    <row r="169" spans="8:11" s="11" customFormat="1" x14ac:dyDescent="0.3">
      <c r="H169" s="8"/>
      <c r="I169" s="18"/>
      <c r="K169" s="6"/>
    </row>
    <row r="170" spans="8:11" s="11" customFormat="1" x14ac:dyDescent="0.3">
      <c r="H170" s="8"/>
      <c r="I170" s="18"/>
      <c r="K170" s="6"/>
    </row>
    <row r="171" spans="8:11" s="11" customFormat="1" x14ac:dyDescent="0.3">
      <c r="H171" s="8"/>
      <c r="I171" s="18"/>
      <c r="K171" s="6"/>
    </row>
    <row r="172" spans="8:11" s="11" customFormat="1" x14ac:dyDescent="0.3">
      <c r="H172" s="8"/>
      <c r="I172" s="18"/>
      <c r="K172" s="6"/>
    </row>
    <row r="173" spans="8:11" s="11" customFormat="1" x14ac:dyDescent="0.3">
      <c r="H173" s="8"/>
      <c r="I173" s="18"/>
      <c r="K173" s="6"/>
    </row>
    <row r="174" spans="8:11" s="11" customFormat="1" x14ac:dyDescent="0.3">
      <c r="H174" s="8"/>
      <c r="I174" s="18"/>
      <c r="K174" s="6"/>
    </row>
    <row r="175" spans="8:11" s="11" customFormat="1" x14ac:dyDescent="0.3">
      <c r="H175" s="8"/>
      <c r="I175" s="18"/>
      <c r="K175" s="6"/>
    </row>
    <row r="176" spans="8:11" s="11" customFormat="1" x14ac:dyDescent="0.3">
      <c r="H176" s="8"/>
      <c r="I176" s="18"/>
      <c r="K176" s="6"/>
    </row>
    <row r="177" spans="8:11" s="11" customFormat="1" x14ac:dyDescent="0.3">
      <c r="H177" s="8"/>
      <c r="I177" s="18"/>
      <c r="K177" s="6"/>
    </row>
    <row r="178" spans="8:11" s="11" customFormat="1" x14ac:dyDescent="0.3">
      <c r="H178" s="8"/>
      <c r="I178" s="18"/>
      <c r="K178" s="6"/>
    </row>
    <row r="179" spans="8:11" s="11" customFormat="1" x14ac:dyDescent="0.3">
      <c r="H179" s="8"/>
      <c r="I179" s="18"/>
      <c r="K179" s="6"/>
    </row>
    <row r="180" spans="8:11" s="11" customFormat="1" x14ac:dyDescent="0.3">
      <c r="H180" s="8"/>
      <c r="I180" s="18"/>
      <c r="K180" s="6"/>
    </row>
    <row r="181" spans="8:11" s="11" customFormat="1" x14ac:dyDescent="0.3">
      <c r="H181" s="8"/>
      <c r="I181" s="18"/>
      <c r="K181" s="6"/>
    </row>
    <row r="182" spans="8:11" s="11" customFormat="1" x14ac:dyDescent="0.3">
      <c r="H182" s="8"/>
      <c r="I182" s="18"/>
      <c r="K182" s="6"/>
    </row>
    <row r="183" spans="8:11" s="11" customFormat="1" x14ac:dyDescent="0.3">
      <c r="H183" s="8"/>
      <c r="I183" s="18"/>
      <c r="K183" s="6"/>
    </row>
    <row r="184" spans="8:11" s="11" customFormat="1" x14ac:dyDescent="0.3">
      <c r="H184" s="8"/>
      <c r="I184" s="18"/>
      <c r="K184" s="6"/>
    </row>
    <row r="185" spans="8:11" s="11" customFormat="1" x14ac:dyDescent="0.3">
      <c r="H185" s="8"/>
      <c r="I185" s="18"/>
      <c r="K185" s="6"/>
    </row>
    <row r="186" spans="8:11" s="11" customFormat="1" x14ac:dyDescent="0.3">
      <c r="H186" s="8"/>
      <c r="I186" s="18"/>
      <c r="K186" s="6"/>
    </row>
    <row r="187" spans="8:11" s="11" customFormat="1" x14ac:dyDescent="0.3">
      <c r="H187" s="8"/>
      <c r="I187" s="18"/>
      <c r="K187" s="6"/>
    </row>
    <row r="188" spans="8:11" s="11" customFormat="1" x14ac:dyDescent="0.3">
      <c r="H188" s="8"/>
      <c r="I188" s="18"/>
      <c r="K188" s="6"/>
    </row>
    <row r="189" spans="8:11" s="11" customFormat="1" x14ac:dyDescent="0.3">
      <c r="H189" s="8"/>
      <c r="I189" s="18"/>
      <c r="K189" s="6"/>
    </row>
    <row r="190" spans="8:11" s="11" customFormat="1" x14ac:dyDescent="0.3">
      <c r="H190" s="8"/>
      <c r="I190" s="18"/>
      <c r="K190" s="6"/>
    </row>
    <row r="191" spans="8:11" s="11" customFormat="1" x14ac:dyDescent="0.3">
      <c r="H191" s="8"/>
      <c r="I191" s="18"/>
      <c r="K191" s="6"/>
    </row>
    <row r="192" spans="8:11" s="11" customFormat="1" x14ac:dyDescent="0.3">
      <c r="H192" s="8"/>
      <c r="I192" s="18"/>
      <c r="K192" s="6"/>
    </row>
    <row r="193" spans="8:11" s="11" customFormat="1" x14ac:dyDescent="0.3">
      <c r="H193" s="8"/>
      <c r="I193" s="18"/>
      <c r="K193" s="6"/>
    </row>
    <row r="194" spans="8:11" s="11" customFormat="1" x14ac:dyDescent="0.3">
      <c r="H194" s="8"/>
      <c r="I194" s="18"/>
      <c r="K194" s="6"/>
    </row>
    <row r="195" spans="8:11" s="11" customFormat="1" x14ac:dyDescent="0.3">
      <c r="H195" s="8"/>
      <c r="I195" s="18"/>
      <c r="K195" s="6"/>
    </row>
    <row r="196" spans="8:11" s="11" customFormat="1" x14ac:dyDescent="0.3">
      <c r="H196" s="8"/>
      <c r="I196" s="18"/>
      <c r="K196" s="6"/>
    </row>
    <row r="197" spans="8:11" s="11" customFormat="1" x14ac:dyDescent="0.3">
      <c r="H197" s="8"/>
      <c r="I197" s="18"/>
      <c r="K197" s="6"/>
    </row>
    <row r="198" spans="8:11" s="11" customFormat="1" x14ac:dyDescent="0.3">
      <c r="H198" s="8"/>
      <c r="I198" s="18"/>
      <c r="K198" s="6"/>
    </row>
    <row r="199" spans="8:11" s="11" customFormat="1" x14ac:dyDescent="0.3">
      <c r="H199" s="8"/>
      <c r="I199" s="18"/>
      <c r="K199" s="6"/>
    </row>
    <row r="200" spans="8:11" s="11" customFormat="1" x14ac:dyDescent="0.3">
      <c r="H200" s="8"/>
      <c r="I200" s="18"/>
      <c r="K200" s="6"/>
    </row>
    <row r="201" spans="8:11" s="11" customFormat="1" x14ac:dyDescent="0.3">
      <c r="H201" s="8"/>
      <c r="I201" s="18"/>
      <c r="K201" s="6"/>
    </row>
    <row r="202" spans="8:11" s="11" customFormat="1" x14ac:dyDescent="0.3">
      <c r="H202" s="8"/>
      <c r="I202" s="18"/>
      <c r="K202" s="6"/>
    </row>
    <row r="203" spans="8:11" s="11" customFormat="1" x14ac:dyDescent="0.3">
      <c r="H203" s="8"/>
      <c r="I203" s="18"/>
      <c r="K203" s="6"/>
    </row>
    <row r="204" spans="8:11" s="11" customFormat="1" x14ac:dyDescent="0.3">
      <c r="H204" s="8"/>
      <c r="I204" s="18"/>
      <c r="K204" s="6"/>
    </row>
    <row r="205" spans="8:11" s="11" customFormat="1" x14ac:dyDescent="0.3">
      <c r="H205" s="8"/>
      <c r="I205" s="18"/>
      <c r="K205" s="6"/>
    </row>
    <row r="206" spans="8:11" s="11" customFormat="1" x14ac:dyDescent="0.3">
      <c r="H206" s="8"/>
      <c r="I206" s="18"/>
      <c r="K206" s="6"/>
    </row>
    <row r="207" spans="8:11" s="11" customFormat="1" x14ac:dyDescent="0.3">
      <c r="H207" s="8"/>
      <c r="I207" s="18"/>
      <c r="K207" s="6"/>
    </row>
    <row r="208" spans="8:11" s="11" customFormat="1" x14ac:dyDescent="0.3">
      <c r="H208" s="8"/>
      <c r="I208" s="18"/>
      <c r="K208" s="6"/>
    </row>
    <row r="209" spans="8:11" s="11" customFormat="1" x14ac:dyDescent="0.3">
      <c r="H209" s="8"/>
      <c r="I209" s="18"/>
      <c r="K209" s="6"/>
    </row>
    <row r="210" spans="8:11" s="11" customFormat="1" x14ac:dyDescent="0.3">
      <c r="H210" s="8"/>
      <c r="I210" s="18"/>
      <c r="K210" s="6"/>
    </row>
    <row r="211" spans="8:11" s="11" customFormat="1" x14ac:dyDescent="0.3">
      <c r="H211" s="8"/>
      <c r="I211" s="18"/>
      <c r="K211" s="6"/>
    </row>
    <row r="212" spans="8:11" s="11" customFormat="1" x14ac:dyDescent="0.3">
      <c r="H212" s="8"/>
      <c r="I212" s="18"/>
      <c r="K212" s="6"/>
    </row>
    <row r="213" spans="8:11" s="11" customFormat="1" x14ac:dyDescent="0.3">
      <c r="H213" s="8"/>
      <c r="I213" s="18"/>
      <c r="K213" s="6"/>
    </row>
    <row r="214" spans="8:11" s="11" customFormat="1" x14ac:dyDescent="0.3">
      <c r="H214" s="8"/>
      <c r="I214" s="18"/>
      <c r="K214" s="6"/>
    </row>
    <row r="215" spans="8:11" s="11" customFormat="1" x14ac:dyDescent="0.3">
      <c r="H215" s="8"/>
      <c r="I215" s="18"/>
      <c r="K215" s="6"/>
    </row>
    <row r="216" spans="8:11" s="11" customFormat="1" x14ac:dyDescent="0.3">
      <c r="H216" s="8"/>
      <c r="I216" s="18"/>
      <c r="K216" s="6"/>
    </row>
    <row r="217" spans="8:11" s="11" customFormat="1" x14ac:dyDescent="0.3">
      <c r="H217" s="8"/>
      <c r="I217" s="18"/>
      <c r="K217" s="6"/>
    </row>
    <row r="218" spans="8:11" s="11" customFormat="1" x14ac:dyDescent="0.3">
      <c r="H218" s="8"/>
      <c r="I218" s="18"/>
      <c r="K218" s="6"/>
    </row>
    <row r="219" spans="8:11" s="11" customFormat="1" x14ac:dyDescent="0.3">
      <c r="H219" s="8"/>
      <c r="I219" s="18"/>
      <c r="K219" s="6"/>
    </row>
    <row r="220" spans="8:11" s="11" customFormat="1" x14ac:dyDescent="0.3">
      <c r="H220" s="8"/>
      <c r="I220" s="18"/>
      <c r="K220" s="6"/>
    </row>
    <row r="221" spans="8:11" s="11" customFormat="1" x14ac:dyDescent="0.3">
      <c r="H221" s="8"/>
      <c r="I221" s="18"/>
      <c r="K221" s="6"/>
    </row>
    <row r="222" spans="8:11" s="11" customFormat="1" x14ac:dyDescent="0.3">
      <c r="H222" s="8"/>
      <c r="I222" s="18"/>
      <c r="K222" s="6"/>
    </row>
    <row r="223" spans="8:11" s="11" customFormat="1" x14ac:dyDescent="0.3">
      <c r="H223" s="8"/>
      <c r="I223" s="18"/>
      <c r="K223" s="6"/>
    </row>
    <row r="224" spans="8:11" s="11" customFormat="1" x14ac:dyDescent="0.3">
      <c r="H224" s="8"/>
      <c r="I224" s="18"/>
      <c r="K224" s="6"/>
    </row>
    <row r="225" spans="8:11" s="11" customFormat="1" x14ac:dyDescent="0.3">
      <c r="H225" s="8"/>
      <c r="I225" s="18"/>
      <c r="K225" s="6"/>
    </row>
    <row r="226" spans="8:11" s="11" customFormat="1" x14ac:dyDescent="0.3">
      <c r="H226" s="8"/>
      <c r="I226" s="18"/>
      <c r="K226" s="6"/>
    </row>
    <row r="227" spans="8:11" s="11" customFormat="1" x14ac:dyDescent="0.3">
      <c r="H227" s="8"/>
      <c r="I227" s="18"/>
      <c r="K227" s="6"/>
    </row>
    <row r="228" spans="8:11" s="11" customFormat="1" x14ac:dyDescent="0.3">
      <c r="H228" s="8"/>
      <c r="I228" s="18"/>
      <c r="K228" s="6"/>
    </row>
    <row r="229" spans="8:11" s="11" customFormat="1" x14ac:dyDescent="0.3">
      <c r="H229" s="8"/>
      <c r="I229" s="18"/>
      <c r="K229" s="6"/>
    </row>
    <row r="230" spans="8:11" s="11" customFormat="1" x14ac:dyDescent="0.3">
      <c r="H230" s="8"/>
      <c r="I230" s="18"/>
      <c r="K230" s="6"/>
    </row>
    <row r="231" spans="8:11" s="11" customFormat="1" x14ac:dyDescent="0.3">
      <c r="H231" s="8"/>
      <c r="I231" s="18"/>
      <c r="K231" s="6"/>
    </row>
    <row r="232" spans="8:11" s="11" customFormat="1" x14ac:dyDescent="0.3">
      <c r="H232" s="8"/>
      <c r="I232" s="18"/>
      <c r="K232" s="6"/>
    </row>
    <row r="233" spans="8:11" s="11" customFormat="1" x14ac:dyDescent="0.3">
      <c r="H233" s="8"/>
      <c r="I233" s="18"/>
      <c r="K233" s="6"/>
    </row>
    <row r="234" spans="8:11" s="11" customFormat="1" x14ac:dyDescent="0.3">
      <c r="H234" s="8"/>
      <c r="I234" s="18"/>
      <c r="K234" s="6"/>
    </row>
    <row r="235" spans="8:11" s="11" customFormat="1" x14ac:dyDescent="0.3">
      <c r="H235" s="8"/>
      <c r="I235" s="18"/>
      <c r="K235" s="6"/>
    </row>
    <row r="236" spans="8:11" s="11" customFormat="1" x14ac:dyDescent="0.3">
      <c r="H236" s="8"/>
      <c r="I236" s="18"/>
      <c r="K236" s="6"/>
    </row>
    <row r="237" spans="8:11" s="11" customFormat="1" x14ac:dyDescent="0.3">
      <c r="H237" s="8"/>
      <c r="I237" s="18"/>
      <c r="K237" s="6"/>
    </row>
    <row r="238" spans="8:11" s="11" customFormat="1" x14ac:dyDescent="0.3">
      <c r="H238" s="8"/>
      <c r="I238" s="18"/>
      <c r="K238" s="6"/>
    </row>
    <row r="239" spans="8:11" s="11" customFormat="1" x14ac:dyDescent="0.3">
      <c r="H239" s="8"/>
      <c r="I239" s="18"/>
      <c r="K239" s="6"/>
    </row>
    <row r="240" spans="8:11" s="11" customFormat="1" x14ac:dyDescent="0.3">
      <c r="H240" s="8"/>
      <c r="I240" s="18"/>
      <c r="K240" s="6"/>
    </row>
    <row r="241" spans="8:11" s="11" customFormat="1" x14ac:dyDescent="0.3">
      <c r="H241" s="8"/>
      <c r="I241" s="18"/>
      <c r="K241" s="6"/>
    </row>
    <row r="242" spans="8:11" s="11" customFormat="1" x14ac:dyDescent="0.3">
      <c r="H242" s="8"/>
      <c r="I242" s="18"/>
      <c r="K242" s="6"/>
    </row>
    <row r="243" spans="8:11" s="11" customFormat="1" x14ac:dyDescent="0.3">
      <c r="H243" s="8"/>
      <c r="I243" s="18"/>
      <c r="K243" s="6"/>
    </row>
    <row r="244" spans="8:11" s="11" customFormat="1" x14ac:dyDescent="0.3">
      <c r="H244" s="8"/>
      <c r="I244" s="18"/>
      <c r="K244" s="6"/>
    </row>
    <row r="245" spans="8:11" s="11" customFormat="1" x14ac:dyDescent="0.3">
      <c r="H245" s="8"/>
      <c r="I245" s="18"/>
      <c r="K245" s="6"/>
    </row>
    <row r="246" spans="8:11" s="11" customFormat="1" x14ac:dyDescent="0.3">
      <c r="H246" s="8"/>
      <c r="I246" s="18"/>
      <c r="K246" s="6"/>
    </row>
    <row r="247" spans="8:11" s="11" customFormat="1" x14ac:dyDescent="0.3">
      <c r="H247" s="8"/>
      <c r="I247" s="18"/>
      <c r="K247" s="6"/>
    </row>
    <row r="248" spans="8:11" s="11" customFormat="1" x14ac:dyDescent="0.3">
      <c r="H248" s="8"/>
      <c r="I248" s="18"/>
      <c r="K248" s="6"/>
    </row>
    <row r="249" spans="8:11" s="11" customFormat="1" x14ac:dyDescent="0.3">
      <c r="H249" s="8"/>
      <c r="I249" s="18"/>
      <c r="K249" s="6"/>
    </row>
    <row r="250" spans="8:11" s="11" customFormat="1" x14ac:dyDescent="0.3">
      <c r="H250" s="8"/>
      <c r="I250" s="18"/>
      <c r="K250" s="6"/>
    </row>
    <row r="251" spans="8:11" s="11" customFormat="1" x14ac:dyDescent="0.3">
      <c r="H251" s="8"/>
      <c r="I251" s="18"/>
      <c r="K251" s="6"/>
    </row>
    <row r="252" spans="8:11" s="11" customFormat="1" x14ac:dyDescent="0.3">
      <c r="H252" s="8"/>
      <c r="I252" s="18"/>
      <c r="K252" s="6"/>
    </row>
    <row r="253" spans="8:11" s="11" customFormat="1" x14ac:dyDescent="0.3">
      <c r="H253" s="8"/>
      <c r="I253" s="18"/>
      <c r="K253" s="6"/>
    </row>
    <row r="254" spans="8:11" s="11" customFormat="1" x14ac:dyDescent="0.3">
      <c r="H254" s="8"/>
      <c r="I254" s="18"/>
      <c r="K254" s="6"/>
    </row>
    <row r="255" spans="8:11" s="11" customFormat="1" x14ac:dyDescent="0.3">
      <c r="H255" s="8"/>
      <c r="I255" s="18"/>
      <c r="K255" s="6"/>
    </row>
    <row r="256" spans="8:11" s="11" customFormat="1" x14ac:dyDescent="0.3">
      <c r="H256" s="8"/>
      <c r="I256" s="18"/>
      <c r="K256" s="6"/>
    </row>
    <row r="257" spans="8:11" s="11" customFormat="1" x14ac:dyDescent="0.3">
      <c r="H257" s="8"/>
      <c r="I257" s="18"/>
      <c r="K257" s="6"/>
    </row>
    <row r="258" spans="8:11" s="11" customFormat="1" x14ac:dyDescent="0.3">
      <c r="H258" s="8"/>
      <c r="I258" s="18"/>
      <c r="K258" s="6"/>
    </row>
    <row r="259" spans="8:11" s="11" customFormat="1" x14ac:dyDescent="0.3">
      <c r="H259" s="8"/>
      <c r="I259" s="18"/>
      <c r="K259" s="6"/>
    </row>
    <row r="260" spans="8:11" s="11" customFormat="1" x14ac:dyDescent="0.3">
      <c r="H260" s="8"/>
      <c r="I260" s="18"/>
      <c r="K260" s="6"/>
    </row>
    <row r="261" spans="8:11" s="11" customFormat="1" x14ac:dyDescent="0.3">
      <c r="H261" s="8"/>
      <c r="I261" s="18"/>
      <c r="K261" s="6"/>
    </row>
    <row r="262" spans="8:11" s="11" customFormat="1" x14ac:dyDescent="0.3">
      <c r="H262" s="8"/>
      <c r="I262" s="18"/>
      <c r="K262" s="6"/>
    </row>
    <row r="263" spans="8:11" s="11" customFormat="1" x14ac:dyDescent="0.3">
      <c r="H263" s="8"/>
      <c r="I263" s="18"/>
      <c r="K263" s="6"/>
    </row>
    <row r="264" spans="8:11" s="11" customFormat="1" x14ac:dyDescent="0.3">
      <c r="H264" s="8"/>
      <c r="I264" s="18"/>
      <c r="K264" s="6"/>
    </row>
    <row r="265" spans="8:11" s="11" customFormat="1" x14ac:dyDescent="0.3">
      <c r="H265" s="8"/>
      <c r="I265" s="18"/>
      <c r="K265" s="6"/>
    </row>
    <row r="266" spans="8:11" s="11" customFormat="1" x14ac:dyDescent="0.3">
      <c r="H266" s="8"/>
      <c r="I266" s="18"/>
      <c r="K266" s="6"/>
    </row>
    <row r="267" spans="8:11" s="11" customFormat="1" x14ac:dyDescent="0.3">
      <c r="H267" s="8"/>
      <c r="I267" s="18"/>
      <c r="K267" s="6"/>
    </row>
    <row r="268" spans="8:11" s="11" customFormat="1" x14ac:dyDescent="0.3">
      <c r="H268" s="8"/>
      <c r="I268" s="18"/>
      <c r="K268" s="6"/>
    </row>
    <row r="269" spans="8:11" s="11" customFormat="1" x14ac:dyDescent="0.3">
      <c r="H269" s="8"/>
      <c r="I269" s="18"/>
      <c r="K269" s="6"/>
    </row>
    <row r="270" spans="8:11" s="11" customFormat="1" x14ac:dyDescent="0.3">
      <c r="H270" s="8"/>
      <c r="I270" s="18"/>
      <c r="K270" s="6"/>
    </row>
    <row r="271" spans="8:11" s="11" customFormat="1" x14ac:dyDescent="0.3">
      <c r="H271" s="8"/>
      <c r="I271" s="18"/>
      <c r="K271" s="6"/>
    </row>
    <row r="272" spans="8:11" s="11" customFormat="1" x14ac:dyDescent="0.3">
      <c r="H272" s="8"/>
      <c r="I272" s="18"/>
      <c r="K272" s="6"/>
    </row>
    <row r="273" spans="8:11" s="11" customFormat="1" x14ac:dyDescent="0.3">
      <c r="H273" s="8"/>
      <c r="I273" s="18"/>
      <c r="K273" s="6"/>
    </row>
    <row r="274" spans="8:11" s="11" customFormat="1" x14ac:dyDescent="0.3">
      <c r="H274" s="8"/>
      <c r="I274" s="18"/>
      <c r="K274" s="6"/>
    </row>
    <row r="275" spans="8:11" s="11" customFormat="1" x14ac:dyDescent="0.3">
      <c r="H275" s="8"/>
      <c r="I275" s="18"/>
      <c r="K275" s="6"/>
    </row>
    <row r="276" spans="8:11" s="11" customFormat="1" x14ac:dyDescent="0.3">
      <c r="H276" s="8"/>
      <c r="I276" s="18"/>
      <c r="K276" s="6"/>
    </row>
    <row r="277" spans="8:11" s="11" customFormat="1" x14ac:dyDescent="0.3">
      <c r="H277" s="8"/>
      <c r="I277" s="18"/>
      <c r="K277" s="6"/>
    </row>
    <row r="278" spans="8:11" s="11" customFormat="1" x14ac:dyDescent="0.3">
      <c r="H278" s="8"/>
      <c r="I278" s="18"/>
      <c r="K278" s="6"/>
    </row>
    <row r="279" spans="8:11" s="11" customFormat="1" x14ac:dyDescent="0.3">
      <c r="H279" s="8"/>
      <c r="I279" s="18"/>
      <c r="K279" s="6"/>
    </row>
    <row r="280" spans="8:11" s="11" customFormat="1" x14ac:dyDescent="0.3">
      <c r="H280" s="8"/>
      <c r="I280" s="18"/>
      <c r="K280" s="6"/>
    </row>
    <row r="281" spans="8:11" s="11" customFormat="1" x14ac:dyDescent="0.3">
      <c r="H281" s="8"/>
      <c r="I281" s="18"/>
      <c r="K281" s="6"/>
    </row>
    <row r="282" spans="8:11" s="11" customFormat="1" x14ac:dyDescent="0.3">
      <c r="H282" s="8"/>
      <c r="I282" s="18"/>
      <c r="K282" s="6"/>
    </row>
    <row r="283" spans="8:11" s="11" customFormat="1" x14ac:dyDescent="0.3">
      <c r="H283" s="8"/>
      <c r="I283" s="18"/>
      <c r="K283" s="6"/>
    </row>
    <row r="284" spans="8:11" s="11" customFormat="1" x14ac:dyDescent="0.3">
      <c r="H284" s="8"/>
      <c r="I284" s="18"/>
      <c r="K284" s="6"/>
    </row>
    <row r="285" spans="8:11" s="11" customFormat="1" x14ac:dyDescent="0.3">
      <c r="H285" s="8"/>
      <c r="I285" s="18"/>
      <c r="K285" s="6"/>
    </row>
    <row r="286" spans="8:11" s="11" customFormat="1" x14ac:dyDescent="0.3">
      <c r="H286" s="8"/>
      <c r="I286" s="18"/>
      <c r="K286" s="6"/>
    </row>
    <row r="287" spans="8:11" s="11" customFormat="1" x14ac:dyDescent="0.3">
      <c r="H287" s="8"/>
      <c r="I287" s="18"/>
      <c r="K287" s="6"/>
    </row>
    <row r="288" spans="8:11" s="11" customFormat="1" x14ac:dyDescent="0.3">
      <c r="H288" s="8"/>
      <c r="I288" s="18"/>
      <c r="K288" s="6"/>
    </row>
    <row r="289" spans="8:11" s="11" customFormat="1" x14ac:dyDescent="0.3">
      <c r="H289" s="8"/>
      <c r="I289" s="18"/>
      <c r="K289" s="6"/>
    </row>
    <row r="290" spans="8:11" s="11" customFormat="1" x14ac:dyDescent="0.3">
      <c r="H290" s="8"/>
      <c r="I290" s="18"/>
      <c r="K290" s="6"/>
    </row>
    <row r="291" spans="8:11" s="11" customFormat="1" x14ac:dyDescent="0.3">
      <c r="H291" s="8"/>
      <c r="I291" s="18"/>
      <c r="K291" s="6"/>
    </row>
    <row r="292" spans="8:11" s="11" customFormat="1" x14ac:dyDescent="0.3">
      <c r="H292" s="8"/>
      <c r="I292" s="18"/>
      <c r="K292" s="6"/>
    </row>
    <row r="293" spans="8:11" s="11" customFormat="1" x14ac:dyDescent="0.3">
      <c r="H293" s="8"/>
      <c r="I293" s="18"/>
      <c r="K293" s="6"/>
    </row>
    <row r="294" spans="8:11" s="11" customFormat="1" x14ac:dyDescent="0.3">
      <c r="H294" s="8"/>
      <c r="I294" s="18"/>
      <c r="K294" s="6"/>
    </row>
    <row r="295" spans="8:11" s="11" customFormat="1" x14ac:dyDescent="0.3">
      <c r="H295" s="8"/>
      <c r="I295" s="18"/>
      <c r="K295" s="6"/>
    </row>
    <row r="296" spans="8:11" s="11" customFormat="1" x14ac:dyDescent="0.3">
      <c r="H296" s="8"/>
      <c r="I296" s="18"/>
      <c r="K296" s="6"/>
    </row>
    <row r="297" spans="8:11" s="11" customFormat="1" x14ac:dyDescent="0.3">
      <c r="H297" s="8"/>
      <c r="I297" s="18"/>
      <c r="K297" s="6"/>
    </row>
    <row r="298" spans="8:11" s="11" customFormat="1" x14ac:dyDescent="0.3">
      <c r="H298" s="8"/>
      <c r="I298" s="18"/>
      <c r="K298" s="6"/>
    </row>
    <row r="299" spans="8:11" s="11" customFormat="1" x14ac:dyDescent="0.3">
      <c r="H299" s="8"/>
      <c r="I299" s="18"/>
      <c r="K299" s="6"/>
    </row>
    <row r="300" spans="8:11" s="11" customFormat="1" x14ac:dyDescent="0.3">
      <c r="H300" s="8"/>
      <c r="I300" s="18"/>
      <c r="K300" s="6"/>
    </row>
    <row r="301" spans="8:11" s="11" customFormat="1" x14ac:dyDescent="0.3">
      <c r="H301" s="8"/>
      <c r="I301" s="18"/>
      <c r="K301" s="6"/>
    </row>
    <row r="302" spans="8:11" s="11" customFormat="1" x14ac:dyDescent="0.3">
      <c r="H302" s="8"/>
      <c r="I302" s="18"/>
      <c r="K302" s="6"/>
    </row>
    <row r="303" spans="8:11" s="11" customFormat="1" x14ac:dyDescent="0.3">
      <c r="H303" s="8"/>
      <c r="I303" s="18"/>
      <c r="K303" s="6"/>
    </row>
    <row r="304" spans="8:11" s="11" customFormat="1" x14ac:dyDescent="0.3">
      <c r="H304" s="8"/>
      <c r="I304" s="18"/>
      <c r="K304" s="6"/>
    </row>
    <row r="305" spans="8:11" s="11" customFormat="1" x14ac:dyDescent="0.3">
      <c r="H305" s="8"/>
      <c r="I305" s="18"/>
      <c r="K305" s="6"/>
    </row>
    <row r="306" spans="8:11" s="11" customFormat="1" x14ac:dyDescent="0.3">
      <c r="H306" s="8"/>
      <c r="I306" s="18"/>
      <c r="K306" s="6"/>
    </row>
    <row r="307" spans="8:11" s="11" customFormat="1" x14ac:dyDescent="0.3">
      <c r="H307" s="8"/>
      <c r="I307" s="18"/>
      <c r="K307" s="6"/>
    </row>
    <row r="308" spans="8:11" s="11" customFormat="1" x14ac:dyDescent="0.3">
      <c r="H308" s="8"/>
      <c r="I308" s="18"/>
      <c r="K308" s="6"/>
    </row>
    <row r="309" spans="8:11" s="11" customFormat="1" x14ac:dyDescent="0.3">
      <c r="H309" s="8"/>
      <c r="I309" s="18"/>
      <c r="K309" s="6"/>
    </row>
    <row r="310" spans="8:11" s="11" customFormat="1" x14ac:dyDescent="0.3">
      <c r="H310" s="8"/>
      <c r="I310" s="18"/>
      <c r="K310" s="6"/>
    </row>
    <row r="311" spans="8:11" s="11" customFormat="1" x14ac:dyDescent="0.3">
      <c r="H311" s="8"/>
      <c r="I311" s="18"/>
      <c r="K311" s="6"/>
    </row>
    <row r="312" spans="8:11" s="11" customFormat="1" x14ac:dyDescent="0.3">
      <c r="H312" s="8"/>
      <c r="I312" s="18"/>
      <c r="K312" s="6"/>
    </row>
    <row r="313" spans="8:11" s="11" customFormat="1" x14ac:dyDescent="0.3">
      <c r="H313" s="8"/>
      <c r="I313" s="18"/>
      <c r="K313" s="6"/>
    </row>
    <row r="314" spans="8:11" s="11" customFormat="1" x14ac:dyDescent="0.3">
      <c r="H314" s="8"/>
      <c r="I314" s="18"/>
      <c r="K314" s="6"/>
    </row>
    <row r="315" spans="8:11" s="11" customFormat="1" x14ac:dyDescent="0.3">
      <c r="H315" s="8"/>
      <c r="I315" s="18"/>
      <c r="K315" s="6"/>
    </row>
    <row r="316" spans="8:11" s="11" customFormat="1" x14ac:dyDescent="0.3">
      <c r="H316" s="8"/>
      <c r="I316" s="18"/>
      <c r="K316" s="6"/>
    </row>
    <row r="317" spans="8:11" s="11" customFormat="1" x14ac:dyDescent="0.3">
      <c r="H317" s="8"/>
      <c r="I317" s="18"/>
      <c r="K317" s="6"/>
    </row>
    <row r="318" spans="8:11" s="11" customFormat="1" x14ac:dyDescent="0.3">
      <c r="H318" s="8"/>
      <c r="I318" s="18"/>
      <c r="K318" s="6"/>
    </row>
    <row r="319" spans="8:11" s="11" customFormat="1" x14ac:dyDescent="0.3">
      <c r="H319" s="8"/>
      <c r="I319" s="18"/>
      <c r="K319" s="6"/>
    </row>
    <row r="320" spans="8:11" s="11" customFormat="1" x14ac:dyDescent="0.3">
      <c r="H320" s="8"/>
      <c r="I320" s="18"/>
      <c r="K320" s="6"/>
    </row>
    <row r="321" spans="8:11" s="11" customFormat="1" x14ac:dyDescent="0.3">
      <c r="H321" s="8"/>
      <c r="I321" s="18"/>
      <c r="K321" s="6"/>
    </row>
    <row r="322" spans="8:11" s="11" customFormat="1" x14ac:dyDescent="0.3">
      <c r="H322" s="8"/>
      <c r="I322" s="18"/>
      <c r="K322" s="6"/>
    </row>
    <row r="323" spans="8:11" s="11" customFormat="1" x14ac:dyDescent="0.3">
      <c r="H323" s="8"/>
      <c r="I323" s="18"/>
      <c r="K323" s="6"/>
    </row>
    <row r="324" spans="8:11" s="11" customFormat="1" x14ac:dyDescent="0.3">
      <c r="H324" s="8"/>
      <c r="I324" s="18"/>
      <c r="K324" s="6"/>
    </row>
    <row r="325" spans="8:11" s="11" customFormat="1" x14ac:dyDescent="0.3">
      <c r="H325" s="8"/>
      <c r="I325" s="18"/>
      <c r="K325" s="6"/>
    </row>
    <row r="326" spans="8:11" s="11" customFormat="1" x14ac:dyDescent="0.3">
      <c r="H326" s="8"/>
      <c r="I326" s="18"/>
      <c r="K326" s="6"/>
    </row>
    <row r="327" spans="8:11" s="11" customFormat="1" x14ac:dyDescent="0.3">
      <c r="H327" s="8"/>
      <c r="I327" s="18"/>
      <c r="K327" s="6"/>
    </row>
    <row r="328" spans="8:11" s="11" customFormat="1" x14ac:dyDescent="0.3">
      <c r="H328" s="8"/>
      <c r="I328" s="18"/>
      <c r="K328" s="6"/>
    </row>
    <row r="329" spans="8:11" s="11" customFormat="1" x14ac:dyDescent="0.3">
      <c r="H329" s="8"/>
      <c r="I329" s="18"/>
      <c r="K329" s="6"/>
    </row>
    <row r="330" spans="8:11" s="11" customFormat="1" x14ac:dyDescent="0.3">
      <c r="H330" s="8"/>
      <c r="I330" s="18"/>
      <c r="K330" s="6"/>
    </row>
    <row r="331" spans="8:11" s="11" customFormat="1" x14ac:dyDescent="0.3">
      <c r="H331" s="8"/>
      <c r="I331" s="18"/>
      <c r="K331" s="6"/>
    </row>
    <row r="332" spans="8:11" s="11" customFormat="1" x14ac:dyDescent="0.3">
      <c r="H332" s="8"/>
      <c r="I332" s="18"/>
      <c r="K332" s="6"/>
    </row>
    <row r="333" spans="8:11" s="11" customFormat="1" x14ac:dyDescent="0.3">
      <c r="H333" s="8"/>
      <c r="I333" s="18"/>
      <c r="K333" s="6"/>
    </row>
    <row r="334" spans="8:11" s="11" customFormat="1" x14ac:dyDescent="0.3">
      <c r="H334" s="8"/>
      <c r="I334" s="18"/>
      <c r="K334" s="6"/>
    </row>
    <row r="335" spans="8:11" s="11" customFormat="1" x14ac:dyDescent="0.3">
      <c r="H335" s="8"/>
      <c r="I335" s="18"/>
      <c r="K335" s="6"/>
    </row>
    <row r="336" spans="8:11" s="11" customFormat="1" x14ac:dyDescent="0.3">
      <c r="H336" s="8"/>
      <c r="I336" s="18"/>
      <c r="K336" s="6"/>
    </row>
    <row r="337" spans="8:11" s="11" customFormat="1" x14ac:dyDescent="0.3">
      <c r="H337" s="8"/>
      <c r="I337" s="18"/>
      <c r="K337" s="6"/>
    </row>
    <row r="338" spans="8:11" s="11" customFormat="1" x14ac:dyDescent="0.3">
      <c r="H338" s="8"/>
      <c r="I338" s="18"/>
      <c r="K338" s="6"/>
    </row>
    <row r="339" spans="8:11" s="11" customFormat="1" x14ac:dyDescent="0.3">
      <c r="H339" s="8"/>
      <c r="I339" s="18"/>
      <c r="K339" s="6"/>
    </row>
    <row r="340" spans="8:11" s="11" customFormat="1" x14ac:dyDescent="0.3">
      <c r="H340" s="8"/>
      <c r="I340" s="18"/>
      <c r="K340" s="6"/>
    </row>
    <row r="341" spans="8:11" s="11" customFormat="1" x14ac:dyDescent="0.3">
      <c r="H341" s="8"/>
      <c r="I341" s="18"/>
      <c r="K341" s="6"/>
    </row>
    <row r="342" spans="8:11" s="11" customFormat="1" x14ac:dyDescent="0.3">
      <c r="H342" s="8"/>
      <c r="I342" s="18"/>
      <c r="K342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3F64-5A6E-4221-8CBC-1578C23468DC}">
  <sheetPr codeName="Sheet2"/>
  <dimension ref="A1:AB297"/>
  <sheetViews>
    <sheetView rightToLeft="1" zoomScale="113" zoomScaleNormal="113" workbookViewId="0">
      <pane ySplit="13" topLeftCell="A14" activePane="bottomLeft" state="frozen"/>
      <selection pane="bottomLeft" activeCell="A5" sqref="A5"/>
    </sheetView>
  </sheetViews>
  <sheetFormatPr defaultRowHeight="15.6" x14ac:dyDescent="0.3"/>
  <cols>
    <col min="1" max="1" width="14.21875" style="2" bestFit="1" customWidth="1"/>
    <col min="2" max="2" width="5.109375" style="2" bestFit="1" customWidth="1"/>
    <col min="3" max="3" width="7.6640625" style="2" bestFit="1" customWidth="1"/>
    <col min="4" max="4" width="16.21875" style="2" bestFit="1" customWidth="1"/>
    <col min="5" max="5" width="5.109375" style="2" bestFit="1" customWidth="1"/>
    <col min="6" max="6" width="12.88671875" style="2" bestFit="1" customWidth="1"/>
    <col min="7" max="7" width="4.5546875" style="2" customWidth="1"/>
    <col min="8" max="8" width="19.88671875" style="8" customWidth="1"/>
    <col min="9" max="9" width="11.5546875" style="7" bestFit="1" customWidth="1"/>
    <col min="10" max="10" width="8.5546875" style="11" bestFit="1" customWidth="1"/>
    <col min="11" max="11" width="3.77734375" style="6" customWidth="1"/>
    <col min="12" max="12" width="8.88671875" style="2"/>
    <col min="13" max="13" width="6.77734375" style="2" customWidth="1"/>
    <col min="14" max="14" width="8.88671875" style="2"/>
    <col min="15" max="15" width="10.21875" style="2" customWidth="1"/>
    <col min="16" max="16" width="7.77734375" style="2" customWidth="1"/>
    <col min="17" max="17" width="12.88671875" style="2" bestFit="1" customWidth="1"/>
    <col min="18" max="18" width="3.44140625" style="2" customWidth="1"/>
    <col min="19" max="19" width="11.88671875" style="2" bestFit="1" customWidth="1"/>
    <col min="20" max="20" width="12.33203125" style="2" bestFit="1" customWidth="1"/>
    <col min="21" max="21" width="8.5546875" style="2" bestFit="1" customWidth="1"/>
    <col min="22" max="22" width="5.109375" style="2" customWidth="1"/>
    <col min="23" max="23" width="14.21875" style="2" bestFit="1" customWidth="1"/>
    <col min="24" max="24" width="5.109375" style="2" bestFit="1" customWidth="1"/>
    <col min="25" max="25" width="8.5546875" style="2" bestFit="1" customWidth="1"/>
    <col min="26" max="26" width="16.21875" style="2" bestFit="1" customWidth="1"/>
    <col min="27" max="27" width="5.109375" style="2" bestFit="1" customWidth="1"/>
    <col min="28" max="28" width="16.5546875" style="2" bestFit="1" customWidth="1"/>
    <col min="29" max="16384" width="8.88671875" style="2"/>
  </cols>
  <sheetData>
    <row r="1" spans="1:28" x14ac:dyDescent="0.3">
      <c r="A1" s="2" t="s">
        <v>29</v>
      </c>
      <c r="H1" s="8" t="s">
        <v>38</v>
      </c>
      <c r="L1" s="2" t="s">
        <v>33</v>
      </c>
      <c r="S1" s="8" t="s">
        <v>38</v>
      </c>
      <c r="T1" s="20">
        <f>SUM(T3:T1048576)</f>
        <v>-9465</v>
      </c>
      <c r="U1" s="11">
        <f>SUM(U3:U1048576)</f>
        <v>-3335</v>
      </c>
      <c r="V1" s="6"/>
      <c r="W1" s="2" t="s">
        <v>33</v>
      </c>
    </row>
    <row r="2" spans="1:28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  <c r="S2" s="9" t="s">
        <v>6</v>
      </c>
      <c r="T2" s="19" t="s">
        <v>5</v>
      </c>
      <c r="U2" s="12" t="s">
        <v>4</v>
      </c>
      <c r="V2" s="4"/>
      <c r="W2" s="1" t="s">
        <v>2</v>
      </c>
      <c r="X2" s="1" t="s">
        <v>0</v>
      </c>
      <c r="Y2" s="1" t="s">
        <v>1</v>
      </c>
      <c r="Z2" s="1" t="s">
        <v>3</v>
      </c>
      <c r="AA2" s="1" t="s">
        <v>0</v>
      </c>
      <c r="AB2" s="1" t="s">
        <v>1</v>
      </c>
    </row>
    <row r="3" spans="1:28" x14ac:dyDescent="0.3">
      <c r="A3" s="15">
        <v>1</v>
      </c>
      <c r="B3" s="2">
        <v>6</v>
      </c>
      <c r="C3" s="16">
        <f>A3*B3</f>
        <v>6</v>
      </c>
      <c r="D3" s="17">
        <v>5000</v>
      </c>
      <c r="E3" s="2">
        <v>4</v>
      </c>
      <c r="F3" s="17">
        <f>D3*E3</f>
        <v>20000</v>
      </c>
      <c r="G3" s="5"/>
      <c r="H3" s="10" t="s">
        <v>7</v>
      </c>
      <c r="I3" s="6"/>
      <c r="J3" s="11">
        <v>57</v>
      </c>
      <c r="L3" s="15">
        <v>1</v>
      </c>
      <c r="N3" s="16">
        <f>L3*M3</f>
        <v>0</v>
      </c>
      <c r="O3" s="17">
        <v>5000</v>
      </c>
      <c r="P3" s="2">
        <v>10</v>
      </c>
      <c r="Q3" s="17">
        <f>O3*P3</f>
        <v>50000</v>
      </c>
      <c r="S3" s="10"/>
      <c r="T3" s="20"/>
      <c r="U3" s="11">
        <v>55</v>
      </c>
      <c r="V3" s="6"/>
      <c r="W3" s="15">
        <v>1</v>
      </c>
      <c r="Y3" s="16">
        <f>W3*X3</f>
        <v>0</v>
      </c>
      <c r="Z3" s="17">
        <v>5</v>
      </c>
      <c r="AA3" s="2">
        <v>11</v>
      </c>
      <c r="AB3" s="23">
        <f>Z3*AA3</f>
        <v>55</v>
      </c>
    </row>
    <row r="4" spans="1:28" x14ac:dyDescent="0.3">
      <c r="A4" s="15">
        <v>5</v>
      </c>
      <c r="B4" s="2">
        <v>20</v>
      </c>
      <c r="C4" s="16">
        <f t="shared" ref="C4:C8" si="0">A4*B4</f>
        <v>100</v>
      </c>
      <c r="D4" s="17">
        <v>10000</v>
      </c>
      <c r="E4" s="2">
        <v>30</v>
      </c>
      <c r="F4" s="17">
        <f t="shared" ref="F4:F7" si="1">D4*E4</f>
        <v>300000</v>
      </c>
      <c r="G4" s="5"/>
      <c r="H4" s="10" t="s">
        <v>8</v>
      </c>
      <c r="I4" s="6">
        <v>-50000</v>
      </c>
      <c r="J4" s="11">
        <v>8</v>
      </c>
      <c r="L4" s="15">
        <v>5</v>
      </c>
      <c r="M4" s="2">
        <v>21</v>
      </c>
      <c r="N4" s="16">
        <f t="shared" ref="N4:N8" si="2">L4*M4</f>
        <v>105</v>
      </c>
      <c r="O4" s="17">
        <v>10000</v>
      </c>
      <c r="P4" s="2">
        <v>31</v>
      </c>
      <c r="Q4" s="17">
        <f t="shared" ref="Q4:Q7" si="3">O4*P4</f>
        <v>310000</v>
      </c>
      <c r="S4" s="10"/>
      <c r="T4" s="20">
        <v>245</v>
      </c>
      <c r="U4" s="11"/>
      <c r="V4" s="6"/>
      <c r="W4" s="15">
        <v>5</v>
      </c>
      <c r="X4" s="2">
        <v>16</v>
      </c>
      <c r="Y4" s="21">
        <f t="shared" ref="Y4:Y8" si="4">W4*X4</f>
        <v>80</v>
      </c>
      <c r="Z4" s="17">
        <v>10</v>
      </c>
      <c r="AA4" s="2">
        <v>30</v>
      </c>
      <c r="AB4" s="23">
        <f t="shared" ref="AB4:AB7" si="5">Z4*AA4</f>
        <v>300</v>
      </c>
    </row>
    <row r="5" spans="1:28" x14ac:dyDescent="0.3">
      <c r="A5" s="15">
        <v>10</v>
      </c>
      <c r="B5" s="2">
        <v>75</v>
      </c>
      <c r="C5" s="16">
        <f t="shared" si="0"/>
        <v>750</v>
      </c>
      <c r="D5" s="17">
        <v>20000</v>
      </c>
      <c r="E5" s="2">
        <v>37</v>
      </c>
      <c r="F5" s="17">
        <f t="shared" si="1"/>
        <v>740000</v>
      </c>
      <c r="G5" s="5"/>
      <c r="H5" s="10" t="s">
        <v>9</v>
      </c>
      <c r="I5" s="6">
        <v>-2000000</v>
      </c>
      <c r="L5" s="15">
        <v>10</v>
      </c>
      <c r="M5" s="2">
        <v>74</v>
      </c>
      <c r="N5" s="16">
        <f t="shared" si="2"/>
        <v>740</v>
      </c>
      <c r="O5" s="17">
        <v>20000</v>
      </c>
      <c r="P5" s="2">
        <v>13</v>
      </c>
      <c r="Q5" s="17">
        <f t="shared" si="3"/>
        <v>260000</v>
      </c>
      <c r="S5" s="10"/>
      <c r="T5" s="20"/>
      <c r="U5" s="11">
        <v>100</v>
      </c>
      <c r="V5" s="6"/>
      <c r="W5" s="15">
        <v>10</v>
      </c>
      <c r="X5" s="2">
        <v>28</v>
      </c>
      <c r="Y5" s="21">
        <f t="shared" si="4"/>
        <v>280</v>
      </c>
      <c r="Z5" s="17">
        <v>20</v>
      </c>
      <c r="AA5" s="2">
        <v>10</v>
      </c>
      <c r="AB5" s="23">
        <f t="shared" si="5"/>
        <v>200</v>
      </c>
    </row>
    <row r="6" spans="1:28" x14ac:dyDescent="0.3">
      <c r="A6" s="15">
        <v>20</v>
      </c>
      <c r="B6" s="2">
        <v>3</v>
      </c>
      <c r="C6" s="16">
        <f t="shared" si="0"/>
        <v>60</v>
      </c>
      <c r="D6" s="17">
        <v>50000</v>
      </c>
      <c r="E6" s="2">
        <v>1</v>
      </c>
      <c r="F6" s="17">
        <f t="shared" si="1"/>
        <v>50000</v>
      </c>
      <c r="G6" s="5"/>
      <c r="H6" s="10" t="s">
        <v>10</v>
      </c>
      <c r="I6" s="6"/>
      <c r="J6" s="11">
        <v>200</v>
      </c>
      <c r="L6" s="15">
        <v>20</v>
      </c>
      <c r="M6" s="2">
        <v>1</v>
      </c>
      <c r="N6" s="16">
        <f t="shared" si="2"/>
        <v>20</v>
      </c>
      <c r="O6" s="17">
        <v>50000</v>
      </c>
      <c r="Q6" s="17">
        <f t="shared" si="3"/>
        <v>0</v>
      </c>
      <c r="S6" s="10"/>
      <c r="T6" s="20">
        <v>250</v>
      </c>
      <c r="U6" s="11"/>
      <c r="V6" s="6"/>
      <c r="W6" s="15">
        <v>20</v>
      </c>
      <c r="X6" s="2">
        <v>12</v>
      </c>
      <c r="Y6" s="21">
        <f t="shared" si="4"/>
        <v>240</v>
      </c>
      <c r="Z6" s="17">
        <v>50</v>
      </c>
      <c r="AB6" s="23">
        <f t="shared" si="5"/>
        <v>0</v>
      </c>
    </row>
    <row r="7" spans="1:28" x14ac:dyDescent="0.3">
      <c r="A7" s="15">
        <v>50</v>
      </c>
      <c r="B7" s="2">
        <v>2</v>
      </c>
      <c r="C7" s="16">
        <f t="shared" si="0"/>
        <v>100</v>
      </c>
      <c r="D7" s="17">
        <v>100000</v>
      </c>
      <c r="E7" s="2">
        <v>147</v>
      </c>
      <c r="F7" s="17">
        <f t="shared" si="1"/>
        <v>14700000</v>
      </c>
      <c r="G7" s="5"/>
      <c r="H7" s="10" t="s">
        <v>11</v>
      </c>
      <c r="I7" s="6">
        <v>585000</v>
      </c>
      <c r="L7" s="15">
        <v>50</v>
      </c>
      <c r="M7" s="2">
        <v>5</v>
      </c>
      <c r="N7" s="16">
        <f t="shared" si="2"/>
        <v>250</v>
      </c>
      <c r="O7" s="17">
        <v>100000</v>
      </c>
      <c r="P7" s="2">
        <f>36+110</f>
        <v>146</v>
      </c>
      <c r="Q7" s="17">
        <f t="shared" si="3"/>
        <v>14600000</v>
      </c>
      <c r="S7" s="10"/>
      <c r="T7" s="20">
        <v>100</v>
      </c>
      <c r="U7" s="11"/>
      <c r="V7" s="6"/>
      <c r="W7" s="15">
        <v>50</v>
      </c>
      <c r="X7" s="2">
        <v>2</v>
      </c>
      <c r="Y7" s="21">
        <f t="shared" si="4"/>
        <v>100</v>
      </c>
      <c r="Z7" s="17">
        <v>100</v>
      </c>
      <c r="AA7" s="2">
        <v>52</v>
      </c>
      <c r="AB7" s="23">
        <f t="shared" si="5"/>
        <v>5200</v>
      </c>
    </row>
    <row r="8" spans="1:28" x14ac:dyDescent="0.3">
      <c r="A8" s="15">
        <v>100</v>
      </c>
      <c r="B8" s="2">
        <v>16</v>
      </c>
      <c r="C8" s="16">
        <f t="shared" si="0"/>
        <v>1600</v>
      </c>
      <c r="D8" s="1" t="s">
        <v>1</v>
      </c>
      <c r="E8" s="1"/>
      <c r="F8" s="3">
        <f>SUM(F3:F7)</f>
        <v>15810000</v>
      </c>
      <c r="G8" s="5"/>
      <c r="H8" s="10" t="s">
        <v>12</v>
      </c>
      <c r="I8" s="6">
        <v>100000</v>
      </c>
      <c r="J8" s="11">
        <v>15</v>
      </c>
      <c r="L8" s="15">
        <v>100</v>
      </c>
      <c r="M8" s="2">
        <v>33</v>
      </c>
      <c r="N8" s="16">
        <f t="shared" si="2"/>
        <v>3300</v>
      </c>
      <c r="O8" s="1" t="s">
        <v>1</v>
      </c>
      <c r="P8" s="1"/>
      <c r="Q8" s="3">
        <f>SUM(Q3:Q7)</f>
        <v>15220000</v>
      </c>
      <c r="S8" s="10"/>
      <c r="T8" s="20">
        <v>100</v>
      </c>
      <c r="U8" s="11"/>
      <c r="V8" s="6"/>
      <c r="W8" s="15">
        <v>100</v>
      </c>
      <c r="X8" s="2">
        <v>3</v>
      </c>
      <c r="Y8" s="21">
        <f t="shared" si="4"/>
        <v>300</v>
      </c>
      <c r="Z8" s="1" t="s">
        <v>1</v>
      </c>
      <c r="AA8" s="1"/>
      <c r="AB8" s="19">
        <f>SUM(AB3:AB7)</f>
        <v>5755</v>
      </c>
    </row>
    <row r="9" spans="1:28" x14ac:dyDescent="0.3">
      <c r="A9" s="1" t="s">
        <v>1</v>
      </c>
      <c r="B9" s="1"/>
      <c r="C9" s="3">
        <f>SUM(C3:C8)</f>
        <v>2616</v>
      </c>
      <c r="H9" s="10" t="s">
        <v>13</v>
      </c>
      <c r="I9" s="6">
        <v>280000</v>
      </c>
      <c r="L9" s="1" t="s">
        <v>1</v>
      </c>
      <c r="M9" s="1"/>
      <c r="N9" s="3">
        <f>SUM(N3:N8)</f>
        <v>4415</v>
      </c>
      <c r="S9" s="10"/>
      <c r="T9" s="20">
        <v>200</v>
      </c>
      <c r="U9" s="11"/>
      <c r="V9" s="6"/>
      <c r="W9" s="1" t="s">
        <v>1</v>
      </c>
      <c r="X9" s="1"/>
      <c r="Y9" s="22">
        <f>SUM(Y3:Y8)</f>
        <v>1000</v>
      </c>
      <c r="AB9" s="20"/>
    </row>
    <row r="10" spans="1:28" x14ac:dyDescent="0.3">
      <c r="H10" s="10" t="s">
        <v>14</v>
      </c>
      <c r="I10" s="6">
        <v>-30000</v>
      </c>
      <c r="J10" s="11">
        <v>90</v>
      </c>
      <c r="O10" s="1" t="s">
        <v>40</v>
      </c>
      <c r="P10" s="1"/>
      <c r="Q10" s="13">
        <f>SUM(Table1[اللبناني])</f>
        <v>-590000</v>
      </c>
      <c r="S10" s="10"/>
      <c r="T10" s="20"/>
      <c r="U10" s="11">
        <v>5</v>
      </c>
      <c r="V10" s="6"/>
      <c r="Y10" s="11"/>
      <c r="Z10" s="1" t="s">
        <v>40</v>
      </c>
      <c r="AA10" s="1"/>
      <c r="AB10" s="24">
        <f>T1</f>
        <v>-9465</v>
      </c>
    </row>
    <row r="11" spans="1:28" x14ac:dyDescent="0.3">
      <c r="H11" s="10" t="s">
        <v>15</v>
      </c>
      <c r="I11" s="6"/>
      <c r="J11" s="11">
        <v>400</v>
      </c>
      <c r="L11" s="1" t="s">
        <v>39</v>
      </c>
      <c r="M11" s="1"/>
      <c r="N11" s="13">
        <f>SUM(Table1[الدولار])</f>
        <v>1799</v>
      </c>
      <c r="S11" s="10"/>
      <c r="T11" s="20"/>
      <c r="U11" s="11">
        <v>10</v>
      </c>
      <c r="V11" s="6"/>
      <c r="W11" s="1" t="s">
        <v>39</v>
      </c>
      <c r="X11" s="1"/>
      <c r="Y11" s="12">
        <f>U1</f>
        <v>-3335</v>
      </c>
      <c r="AB11" s="20"/>
    </row>
    <row r="12" spans="1:28" x14ac:dyDescent="0.3">
      <c r="H12" s="10" t="s">
        <v>16</v>
      </c>
      <c r="I12" s="6">
        <v>400000</v>
      </c>
      <c r="O12" s="1" t="s">
        <v>27</v>
      </c>
      <c r="P12" s="1"/>
      <c r="Q12" s="13">
        <f>Q8-Q10-F8</f>
        <v>0</v>
      </c>
      <c r="S12" s="10"/>
      <c r="T12" s="20">
        <v>-300</v>
      </c>
      <c r="U12" s="11"/>
      <c r="V12" s="6"/>
      <c r="Y12" s="11"/>
      <c r="Z12" s="1" t="s">
        <v>27</v>
      </c>
      <c r="AA12" s="1"/>
      <c r="AB12" s="24">
        <f>AB8-AB10-Q8</f>
        <v>-15204780</v>
      </c>
    </row>
    <row r="13" spans="1:28" x14ac:dyDescent="0.3">
      <c r="C13" s="14"/>
      <c r="D13" s="14"/>
      <c r="F13" s="14"/>
      <c r="H13" s="10" t="s">
        <v>17</v>
      </c>
      <c r="I13" s="6">
        <v>360000</v>
      </c>
      <c r="J13" s="11">
        <v>70</v>
      </c>
      <c r="L13" s="1" t="s">
        <v>27</v>
      </c>
      <c r="M13" s="1"/>
      <c r="N13" s="13">
        <f>N9-N11-C9</f>
        <v>0</v>
      </c>
      <c r="S13" s="10"/>
      <c r="T13" s="20"/>
      <c r="U13" s="11">
        <v>10</v>
      </c>
      <c r="V13" s="6"/>
      <c r="W13" s="1" t="s">
        <v>27</v>
      </c>
      <c r="X13" s="1"/>
      <c r="Y13" s="12">
        <f>Y9-Y11-N9</f>
        <v>-80</v>
      </c>
    </row>
    <row r="14" spans="1:28" x14ac:dyDescent="0.3">
      <c r="C14" s="14"/>
      <c r="D14" s="14"/>
      <c r="F14" s="14"/>
      <c r="H14" s="10" t="s">
        <v>18</v>
      </c>
      <c r="I14" s="7">
        <v>-160000</v>
      </c>
      <c r="J14" s="11">
        <v>5</v>
      </c>
      <c r="S14" s="10"/>
      <c r="T14" s="18">
        <v>90</v>
      </c>
      <c r="U14" s="11"/>
      <c r="V14" s="6"/>
    </row>
    <row r="15" spans="1:28" x14ac:dyDescent="0.3">
      <c r="C15" s="14"/>
      <c r="D15" s="14"/>
      <c r="F15" s="14"/>
      <c r="H15" s="10" t="s">
        <v>18</v>
      </c>
      <c r="J15" s="11">
        <v>5</v>
      </c>
      <c r="S15" s="10"/>
      <c r="T15" s="18"/>
      <c r="U15" s="11">
        <v>35</v>
      </c>
      <c r="V15" s="6"/>
    </row>
    <row r="16" spans="1:28" x14ac:dyDescent="0.3">
      <c r="C16" s="14"/>
      <c r="D16" s="14"/>
      <c r="F16" s="14"/>
      <c r="H16" s="10" t="s">
        <v>18</v>
      </c>
      <c r="I16" s="7">
        <v>100000</v>
      </c>
      <c r="S16" s="10"/>
      <c r="T16" s="18"/>
      <c r="U16" s="11">
        <v>5</v>
      </c>
      <c r="V16" s="6"/>
    </row>
    <row r="17" spans="3:22" x14ac:dyDescent="0.3">
      <c r="C17" s="14"/>
      <c r="D17" s="14"/>
      <c r="F17" s="14"/>
      <c r="H17" s="10" t="s">
        <v>28</v>
      </c>
      <c r="I17" s="6">
        <v>-180000</v>
      </c>
      <c r="J17" s="11">
        <v>10</v>
      </c>
      <c r="S17" s="10"/>
      <c r="T17" s="20">
        <v>180</v>
      </c>
      <c r="U17" s="11"/>
      <c r="V17" s="6"/>
    </row>
    <row r="18" spans="3:22" x14ac:dyDescent="0.3">
      <c r="C18" s="14"/>
      <c r="F18" s="14"/>
      <c r="H18" s="10" t="s">
        <v>19</v>
      </c>
      <c r="I18" s="6">
        <v>800000</v>
      </c>
      <c r="S18" s="10"/>
      <c r="T18" s="20"/>
      <c r="U18" s="11">
        <v>-4100</v>
      </c>
      <c r="V18" s="6"/>
    </row>
    <row r="19" spans="3:22" x14ac:dyDescent="0.3">
      <c r="C19" s="14"/>
      <c r="H19" s="10" t="s">
        <v>20</v>
      </c>
      <c r="I19" s="6">
        <v>-1800000</v>
      </c>
      <c r="J19" s="11">
        <v>20</v>
      </c>
      <c r="S19" s="10"/>
      <c r="T19" s="20">
        <v>-11000</v>
      </c>
      <c r="U19" s="11"/>
      <c r="V19" s="6"/>
    </row>
    <row r="20" spans="3:22" x14ac:dyDescent="0.3">
      <c r="F20" s="6"/>
      <c r="H20" s="10" t="s">
        <v>21</v>
      </c>
      <c r="I20" s="6"/>
      <c r="J20" s="11">
        <v>-40</v>
      </c>
      <c r="S20" s="10"/>
      <c r="T20" s="20"/>
      <c r="U20" s="11">
        <v>10</v>
      </c>
      <c r="V20" s="6"/>
    </row>
    <row r="21" spans="3:22" x14ac:dyDescent="0.3">
      <c r="C21" s="6"/>
      <c r="H21" s="10" t="s">
        <v>22</v>
      </c>
      <c r="I21" s="6">
        <v>140000</v>
      </c>
      <c r="S21" s="10"/>
      <c r="T21" s="20">
        <v>-150</v>
      </c>
      <c r="U21" s="11"/>
      <c r="V21" s="6"/>
    </row>
    <row r="22" spans="3:22" x14ac:dyDescent="0.3">
      <c r="F22" s="6"/>
      <c r="H22" s="10" t="s">
        <v>28</v>
      </c>
      <c r="I22" s="6">
        <v>120000</v>
      </c>
      <c r="S22" s="10"/>
      <c r="T22" s="20">
        <v>540</v>
      </c>
      <c r="U22" s="11"/>
      <c r="V22" s="6"/>
    </row>
    <row r="23" spans="3:22" x14ac:dyDescent="0.3">
      <c r="C23" s="6"/>
      <c r="H23" s="10" t="s">
        <v>23</v>
      </c>
      <c r="I23" s="6"/>
      <c r="J23" s="11">
        <v>35</v>
      </c>
      <c r="S23" s="10"/>
      <c r="T23" s="20"/>
      <c r="U23" s="11">
        <v>65</v>
      </c>
      <c r="V23" s="6"/>
    </row>
    <row r="24" spans="3:22" x14ac:dyDescent="0.3">
      <c r="H24" s="10" t="s">
        <v>24</v>
      </c>
      <c r="I24" s="6">
        <v>-180000</v>
      </c>
      <c r="J24" s="11">
        <v>10</v>
      </c>
      <c r="S24" s="10"/>
      <c r="T24" s="20">
        <v>-200</v>
      </c>
      <c r="U24" s="11"/>
      <c r="V24" s="6"/>
    </row>
    <row r="25" spans="3:22" x14ac:dyDescent="0.3">
      <c r="H25" s="10" t="s">
        <v>25</v>
      </c>
      <c r="I25" s="6">
        <v>50000</v>
      </c>
      <c r="S25" s="10"/>
      <c r="T25" s="20"/>
      <c r="U25" s="11">
        <v>110</v>
      </c>
      <c r="V25" s="6"/>
    </row>
    <row r="26" spans="3:22" x14ac:dyDescent="0.3">
      <c r="H26" s="10" t="s">
        <v>24</v>
      </c>
      <c r="I26" s="6">
        <v>90000</v>
      </c>
      <c r="J26" s="11">
        <v>5</v>
      </c>
      <c r="S26" s="10"/>
      <c r="T26" s="20"/>
      <c r="U26" s="11">
        <v>-50</v>
      </c>
      <c r="V26" s="6"/>
    </row>
    <row r="27" spans="3:22" x14ac:dyDescent="0.3">
      <c r="H27" s="10" t="s">
        <v>26</v>
      </c>
      <c r="I27" s="7">
        <v>-300000</v>
      </c>
      <c r="J27" s="11">
        <v>40</v>
      </c>
      <c r="S27" s="10"/>
      <c r="T27" s="18">
        <v>-270</v>
      </c>
      <c r="U27" s="11"/>
      <c r="V27" s="6"/>
    </row>
    <row r="28" spans="3:22" x14ac:dyDescent="0.3">
      <c r="H28" s="8" t="s">
        <v>30</v>
      </c>
      <c r="I28" s="7">
        <v>340000</v>
      </c>
      <c r="S28" s="8"/>
      <c r="T28" s="18"/>
      <c r="U28" s="11">
        <v>10</v>
      </c>
      <c r="V28" s="6"/>
    </row>
    <row r="29" spans="3:22" x14ac:dyDescent="0.3">
      <c r="H29" s="8" t="s">
        <v>31</v>
      </c>
      <c r="I29" s="7">
        <v>350000</v>
      </c>
      <c r="S29" s="8"/>
      <c r="T29" s="18">
        <v>250</v>
      </c>
      <c r="U29" s="11"/>
      <c r="V29" s="6"/>
    </row>
    <row r="30" spans="3:22" x14ac:dyDescent="0.3">
      <c r="H30" s="8" t="s">
        <v>22</v>
      </c>
      <c r="I30" s="7">
        <v>150000</v>
      </c>
      <c r="S30" s="8"/>
      <c r="T30" s="18">
        <v>140</v>
      </c>
      <c r="U30" s="11"/>
      <c r="V30" s="6"/>
    </row>
    <row r="31" spans="3:22" x14ac:dyDescent="0.3">
      <c r="H31" s="8" t="s">
        <v>21</v>
      </c>
      <c r="J31" s="11">
        <v>-20</v>
      </c>
      <c r="S31" s="8"/>
      <c r="T31" s="18"/>
      <c r="U31" s="11">
        <v>60</v>
      </c>
      <c r="V31" s="6"/>
    </row>
    <row r="32" spans="3:22" x14ac:dyDescent="0.3">
      <c r="H32" s="8" t="s">
        <v>32</v>
      </c>
      <c r="J32" s="11">
        <v>4</v>
      </c>
      <c r="S32" s="8"/>
      <c r="T32" s="18"/>
      <c r="U32" s="11">
        <v>5</v>
      </c>
      <c r="V32" s="6"/>
    </row>
    <row r="33" spans="8:22" x14ac:dyDescent="0.3">
      <c r="H33" s="8" t="s">
        <v>34</v>
      </c>
      <c r="J33" s="11">
        <v>20</v>
      </c>
      <c r="S33" s="8"/>
      <c r="T33" s="18">
        <v>30</v>
      </c>
      <c r="U33" s="11"/>
      <c r="V33" s="6"/>
    </row>
    <row r="34" spans="8:22" x14ac:dyDescent="0.3">
      <c r="H34" s="8" t="s">
        <v>28</v>
      </c>
      <c r="J34" s="11">
        <v>10</v>
      </c>
      <c r="S34" s="8"/>
      <c r="T34" s="18"/>
      <c r="U34" s="11">
        <v>10</v>
      </c>
      <c r="V34" s="6"/>
    </row>
    <row r="35" spans="8:22" x14ac:dyDescent="0.3">
      <c r="H35" s="8" t="s">
        <v>28</v>
      </c>
      <c r="I35" s="7">
        <v>225000</v>
      </c>
      <c r="S35" s="8"/>
      <c r="T35" s="18">
        <v>-405</v>
      </c>
      <c r="U35" s="11"/>
      <c r="V35" s="6"/>
    </row>
    <row r="36" spans="8:22" x14ac:dyDescent="0.3">
      <c r="H36" s="8" t="s">
        <v>35</v>
      </c>
      <c r="I36" s="7">
        <v>200000</v>
      </c>
      <c r="S36" s="8"/>
      <c r="T36" s="18"/>
      <c r="U36" s="11">
        <v>5</v>
      </c>
      <c r="V36" s="6"/>
    </row>
    <row r="37" spans="8:22" x14ac:dyDescent="0.3">
      <c r="H37" s="8" t="s">
        <v>16</v>
      </c>
      <c r="I37" s="7">
        <v>300000</v>
      </c>
      <c r="S37" s="8"/>
      <c r="T37" s="18">
        <v>-100</v>
      </c>
      <c r="U37" s="11"/>
      <c r="V37" s="6"/>
    </row>
    <row r="38" spans="8:22" x14ac:dyDescent="0.3">
      <c r="H38" s="8" t="s">
        <v>36</v>
      </c>
      <c r="J38" s="11">
        <v>115</v>
      </c>
      <c r="S38" s="8"/>
      <c r="T38" s="18">
        <v>300</v>
      </c>
      <c r="U38" s="11"/>
      <c r="V38" s="6"/>
    </row>
    <row r="39" spans="8:22" x14ac:dyDescent="0.3">
      <c r="H39" s="8" t="s">
        <v>36</v>
      </c>
      <c r="I39" s="7">
        <v>-200000</v>
      </c>
      <c r="S39" s="8"/>
      <c r="T39" s="18"/>
      <c r="U39" s="11">
        <v>35</v>
      </c>
      <c r="V39" s="6"/>
    </row>
    <row r="40" spans="8:22" x14ac:dyDescent="0.3">
      <c r="H40" s="8" t="s">
        <v>37</v>
      </c>
      <c r="J40" s="11">
        <v>6</v>
      </c>
      <c r="S40" s="8"/>
      <c r="T40" s="18">
        <v>795</v>
      </c>
      <c r="U40" s="11"/>
      <c r="V40" s="6"/>
    </row>
    <row r="41" spans="8:22" x14ac:dyDescent="0.3">
      <c r="H41" s="8" t="s">
        <v>41</v>
      </c>
      <c r="J41" s="11">
        <v>30</v>
      </c>
      <c r="S41" s="8"/>
      <c r="T41" s="18">
        <v>300</v>
      </c>
      <c r="U41" s="11">
        <v>10</v>
      </c>
      <c r="V41" s="6"/>
    </row>
    <row r="42" spans="8:22" x14ac:dyDescent="0.3">
      <c r="H42" s="8" t="s">
        <v>42</v>
      </c>
      <c r="I42" s="7">
        <v>-50000</v>
      </c>
      <c r="S42" s="8"/>
      <c r="T42" s="18">
        <v>-360</v>
      </c>
      <c r="U42" s="11">
        <v>40</v>
      </c>
      <c r="V42" s="6"/>
    </row>
    <row r="43" spans="8:22" x14ac:dyDescent="0.3">
      <c r="H43" s="8" t="s">
        <v>43</v>
      </c>
      <c r="I43" s="7">
        <v>600000</v>
      </c>
      <c r="S43" s="8"/>
      <c r="T43" s="18"/>
      <c r="U43" s="11">
        <v>160</v>
      </c>
      <c r="V43" s="6"/>
    </row>
    <row r="44" spans="8:22" x14ac:dyDescent="0.3">
      <c r="H44" s="8" t="s">
        <v>44</v>
      </c>
      <c r="I44" s="7">
        <v>350000</v>
      </c>
      <c r="S44" s="8"/>
      <c r="T44" s="18">
        <v>-200</v>
      </c>
      <c r="U44" s="11"/>
      <c r="V44" s="6"/>
    </row>
    <row r="45" spans="8:22" x14ac:dyDescent="0.3">
      <c r="H45" s="8" t="s">
        <v>45</v>
      </c>
      <c r="J45" s="11">
        <v>5</v>
      </c>
      <c r="S45" s="8"/>
      <c r="T45" s="18"/>
      <c r="U45" s="11">
        <v>75</v>
      </c>
      <c r="V45" s="6"/>
    </row>
    <row r="46" spans="8:22" x14ac:dyDescent="0.3">
      <c r="H46" s="8" t="s">
        <v>46</v>
      </c>
      <c r="I46" s="7">
        <v>-320000</v>
      </c>
      <c r="J46" s="11">
        <v>5</v>
      </c>
      <c r="S46" s="8"/>
      <c r="T46" s="18"/>
      <c r="U46" s="11"/>
      <c r="V46" s="6"/>
    </row>
    <row r="47" spans="8:22" x14ac:dyDescent="0.3">
      <c r="H47" s="8" t="s">
        <v>47</v>
      </c>
      <c r="I47" s="7">
        <v>-180000</v>
      </c>
      <c r="J47" s="11">
        <v>20</v>
      </c>
      <c r="S47" s="8"/>
      <c r="T47" s="18"/>
      <c r="U47" s="11"/>
      <c r="V47" s="6"/>
    </row>
    <row r="48" spans="8:22" x14ac:dyDescent="0.3">
      <c r="H48" s="8" t="s">
        <v>47</v>
      </c>
      <c r="I48" s="7">
        <v>-400000</v>
      </c>
      <c r="S48" s="8"/>
      <c r="T48" s="18"/>
      <c r="U48" s="11"/>
      <c r="V48" s="6"/>
    </row>
    <row r="49" spans="8:22" x14ac:dyDescent="0.3">
      <c r="H49" s="8" t="s">
        <v>48</v>
      </c>
      <c r="J49" s="11">
        <v>4</v>
      </c>
      <c r="S49" s="8"/>
      <c r="T49" s="18"/>
      <c r="U49" s="11"/>
      <c r="V49" s="6"/>
    </row>
    <row r="50" spans="8:22" x14ac:dyDescent="0.3">
      <c r="H50" s="8" t="s">
        <v>49</v>
      </c>
      <c r="J50" s="11">
        <v>35</v>
      </c>
      <c r="S50" s="8"/>
      <c r="T50" s="18"/>
      <c r="U50" s="11"/>
      <c r="V50" s="6"/>
    </row>
    <row r="51" spans="8:22" x14ac:dyDescent="0.3">
      <c r="H51" s="8" t="s">
        <v>50</v>
      </c>
      <c r="J51" s="11">
        <v>75</v>
      </c>
      <c r="S51" s="8"/>
      <c r="T51" s="18"/>
      <c r="U51" s="11"/>
      <c r="V51" s="6"/>
    </row>
    <row r="52" spans="8:22" x14ac:dyDescent="0.3">
      <c r="H52" s="8" t="s">
        <v>51</v>
      </c>
      <c r="I52" s="7">
        <v>-50000</v>
      </c>
      <c r="J52" s="11">
        <v>5</v>
      </c>
      <c r="S52" s="8"/>
      <c r="T52" s="18"/>
      <c r="U52" s="11"/>
      <c r="V52" s="6"/>
    </row>
    <row r="53" spans="8:22" x14ac:dyDescent="0.3">
      <c r="H53" s="8" t="s">
        <v>52</v>
      </c>
      <c r="J53" s="11">
        <v>25</v>
      </c>
      <c r="S53" s="8"/>
      <c r="T53" s="18"/>
      <c r="U53" s="11"/>
      <c r="V53" s="6"/>
    </row>
    <row r="54" spans="8:22" x14ac:dyDescent="0.3">
      <c r="H54" s="8" t="s">
        <v>53</v>
      </c>
      <c r="I54" s="7">
        <v>-270000</v>
      </c>
      <c r="J54" s="11">
        <v>20</v>
      </c>
      <c r="S54" s="8"/>
      <c r="T54" s="18"/>
      <c r="U54" s="11"/>
      <c r="V54" s="6"/>
    </row>
    <row r="55" spans="8:22" x14ac:dyDescent="0.3">
      <c r="H55" s="8" t="s">
        <v>28</v>
      </c>
      <c r="I55" s="7">
        <v>270000</v>
      </c>
      <c r="S55" s="8"/>
      <c r="T55" s="18"/>
      <c r="U55" s="11"/>
      <c r="V55" s="6"/>
    </row>
    <row r="56" spans="8:22" x14ac:dyDescent="0.3">
      <c r="H56" s="8" t="s">
        <v>54</v>
      </c>
      <c r="J56" s="11">
        <v>5</v>
      </c>
      <c r="S56" s="8"/>
      <c r="T56" s="18"/>
      <c r="U56" s="11"/>
      <c r="V56" s="6"/>
    </row>
    <row r="57" spans="8:22" x14ac:dyDescent="0.3">
      <c r="H57" s="8" t="s">
        <v>55</v>
      </c>
      <c r="J57" s="11">
        <v>50</v>
      </c>
      <c r="S57" s="8"/>
      <c r="T57" s="18"/>
      <c r="U57" s="11"/>
      <c r="V57" s="6"/>
    </row>
    <row r="58" spans="8:22" x14ac:dyDescent="0.3">
      <c r="H58" s="8" t="s">
        <v>56</v>
      </c>
      <c r="J58" s="11">
        <v>65</v>
      </c>
      <c r="S58" s="8"/>
      <c r="T58" s="18"/>
      <c r="U58" s="11"/>
      <c r="V58" s="6"/>
    </row>
    <row r="59" spans="8:22" x14ac:dyDescent="0.3">
      <c r="H59" s="8" t="s">
        <v>16</v>
      </c>
      <c r="I59" s="7">
        <v>130000</v>
      </c>
      <c r="J59" s="11">
        <v>5</v>
      </c>
      <c r="S59" s="8"/>
      <c r="T59" s="18"/>
      <c r="U59" s="11"/>
      <c r="V59" s="6"/>
    </row>
    <row r="60" spans="8:22" x14ac:dyDescent="0.3">
      <c r="H60" s="8" t="s">
        <v>57</v>
      </c>
      <c r="J60" s="11">
        <v>80</v>
      </c>
      <c r="S60" s="8"/>
      <c r="T60" s="18"/>
      <c r="U60" s="11"/>
      <c r="V60" s="6"/>
    </row>
    <row r="61" spans="8:22" x14ac:dyDescent="0.3">
      <c r="H61" s="8" t="s">
        <v>58</v>
      </c>
      <c r="J61" s="11">
        <v>15</v>
      </c>
      <c r="S61" s="8"/>
      <c r="T61" s="18"/>
      <c r="U61" s="11"/>
      <c r="V61" s="6"/>
    </row>
    <row r="62" spans="8:22" x14ac:dyDescent="0.3">
      <c r="H62" s="8" t="s">
        <v>59</v>
      </c>
      <c r="I62" s="7">
        <v>-50000</v>
      </c>
      <c r="J62" s="11">
        <v>5</v>
      </c>
      <c r="S62" s="8"/>
      <c r="T62" s="18"/>
      <c r="U62" s="11"/>
      <c r="V62" s="6"/>
    </row>
    <row r="63" spans="8:22" x14ac:dyDescent="0.3">
      <c r="H63" s="8" t="s">
        <v>60</v>
      </c>
      <c r="J63" s="11">
        <v>25</v>
      </c>
      <c r="S63" s="8"/>
      <c r="T63" s="18"/>
      <c r="U63" s="11"/>
      <c r="V63" s="6"/>
    </row>
    <row r="64" spans="8:22" x14ac:dyDescent="0.3">
      <c r="H64" s="8" t="s">
        <v>61</v>
      </c>
      <c r="I64" s="7">
        <v>-180000</v>
      </c>
      <c r="J64" s="11">
        <v>65</v>
      </c>
      <c r="S64" s="8"/>
      <c r="T64" s="18"/>
      <c r="U64" s="11"/>
      <c r="V64" s="6"/>
    </row>
    <row r="65" spans="8:22" x14ac:dyDescent="0.3">
      <c r="H65" s="8" t="s">
        <v>62</v>
      </c>
      <c r="I65" s="7">
        <v>-380000</v>
      </c>
      <c r="J65" s="11">
        <v>10</v>
      </c>
      <c r="S65" s="8"/>
      <c r="T65" s="18"/>
      <c r="U65" s="11"/>
      <c r="V65" s="6"/>
    </row>
    <row r="66" spans="8:22" x14ac:dyDescent="0.3">
      <c r="H66" s="8" t="s">
        <v>63</v>
      </c>
      <c r="I66" s="7">
        <v>440000</v>
      </c>
      <c r="S66" s="8"/>
      <c r="T66" s="18"/>
      <c r="U66" s="11"/>
      <c r="V66" s="6"/>
    </row>
    <row r="67" spans="8:22" x14ac:dyDescent="0.3">
      <c r="H67" s="8" t="s">
        <v>64</v>
      </c>
      <c r="I67" s="7">
        <v>-180000</v>
      </c>
      <c r="J67" s="11">
        <v>10</v>
      </c>
      <c r="S67" s="8"/>
      <c r="T67" s="18"/>
      <c r="U67" s="11"/>
      <c r="V67" s="6"/>
    </row>
    <row r="68" spans="8:22" x14ac:dyDescent="0.3">
      <c r="H68" s="8" t="s">
        <v>18</v>
      </c>
      <c r="I68" s="7">
        <v>-90000</v>
      </c>
      <c r="J68" s="11">
        <v>170</v>
      </c>
      <c r="S68" s="8"/>
      <c r="T68" s="18"/>
      <c r="U68" s="11"/>
      <c r="V68" s="6"/>
    </row>
    <row r="69" spans="8:22" x14ac:dyDescent="0.3">
      <c r="I69" s="7">
        <v>90000</v>
      </c>
      <c r="J69" s="11">
        <v>5</v>
      </c>
      <c r="S69" s="8"/>
      <c r="T69" s="18"/>
      <c r="U69" s="11"/>
      <c r="V69" s="6"/>
    </row>
    <row r="70" spans="8:22" x14ac:dyDescent="0.3">
      <c r="I70" s="7">
        <v>-10000</v>
      </c>
      <c r="S70" s="8"/>
      <c r="T70" s="18"/>
      <c r="U70" s="11"/>
      <c r="V70" s="6"/>
    </row>
    <row r="71" spans="8:22" x14ac:dyDescent="0.3">
      <c r="S71" s="8"/>
      <c r="T71" s="18"/>
      <c r="U71" s="11"/>
      <c r="V71" s="6"/>
    </row>
    <row r="72" spans="8:22" x14ac:dyDescent="0.3">
      <c r="S72" s="8"/>
      <c r="T72" s="18"/>
      <c r="U72" s="11"/>
      <c r="V72" s="6"/>
    </row>
    <row r="73" spans="8:22" x14ac:dyDescent="0.3">
      <c r="S73" s="8"/>
      <c r="T73" s="18"/>
      <c r="U73" s="11"/>
      <c r="V73" s="6"/>
    </row>
    <row r="74" spans="8:22" x14ac:dyDescent="0.3">
      <c r="S74" s="8"/>
      <c r="T74" s="18"/>
      <c r="U74" s="11"/>
      <c r="V74" s="6"/>
    </row>
    <row r="75" spans="8:22" x14ac:dyDescent="0.3">
      <c r="S75" s="8"/>
      <c r="T75" s="18"/>
      <c r="U75" s="11"/>
      <c r="V75" s="6"/>
    </row>
    <row r="76" spans="8:22" x14ac:dyDescent="0.3">
      <c r="S76" s="8"/>
      <c r="T76" s="18"/>
      <c r="U76" s="11"/>
      <c r="V76" s="6"/>
    </row>
    <row r="77" spans="8:22" x14ac:dyDescent="0.3">
      <c r="S77" s="8"/>
      <c r="T77" s="18"/>
      <c r="U77" s="11"/>
      <c r="V77" s="6"/>
    </row>
    <row r="78" spans="8:22" x14ac:dyDescent="0.3">
      <c r="S78" s="8"/>
      <c r="T78" s="18"/>
      <c r="U78" s="11"/>
      <c r="V78" s="6"/>
    </row>
    <row r="79" spans="8:22" x14ac:dyDescent="0.3">
      <c r="S79" s="8"/>
      <c r="T79" s="18"/>
      <c r="U79" s="11"/>
      <c r="V79" s="6"/>
    </row>
    <row r="80" spans="8:22" x14ac:dyDescent="0.3">
      <c r="S80" s="8"/>
      <c r="T80" s="18"/>
      <c r="U80" s="11"/>
      <c r="V80" s="6"/>
    </row>
    <row r="81" spans="19:22" x14ac:dyDescent="0.3">
      <c r="S81" s="8"/>
      <c r="T81" s="18"/>
      <c r="U81" s="11"/>
      <c r="V81" s="6"/>
    </row>
    <row r="82" spans="19:22" x14ac:dyDescent="0.3">
      <c r="S82" s="8"/>
      <c r="T82" s="18"/>
      <c r="U82" s="11"/>
      <c r="V82" s="6"/>
    </row>
    <row r="83" spans="19:22" x14ac:dyDescent="0.3">
      <c r="S83" s="8"/>
      <c r="T83" s="18"/>
      <c r="U83" s="11"/>
      <c r="V83" s="6"/>
    </row>
    <row r="84" spans="19:22" x14ac:dyDescent="0.3">
      <c r="S84" s="8"/>
      <c r="T84" s="18"/>
      <c r="U84" s="11"/>
      <c r="V84" s="6"/>
    </row>
    <row r="85" spans="19:22" x14ac:dyDescent="0.3">
      <c r="S85" s="8"/>
      <c r="T85" s="18"/>
      <c r="U85" s="11"/>
      <c r="V85" s="6"/>
    </row>
    <row r="86" spans="19:22" x14ac:dyDescent="0.3">
      <c r="S86" s="8"/>
      <c r="T86" s="18"/>
      <c r="U86" s="11"/>
      <c r="V86" s="6"/>
    </row>
    <row r="87" spans="19:22" x14ac:dyDescent="0.3">
      <c r="S87" s="8"/>
      <c r="T87" s="18"/>
      <c r="U87" s="11"/>
      <c r="V87" s="6"/>
    </row>
    <row r="88" spans="19:22" x14ac:dyDescent="0.3">
      <c r="S88" s="8"/>
      <c r="T88" s="18"/>
      <c r="U88" s="11"/>
      <c r="V88" s="6"/>
    </row>
    <row r="89" spans="19:22" x14ac:dyDescent="0.3">
      <c r="S89" s="8"/>
      <c r="T89" s="18"/>
      <c r="U89" s="11"/>
      <c r="V89" s="6"/>
    </row>
    <row r="90" spans="19:22" x14ac:dyDescent="0.3">
      <c r="S90" s="8"/>
      <c r="T90" s="18"/>
      <c r="U90" s="11"/>
      <c r="V90" s="6"/>
    </row>
    <row r="91" spans="19:22" x14ac:dyDescent="0.3">
      <c r="S91" s="8"/>
      <c r="T91" s="18"/>
      <c r="U91" s="11"/>
      <c r="V91" s="6"/>
    </row>
    <row r="92" spans="19:22" x14ac:dyDescent="0.3">
      <c r="S92" s="8"/>
      <c r="T92" s="18"/>
      <c r="U92" s="11"/>
      <c r="V92" s="6"/>
    </row>
    <row r="93" spans="19:22" x14ac:dyDescent="0.3">
      <c r="S93" s="8"/>
      <c r="T93" s="18"/>
      <c r="U93" s="11"/>
      <c r="V93" s="6"/>
    </row>
    <row r="94" spans="19:22" x14ac:dyDescent="0.3">
      <c r="S94" s="8"/>
      <c r="T94" s="18"/>
      <c r="U94" s="11"/>
      <c r="V94" s="6"/>
    </row>
    <row r="95" spans="19:22" x14ac:dyDescent="0.3">
      <c r="S95" s="8"/>
      <c r="T95" s="18"/>
      <c r="U95" s="11"/>
      <c r="V95" s="6"/>
    </row>
    <row r="96" spans="19:22" x14ac:dyDescent="0.3">
      <c r="S96" s="8"/>
      <c r="T96" s="18"/>
      <c r="U96" s="11"/>
      <c r="V96" s="6"/>
    </row>
    <row r="97" spans="19:22" x14ac:dyDescent="0.3">
      <c r="S97" s="8"/>
      <c r="T97" s="18"/>
      <c r="U97" s="11"/>
      <c r="V97" s="6"/>
    </row>
    <row r="98" spans="19:22" x14ac:dyDescent="0.3">
      <c r="S98" s="8"/>
      <c r="T98" s="18"/>
      <c r="U98" s="11"/>
      <c r="V98" s="6"/>
    </row>
    <row r="99" spans="19:22" x14ac:dyDescent="0.3">
      <c r="S99" s="8"/>
      <c r="T99" s="18"/>
      <c r="U99" s="11"/>
      <c r="V99" s="6"/>
    </row>
    <row r="100" spans="19:22" x14ac:dyDescent="0.3">
      <c r="S100" s="8"/>
      <c r="T100" s="18"/>
      <c r="U100" s="11"/>
      <c r="V100" s="6"/>
    </row>
    <row r="101" spans="19:22" x14ac:dyDescent="0.3">
      <c r="S101" s="8"/>
      <c r="T101" s="18"/>
      <c r="U101" s="11"/>
      <c r="V101" s="6"/>
    </row>
    <row r="102" spans="19:22" x14ac:dyDescent="0.3">
      <c r="S102" s="8"/>
      <c r="T102" s="18"/>
      <c r="U102" s="11"/>
      <c r="V102" s="6"/>
    </row>
    <row r="103" spans="19:22" x14ac:dyDescent="0.3">
      <c r="S103" s="8"/>
      <c r="T103" s="18"/>
      <c r="U103" s="11"/>
      <c r="V103" s="6"/>
    </row>
    <row r="104" spans="19:22" x14ac:dyDescent="0.3">
      <c r="S104" s="8"/>
      <c r="T104" s="18"/>
      <c r="U104" s="11"/>
      <c r="V104" s="6"/>
    </row>
    <row r="105" spans="19:22" x14ac:dyDescent="0.3">
      <c r="S105" s="8"/>
      <c r="T105" s="18"/>
      <c r="U105" s="11"/>
      <c r="V105" s="6"/>
    </row>
    <row r="106" spans="19:22" x14ac:dyDescent="0.3">
      <c r="S106" s="8"/>
      <c r="T106" s="18"/>
      <c r="U106" s="11"/>
      <c r="V106" s="6"/>
    </row>
    <row r="107" spans="19:22" x14ac:dyDescent="0.3">
      <c r="S107" s="8"/>
      <c r="T107" s="18"/>
      <c r="U107" s="11"/>
      <c r="V107" s="6"/>
    </row>
    <row r="108" spans="19:22" x14ac:dyDescent="0.3">
      <c r="S108" s="8"/>
      <c r="T108" s="18"/>
      <c r="U108" s="11"/>
      <c r="V108" s="6"/>
    </row>
    <row r="109" spans="19:22" x14ac:dyDescent="0.3">
      <c r="S109" s="8"/>
      <c r="T109" s="18"/>
      <c r="U109" s="11"/>
      <c r="V109" s="6"/>
    </row>
    <row r="110" spans="19:22" x14ac:dyDescent="0.3">
      <c r="S110" s="8"/>
      <c r="T110" s="18"/>
      <c r="U110" s="11"/>
      <c r="V110" s="6"/>
    </row>
    <row r="111" spans="19:22" x14ac:dyDescent="0.3">
      <c r="S111" s="8"/>
      <c r="T111" s="18"/>
      <c r="U111" s="11"/>
      <c r="V111" s="6"/>
    </row>
    <row r="112" spans="19:22" x14ac:dyDescent="0.3">
      <c r="S112" s="8"/>
      <c r="T112" s="18"/>
      <c r="U112" s="11"/>
      <c r="V112" s="6"/>
    </row>
    <row r="113" spans="19:22" x14ac:dyDescent="0.3">
      <c r="S113" s="8"/>
      <c r="T113" s="18"/>
      <c r="U113" s="11"/>
      <c r="V113" s="6"/>
    </row>
    <row r="114" spans="19:22" x14ac:dyDescent="0.3">
      <c r="S114" s="8"/>
      <c r="T114" s="18"/>
      <c r="U114" s="11"/>
      <c r="V114" s="6"/>
    </row>
    <row r="115" spans="19:22" x14ac:dyDescent="0.3">
      <c r="S115" s="8"/>
      <c r="T115" s="18"/>
      <c r="U115" s="11"/>
      <c r="V115" s="6"/>
    </row>
    <row r="116" spans="19:22" x14ac:dyDescent="0.3">
      <c r="S116" s="8"/>
      <c r="T116" s="18"/>
      <c r="U116" s="11"/>
      <c r="V116" s="6"/>
    </row>
    <row r="117" spans="19:22" x14ac:dyDescent="0.3">
      <c r="S117" s="8"/>
      <c r="T117" s="18"/>
      <c r="U117" s="11"/>
      <c r="V117" s="6"/>
    </row>
    <row r="118" spans="19:22" x14ac:dyDescent="0.3">
      <c r="S118" s="8"/>
      <c r="T118" s="18"/>
      <c r="U118" s="11"/>
      <c r="V118" s="6"/>
    </row>
    <row r="119" spans="19:22" x14ac:dyDescent="0.3">
      <c r="S119" s="8"/>
      <c r="T119" s="18"/>
      <c r="U119" s="11"/>
      <c r="V119" s="6"/>
    </row>
    <row r="120" spans="19:22" x14ac:dyDescent="0.3">
      <c r="S120" s="8"/>
      <c r="T120" s="18"/>
      <c r="U120" s="11"/>
      <c r="V120" s="6"/>
    </row>
    <row r="121" spans="19:22" x14ac:dyDescent="0.3">
      <c r="S121" s="8"/>
      <c r="T121" s="18"/>
      <c r="U121" s="11"/>
      <c r="V121" s="6"/>
    </row>
    <row r="122" spans="19:22" x14ac:dyDescent="0.3">
      <c r="S122" s="8"/>
      <c r="T122" s="18"/>
      <c r="U122" s="11"/>
      <c r="V122" s="6"/>
    </row>
    <row r="123" spans="19:22" x14ac:dyDescent="0.3">
      <c r="S123" s="8"/>
      <c r="T123" s="18"/>
      <c r="U123" s="11"/>
      <c r="V123" s="6"/>
    </row>
    <row r="124" spans="19:22" x14ac:dyDescent="0.3">
      <c r="S124" s="8"/>
      <c r="T124" s="18"/>
      <c r="U124" s="11"/>
      <c r="V124" s="6"/>
    </row>
    <row r="125" spans="19:22" x14ac:dyDescent="0.3">
      <c r="S125" s="8"/>
      <c r="T125" s="18"/>
      <c r="U125" s="11"/>
      <c r="V125" s="6"/>
    </row>
    <row r="126" spans="19:22" x14ac:dyDescent="0.3">
      <c r="S126" s="8"/>
      <c r="T126" s="18"/>
      <c r="U126" s="11"/>
      <c r="V126" s="6"/>
    </row>
    <row r="127" spans="19:22" x14ac:dyDescent="0.3">
      <c r="S127" s="8"/>
      <c r="T127" s="18"/>
      <c r="U127" s="11"/>
      <c r="V127" s="6"/>
    </row>
    <row r="128" spans="19:22" x14ac:dyDescent="0.3">
      <c r="S128" s="8"/>
      <c r="T128" s="18"/>
      <c r="U128" s="11"/>
      <c r="V128" s="6"/>
    </row>
    <row r="129" spans="19:22" x14ac:dyDescent="0.3">
      <c r="S129" s="8"/>
      <c r="T129" s="18"/>
      <c r="U129" s="11"/>
      <c r="V129" s="6"/>
    </row>
    <row r="130" spans="19:22" x14ac:dyDescent="0.3">
      <c r="S130" s="8"/>
      <c r="T130" s="18"/>
      <c r="U130" s="11"/>
      <c r="V130" s="6"/>
    </row>
    <row r="131" spans="19:22" x14ac:dyDescent="0.3">
      <c r="S131" s="8"/>
      <c r="T131" s="18"/>
      <c r="U131" s="11"/>
      <c r="V131" s="6"/>
    </row>
    <row r="132" spans="19:22" x14ac:dyDescent="0.3">
      <c r="S132" s="8"/>
      <c r="T132" s="18"/>
      <c r="U132" s="11"/>
      <c r="V132" s="6"/>
    </row>
    <row r="133" spans="19:22" x14ac:dyDescent="0.3">
      <c r="S133" s="8"/>
      <c r="T133" s="18"/>
      <c r="U133" s="11"/>
      <c r="V133" s="6"/>
    </row>
    <row r="134" spans="19:22" x14ac:dyDescent="0.3">
      <c r="S134" s="8"/>
      <c r="T134" s="18"/>
      <c r="U134" s="11"/>
      <c r="V134" s="6"/>
    </row>
    <row r="135" spans="19:22" x14ac:dyDescent="0.3">
      <c r="S135" s="8"/>
      <c r="T135" s="18"/>
      <c r="U135" s="11"/>
      <c r="V135" s="6"/>
    </row>
    <row r="136" spans="19:22" x14ac:dyDescent="0.3">
      <c r="S136" s="8"/>
      <c r="T136" s="18"/>
      <c r="U136" s="11"/>
      <c r="V136" s="6"/>
    </row>
    <row r="137" spans="19:22" x14ac:dyDescent="0.3">
      <c r="S137" s="8"/>
      <c r="T137" s="18"/>
      <c r="U137" s="11"/>
      <c r="V137" s="6"/>
    </row>
    <row r="138" spans="19:22" x14ac:dyDescent="0.3">
      <c r="S138" s="8"/>
      <c r="T138" s="18"/>
      <c r="U138" s="11"/>
      <c r="V138" s="6"/>
    </row>
    <row r="139" spans="19:22" x14ac:dyDescent="0.3">
      <c r="S139" s="8"/>
      <c r="T139" s="18"/>
      <c r="U139" s="11"/>
      <c r="V139" s="6"/>
    </row>
    <row r="140" spans="19:22" x14ac:dyDescent="0.3">
      <c r="S140" s="8"/>
      <c r="T140" s="18"/>
      <c r="U140" s="11"/>
      <c r="V140" s="6"/>
    </row>
    <row r="141" spans="19:22" x14ac:dyDescent="0.3">
      <c r="S141" s="8"/>
      <c r="T141" s="18"/>
      <c r="U141" s="11"/>
      <c r="V141" s="6"/>
    </row>
    <row r="142" spans="19:22" x14ac:dyDescent="0.3">
      <c r="S142" s="8"/>
      <c r="T142" s="18"/>
      <c r="U142" s="11"/>
      <c r="V142" s="6"/>
    </row>
    <row r="143" spans="19:22" x14ac:dyDescent="0.3">
      <c r="S143" s="8"/>
      <c r="T143" s="18"/>
      <c r="U143" s="11"/>
      <c r="V143" s="6"/>
    </row>
    <row r="144" spans="19:22" x14ac:dyDescent="0.3">
      <c r="S144" s="8"/>
      <c r="T144" s="18"/>
      <c r="U144" s="11"/>
      <c r="V144" s="6"/>
    </row>
    <row r="145" spans="19:22" x14ac:dyDescent="0.3">
      <c r="S145" s="8"/>
      <c r="T145" s="18"/>
      <c r="U145" s="11"/>
      <c r="V145" s="6"/>
    </row>
    <row r="146" spans="19:22" x14ac:dyDescent="0.3">
      <c r="S146" s="8"/>
      <c r="T146" s="18"/>
      <c r="U146" s="11"/>
      <c r="V146" s="6"/>
    </row>
    <row r="147" spans="19:22" x14ac:dyDescent="0.3">
      <c r="S147" s="8"/>
      <c r="T147" s="18"/>
      <c r="U147" s="11"/>
      <c r="V147" s="6"/>
    </row>
    <row r="148" spans="19:22" x14ac:dyDescent="0.3">
      <c r="S148" s="8"/>
      <c r="T148" s="18"/>
      <c r="U148" s="11"/>
      <c r="V148" s="6"/>
    </row>
    <row r="149" spans="19:22" x14ac:dyDescent="0.3">
      <c r="S149" s="8"/>
      <c r="T149" s="18"/>
      <c r="U149" s="11"/>
      <c r="V149" s="6"/>
    </row>
    <row r="150" spans="19:22" x14ac:dyDescent="0.3">
      <c r="S150" s="8"/>
      <c r="T150" s="18"/>
      <c r="U150" s="11"/>
      <c r="V150" s="6"/>
    </row>
    <row r="151" spans="19:22" x14ac:dyDescent="0.3">
      <c r="S151" s="8"/>
      <c r="T151" s="18"/>
      <c r="U151" s="11"/>
      <c r="V151" s="6"/>
    </row>
    <row r="152" spans="19:22" x14ac:dyDescent="0.3">
      <c r="S152" s="8"/>
      <c r="T152" s="18"/>
      <c r="U152" s="11"/>
      <c r="V152" s="6"/>
    </row>
    <row r="153" spans="19:22" x14ac:dyDescent="0.3">
      <c r="S153" s="8"/>
      <c r="T153" s="18"/>
      <c r="U153" s="11"/>
      <c r="V153" s="6"/>
    </row>
    <row r="154" spans="19:22" x14ac:dyDescent="0.3">
      <c r="S154" s="8"/>
      <c r="T154" s="18"/>
      <c r="U154" s="11"/>
      <c r="V154" s="6"/>
    </row>
    <row r="155" spans="19:22" x14ac:dyDescent="0.3">
      <c r="S155" s="8"/>
      <c r="T155" s="18"/>
      <c r="U155" s="11"/>
      <c r="V155" s="6"/>
    </row>
    <row r="156" spans="19:22" x14ac:dyDescent="0.3">
      <c r="S156" s="8"/>
      <c r="T156" s="18"/>
      <c r="U156" s="11"/>
      <c r="V156" s="6"/>
    </row>
    <row r="157" spans="19:22" x14ac:dyDescent="0.3">
      <c r="S157" s="8"/>
      <c r="T157" s="18"/>
      <c r="U157" s="11"/>
      <c r="V157" s="6"/>
    </row>
    <row r="158" spans="19:22" x14ac:dyDescent="0.3">
      <c r="S158" s="8"/>
      <c r="T158" s="18"/>
      <c r="U158" s="11"/>
      <c r="V158" s="6"/>
    </row>
    <row r="159" spans="19:22" x14ac:dyDescent="0.3">
      <c r="S159" s="8"/>
      <c r="T159" s="18"/>
      <c r="U159" s="11"/>
      <c r="V159" s="6"/>
    </row>
    <row r="160" spans="19:22" x14ac:dyDescent="0.3">
      <c r="S160" s="8"/>
      <c r="T160" s="18"/>
      <c r="U160" s="11"/>
      <c r="V160" s="6"/>
    </row>
    <row r="161" spans="19:22" x14ac:dyDescent="0.3">
      <c r="S161" s="8"/>
      <c r="T161" s="18"/>
      <c r="U161" s="11"/>
      <c r="V161" s="6"/>
    </row>
    <row r="162" spans="19:22" x14ac:dyDescent="0.3">
      <c r="S162" s="8"/>
      <c r="T162" s="18"/>
      <c r="U162" s="11"/>
      <c r="V162" s="6"/>
    </row>
    <row r="163" spans="19:22" x14ac:dyDescent="0.3">
      <c r="S163" s="8"/>
      <c r="T163" s="18"/>
      <c r="U163" s="11"/>
      <c r="V163" s="6"/>
    </row>
    <row r="164" spans="19:22" x14ac:dyDescent="0.3">
      <c r="S164" s="8"/>
      <c r="T164" s="18"/>
      <c r="U164" s="11"/>
      <c r="V164" s="6"/>
    </row>
    <row r="165" spans="19:22" x14ac:dyDescent="0.3">
      <c r="S165" s="8"/>
      <c r="T165" s="18"/>
      <c r="U165" s="11"/>
      <c r="V165" s="6"/>
    </row>
    <row r="166" spans="19:22" x14ac:dyDescent="0.3">
      <c r="S166" s="8"/>
      <c r="T166" s="18"/>
      <c r="U166" s="11"/>
      <c r="V166" s="6"/>
    </row>
    <row r="167" spans="19:22" x14ac:dyDescent="0.3">
      <c r="S167" s="8"/>
      <c r="T167" s="18"/>
      <c r="U167" s="11"/>
      <c r="V167" s="6"/>
    </row>
    <row r="168" spans="19:22" x14ac:dyDescent="0.3">
      <c r="S168" s="8"/>
      <c r="T168" s="18"/>
      <c r="U168" s="11"/>
      <c r="V168" s="6"/>
    </row>
    <row r="169" spans="19:22" x14ac:dyDescent="0.3">
      <c r="S169" s="8"/>
      <c r="T169" s="18"/>
      <c r="U169" s="11"/>
      <c r="V169" s="6"/>
    </row>
    <row r="170" spans="19:22" x14ac:dyDescent="0.3">
      <c r="S170" s="8"/>
      <c r="T170" s="18"/>
      <c r="U170" s="11"/>
      <c r="V170" s="6"/>
    </row>
    <row r="171" spans="19:22" x14ac:dyDescent="0.3">
      <c r="S171" s="8"/>
      <c r="T171" s="18"/>
      <c r="U171" s="11"/>
      <c r="V171" s="6"/>
    </row>
    <row r="172" spans="19:22" x14ac:dyDescent="0.3">
      <c r="S172" s="8"/>
      <c r="T172" s="18"/>
      <c r="U172" s="11"/>
      <c r="V172" s="6"/>
    </row>
    <row r="173" spans="19:22" x14ac:dyDescent="0.3">
      <c r="S173" s="8"/>
      <c r="T173" s="18"/>
      <c r="U173" s="11"/>
      <c r="V173" s="6"/>
    </row>
    <row r="174" spans="19:22" x14ac:dyDescent="0.3">
      <c r="S174" s="8"/>
      <c r="T174" s="18"/>
      <c r="U174" s="11"/>
      <c r="V174" s="6"/>
    </row>
    <row r="175" spans="19:22" x14ac:dyDescent="0.3">
      <c r="S175" s="8"/>
      <c r="T175" s="18"/>
      <c r="U175" s="11"/>
      <c r="V175" s="6"/>
    </row>
    <row r="176" spans="19:22" x14ac:dyDescent="0.3">
      <c r="S176" s="8"/>
      <c r="T176" s="18"/>
      <c r="U176" s="11"/>
      <c r="V176" s="6"/>
    </row>
    <row r="177" spans="19:22" x14ac:dyDescent="0.3">
      <c r="S177" s="8"/>
      <c r="T177" s="18"/>
      <c r="U177" s="11"/>
      <c r="V177" s="6"/>
    </row>
    <row r="178" spans="19:22" x14ac:dyDescent="0.3">
      <c r="S178" s="8"/>
      <c r="T178" s="18"/>
      <c r="U178" s="11"/>
      <c r="V178" s="6"/>
    </row>
    <row r="179" spans="19:22" x14ac:dyDescent="0.3">
      <c r="S179" s="8"/>
      <c r="T179" s="18"/>
      <c r="U179" s="11"/>
      <c r="V179" s="6"/>
    </row>
    <row r="180" spans="19:22" x14ac:dyDescent="0.3">
      <c r="S180" s="8"/>
      <c r="T180" s="18"/>
      <c r="U180" s="11"/>
      <c r="V180" s="6"/>
    </row>
    <row r="181" spans="19:22" x14ac:dyDescent="0.3">
      <c r="S181" s="8"/>
      <c r="T181" s="18"/>
      <c r="U181" s="11"/>
      <c r="V181" s="6"/>
    </row>
    <row r="182" spans="19:22" x14ac:dyDescent="0.3">
      <c r="S182" s="8"/>
      <c r="T182" s="18"/>
      <c r="U182" s="11"/>
      <c r="V182" s="6"/>
    </row>
    <row r="183" spans="19:22" x14ac:dyDescent="0.3">
      <c r="S183" s="8"/>
      <c r="T183" s="18"/>
      <c r="U183" s="11"/>
      <c r="V183" s="6"/>
    </row>
    <row r="184" spans="19:22" x14ac:dyDescent="0.3">
      <c r="S184" s="8"/>
      <c r="T184" s="18"/>
      <c r="U184" s="11"/>
      <c r="V184" s="6"/>
    </row>
    <row r="185" spans="19:22" x14ac:dyDescent="0.3">
      <c r="S185" s="8"/>
      <c r="T185" s="18"/>
      <c r="U185" s="11"/>
      <c r="V185" s="6"/>
    </row>
    <row r="186" spans="19:22" x14ac:dyDescent="0.3">
      <c r="S186" s="8"/>
      <c r="T186" s="18"/>
      <c r="U186" s="11"/>
      <c r="V186" s="6"/>
    </row>
    <row r="187" spans="19:22" x14ac:dyDescent="0.3">
      <c r="S187" s="8"/>
      <c r="T187" s="18"/>
      <c r="U187" s="11"/>
      <c r="V187" s="6"/>
    </row>
    <row r="188" spans="19:22" x14ac:dyDescent="0.3">
      <c r="S188" s="8"/>
      <c r="T188" s="18"/>
      <c r="U188" s="11"/>
      <c r="V188" s="6"/>
    </row>
    <row r="189" spans="19:22" x14ac:dyDescent="0.3">
      <c r="S189" s="8"/>
      <c r="T189" s="18"/>
      <c r="U189" s="11"/>
      <c r="V189" s="6"/>
    </row>
    <row r="190" spans="19:22" x14ac:dyDescent="0.3">
      <c r="S190" s="8"/>
      <c r="T190" s="18"/>
      <c r="U190" s="11"/>
      <c r="V190" s="6"/>
    </row>
    <row r="191" spans="19:22" x14ac:dyDescent="0.3">
      <c r="S191" s="8"/>
      <c r="T191" s="18"/>
      <c r="U191" s="11"/>
      <c r="V191" s="6"/>
    </row>
    <row r="192" spans="19:22" x14ac:dyDescent="0.3">
      <c r="S192" s="8"/>
      <c r="T192" s="18"/>
      <c r="U192" s="11"/>
      <c r="V192" s="6"/>
    </row>
    <row r="193" spans="19:22" x14ac:dyDescent="0.3">
      <c r="S193" s="8"/>
      <c r="T193" s="18"/>
      <c r="U193" s="11"/>
      <c r="V193" s="6"/>
    </row>
    <row r="194" spans="19:22" x14ac:dyDescent="0.3">
      <c r="S194" s="8"/>
      <c r="T194" s="18"/>
      <c r="U194" s="11"/>
      <c r="V194" s="6"/>
    </row>
    <row r="195" spans="19:22" x14ac:dyDescent="0.3">
      <c r="S195" s="8"/>
      <c r="T195" s="18"/>
      <c r="U195" s="11"/>
      <c r="V195" s="6"/>
    </row>
    <row r="196" spans="19:22" x14ac:dyDescent="0.3">
      <c r="S196" s="8"/>
      <c r="T196" s="18"/>
      <c r="U196" s="11"/>
      <c r="V196" s="6"/>
    </row>
    <row r="197" spans="19:22" x14ac:dyDescent="0.3">
      <c r="S197" s="8"/>
      <c r="T197" s="18"/>
      <c r="U197" s="11"/>
      <c r="V197" s="6"/>
    </row>
    <row r="198" spans="19:22" x14ac:dyDescent="0.3">
      <c r="S198" s="8"/>
      <c r="T198" s="18"/>
      <c r="U198" s="11"/>
      <c r="V198" s="6"/>
    </row>
    <row r="199" spans="19:22" x14ac:dyDescent="0.3">
      <c r="S199" s="8"/>
      <c r="T199" s="18"/>
      <c r="U199" s="11"/>
      <c r="V199" s="6"/>
    </row>
    <row r="200" spans="19:22" x14ac:dyDescent="0.3">
      <c r="S200" s="8"/>
      <c r="T200" s="18"/>
      <c r="U200" s="11"/>
      <c r="V200" s="6"/>
    </row>
    <row r="201" spans="19:22" x14ac:dyDescent="0.3">
      <c r="S201" s="8"/>
      <c r="T201" s="18"/>
      <c r="U201" s="11"/>
      <c r="V201" s="6"/>
    </row>
    <row r="202" spans="19:22" x14ac:dyDescent="0.3">
      <c r="S202" s="8"/>
      <c r="T202" s="18"/>
      <c r="U202" s="11"/>
      <c r="V202" s="6"/>
    </row>
    <row r="203" spans="19:22" x14ac:dyDescent="0.3">
      <c r="S203" s="8"/>
      <c r="T203" s="18"/>
      <c r="U203" s="11"/>
      <c r="V203" s="6"/>
    </row>
    <row r="204" spans="19:22" x14ac:dyDescent="0.3">
      <c r="S204" s="8"/>
      <c r="T204" s="18"/>
      <c r="U204" s="11"/>
      <c r="V204" s="6"/>
    </row>
    <row r="205" spans="19:22" x14ac:dyDescent="0.3">
      <c r="S205" s="8"/>
      <c r="T205" s="18"/>
      <c r="U205" s="11"/>
      <c r="V205" s="6"/>
    </row>
    <row r="206" spans="19:22" x14ac:dyDescent="0.3">
      <c r="S206" s="8"/>
      <c r="T206" s="18"/>
      <c r="U206" s="11"/>
      <c r="V206" s="6"/>
    </row>
    <row r="207" spans="19:22" x14ac:dyDescent="0.3">
      <c r="S207" s="8"/>
      <c r="T207" s="18"/>
      <c r="U207" s="11"/>
      <c r="V207" s="6"/>
    </row>
    <row r="208" spans="19:22" x14ac:dyDescent="0.3">
      <c r="S208" s="8"/>
      <c r="T208" s="18"/>
      <c r="U208" s="11"/>
      <c r="V208" s="6"/>
    </row>
    <row r="209" spans="19:22" x14ac:dyDescent="0.3">
      <c r="S209" s="8"/>
      <c r="T209" s="18"/>
      <c r="U209" s="11"/>
      <c r="V209" s="6"/>
    </row>
    <row r="210" spans="19:22" x14ac:dyDescent="0.3">
      <c r="S210" s="8"/>
      <c r="T210" s="18"/>
      <c r="U210" s="11"/>
      <c r="V210" s="6"/>
    </row>
    <row r="211" spans="19:22" x14ac:dyDescent="0.3">
      <c r="S211" s="8"/>
      <c r="T211" s="18"/>
      <c r="U211" s="11"/>
      <c r="V211" s="6"/>
    </row>
    <row r="212" spans="19:22" x14ac:dyDescent="0.3">
      <c r="S212" s="8"/>
      <c r="T212" s="18"/>
      <c r="U212" s="11"/>
      <c r="V212" s="6"/>
    </row>
    <row r="213" spans="19:22" x14ac:dyDescent="0.3">
      <c r="S213" s="8"/>
      <c r="T213" s="18"/>
      <c r="U213" s="11"/>
      <c r="V213" s="6"/>
    </row>
    <row r="214" spans="19:22" x14ac:dyDescent="0.3">
      <c r="S214" s="8"/>
      <c r="T214" s="18"/>
      <c r="U214" s="11"/>
      <c r="V214" s="6"/>
    </row>
    <row r="215" spans="19:22" x14ac:dyDescent="0.3">
      <c r="S215" s="8"/>
      <c r="T215" s="18"/>
      <c r="U215" s="11"/>
      <c r="V215" s="6"/>
    </row>
    <row r="216" spans="19:22" x14ac:dyDescent="0.3">
      <c r="S216" s="8"/>
      <c r="T216" s="18"/>
      <c r="U216" s="11"/>
      <c r="V216" s="6"/>
    </row>
    <row r="217" spans="19:22" x14ac:dyDescent="0.3">
      <c r="S217" s="8"/>
      <c r="T217" s="18"/>
      <c r="U217" s="11"/>
      <c r="V217" s="6"/>
    </row>
    <row r="218" spans="19:22" x14ac:dyDescent="0.3">
      <c r="S218" s="8"/>
      <c r="T218" s="18"/>
      <c r="U218" s="11"/>
      <c r="V218" s="6"/>
    </row>
    <row r="219" spans="19:22" x14ac:dyDescent="0.3">
      <c r="S219" s="8"/>
      <c r="T219" s="18"/>
      <c r="U219" s="11"/>
      <c r="V219" s="6"/>
    </row>
    <row r="220" spans="19:22" x14ac:dyDescent="0.3">
      <c r="S220" s="8"/>
      <c r="T220" s="18"/>
      <c r="U220" s="11"/>
      <c r="V220" s="6"/>
    </row>
    <row r="221" spans="19:22" x14ac:dyDescent="0.3">
      <c r="S221" s="8"/>
      <c r="T221" s="18"/>
      <c r="U221" s="11"/>
      <c r="V221" s="6"/>
    </row>
    <row r="222" spans="19:22" x14ac:dyDescent="0.3">
      <c r="S222" s="8"/>
      <c r="T222" s="18"/>
      <c r="U222" s="11"/>
      <c r="V222" s="6"/>
    </row>
    <row r="223" spans="19:22" x14ac:dyDescent="0.3">
      <c r="S223" s="8"/>
      <c r="T223" s="18"/>
      <c r="U223" s="11"/>
      <c r="V223" s="6"/>
    </row>
    <row r="224" spans="19:22" x14ac:dyDescent="0.3">
      <c r="S224" s="8"/>
      <c r="T224" s="18"/>
      <c r="U224" s="11"/>
      <c r="V224" s="6"/>
    </row>
    <row r="225" spans="19:22" x14ac:dyDescent="0.3">
      <c r="S225" s="8"/>
      <c r="T225" s="18"/>
      <c r="U225" s="11"/>
      <c r="V225" s="6"/>
    </row>
    <row r="226" spans="19:22" x14ac:dyDescent="0.3">
      <c r="S226" s="8"/>
      <c r="T226" s="18"/>
      <c r="U226" s="11"/>
      <c r="V226" s="6"/>
    </row>
    <row r="227" spans="19:22" x14ac:dyDescent="0.3">
      <c r="S227" s="8"/>
      <c r="T227" s="18"/>
      <c r="U227" s="11"/>
      <c r="V227" s="6"/>
    </row>
    <row r="228" spans="19:22" x14ac:dyDescent="0.3">
      <c r="S228" s="8"/>
      <c r="T228" s="18"/>
      <c r="U228" s="11"/>
      <c r="V228" s="6"/>
    </row>
    <row r="229" spans="19:22" x14ac:dyDescent="0.3">
      <c r="S229" s="8"/>
      <c r="T229" s="18"/>
      <c r="U229" s="11"/>
      <c r="V229" s="6"/>
    </row>
    <row r="230" spans="19:22" x14ac:dyDescent="0.3">
      <c r="S230" s="8"/>
      <c r="T230" s="18"/>
      <c r="U230" s="11"/>
      <c r="V230" s="6"/>
    </row>
    <row r="231" spans="19:22" x14ac:dyDescent="0.3">
      <c r="S231" s="8"/>
      <c r="T231" s="18"/>
      <c r="U231" s="11"/>
      <c r="V231" s="6"/>
    </row>
    <row r="232" spans="19:22" x14ac:dyDescent="0.3">
      <c r="S232" s="8"/>
      <c r="T232" s="18"/>
      <c r="U232" s="11"/>
      <c r="V232" s="6"/>
    </row>
    <row r="233" spans="19:22" x14ac:dyDescent="0.3">
      <c r="S233" s="8"/>
      <c r="T233" s="18"/>
      <c r="U233" s="11"/>
      <c r="V233" s="6"/>
    </row>
    <row r="234" spans="19:22" x14ac:dyDescent="0.3">
      <c r="S234" s="8"/>
      <c r="T234" s="18"/>
      <c r="U234" s="11"/>
      <c r="V234" s="6"/>
    </row>
    <row r="235" spans="19:22" x14ac:dyDescent="0.3">
      <c r="S235" s="8"/>
      <c r="T235" s="18"/>
      <c r="U235" s="11"/>
      <c r="V235" s="6"/>
    </row>
    <row r="236" spans="19:22" x14ac:dyDescent="0.3">
      <c r="S236" s="8"/>
      <c r="T236" s="18"/>
      <c r="U236" s="11"/>
      <c r="V236" s="6"/>
    </row>
    <row r="237" spans="19:22" x14ac:dyDescent="0.3">
      <c r="S237" s="8"/>
      <c r="T237" s="18"/>
      <c r="U237" s="11"/>
      <c r="V237" s="6"/>
    </row>
    <row r="238" spans="19:22" x14ac:dyDescent="0.3">
      <c r="S238" s="8"/>
      <c r="T238" s="18"/>
      <c r="U238" s="11"/>
      <c r="V238" s="6"/>
    </row>
    <row r="239" spans="19:22" x14ac:dyDescent="0.3">
      <c r="S239" s="8"/>
      <c r="T239" s="18"/>
      <c r="U239" s="11"/>
      <c r="V239" s="6"/>
    </row>
    <row r="240" spans="19:22" x14ac:dyDescent="0.3">
      <c r="S240" s="8"/>
      <c r="T240" s="18"/>
      <c r="U240" s="11"/>
      <c r="V240" s="6"/>
    </row>
    <row r="241" spans="19:22" x14ac:dyDescent="0.3">
      <c r="S241" s="8"/>
      <c r="T241" s="18"/>
      <c r="U241" s="11"/>
      <c r="V241" s="6"/>
    </row>
    <row r="242" spans="19:22" x14ac:dyDescent="0.3">
      <c r="S242" s="8"/>
      <c r="T242" s="18"/>
      <c r="U242" s="11"/>
      <c r="V242" s="6"/>
    </row>
    <row r="243" spans="19:22" x14ac:dyDescent="0.3">
      <c r="S243" s="8"/>
      <c r="T243" s="18"/>
      <c r="U243" s="11"/>
      <c r="V243" s="6"/>
    </row>
    <row r="244" spans="19:22" x14ac:dyDescent="0.3">
      <c r="S244" s="8"/>
      <c r="T244" s="18"/>
      <c r="U244" s="11"/>
      <c r="V244" s="6"/>
    </row>
    <row r="245" spans="19:22" x14ac:dyDescent="0.3">
      <c r="S245" s="8"/>
      <c r="T245" s="18"/>
      <c r="U245" s="11"/>
      <c r="V245" s="6"/>
    </row>
    <row r="246" spans="19:22" x14ac:dyDescent="0.3">
      <c r="S246" s="8"/>
      <c r="T246" s="18"/>
      <c r="U246" s="11"/>
      <c r="V246" s="6"/>
    </row>
    <row r="247" spans="19:22" x14ac:dyDescent="0.3">
      <c r="S247" s="8"/>
      <c r="T247" s="18"/>
      <c r="U247" s="11"/>
      <c r="V247" s="6"/>
    </row>
    <row r="248" spans="19:22" x14ac:dyDescent="0.3">
      <c r="S248" s="8"/>
      <c r="T248" s="18"/>
      <c r="U248" s="11"/>
      <c r="V248" s="6"/>
    </row>
    <row r="249" spans="19:22" x14ac:dyDescent="0.3">
      <c r="S249" s="8"/>
      <c r="T249" s="18"/>
      <c r="U249" s="11"/>
      <c r="V249" s="6"/>
    </row>
    <row r="250" spans="19:22" x14ac:dyDescent="0.3">
      <c r="S250" s="8"/>
      <c r="T250" s="18"/>
      <c r="U250" s="11"/>
      <c r="V250" s="6"/>
    </row>
    <row r="251" spans="19:22" x14ac:dyDescent="0.3">
      <c r="S251" s="8"/>
      <c r="T251" s="18"/>
      <c r="U251" s="11"/>
      <c r="V251" s="6"/>
    </row>
    <row r="252" spans="19:22" x14ac:dyDescent="0.3">
      <c r="S252" s="8"/>
      <c r="T252" s="18"/>
      <c r="U252" s="11"/>
      <c r="V252" s="6"/>
    </row>
    <row r="253" spans="19:22" x14ac:dyDescent="0.3">
      <c r="S253" s="8"/>
      <c r="T253" s="18"/>
      <c r="U253" s="11"/>
      <c r="V253" s="6"/>
    </row>
    <row r="254" spans="19:22" x14ac:dyDescent="0.3">
      <c r="S254" s="8"/>
      <c r="T254" s="18"/>
      <c r="U254" s="11"/>
      <c r="V254" s="6"/>
    </row>
    <row r="255" spans="19:22" x14ac:dyDescent="0.3">
      <c r="S255" s="8"/>
      <c r="T255" s="18"/>
      <c r="U255" s="11"/>
      <c r="V255" s="6"/>
    </row>
    <row r="256" spans="19:22" x14ac:dyDescent="0.3">
      <c r="S256" s="8"/>
      <c r="T256" s="18"/>
      <c r="U256" s="11"/>
      <c r="V256" s="6"/>
    </row>
    <row r="257" spans="19:22" x14ac:dyDescent="0.3">
      <c r="S257" s="8"/>
      <c r="T257" s="18"/>
      <c r="U257" s="11"/>
      <c r="V257" s="6"/>
    </row>
    <row r="258" spans="19:22" x14ac:dyDescent="0.3">
      <c r="S258" s="8"/>
      <c r="T258" s="18"/>
      <c r="U258" s="11"/>
      <c r="V258" s="6"/>
    </row>
    <row r="259" spans="19:22" x14ac:dyDescent="0.3">
      <c r="S259" s="8"/>
      <c r="T259" s="18"/>
      <c r="U259" s="11"/>
      <c r="V259" s="6"/>
    </row>
    <row r="260" spans="19:22" x14ac:dyDescent="0.3">
      <c r="S260" s="8"/>
      <c r="T260" s="18"/>
      <c r="U260" s="11"/>
      <c r="V260" s="6"/>
    </row>
    <row r="261" spans="19:22" x14ac:dyDescent="0.3">
      <c r="S261" s="8"/>
      <c r="T261" s="18"/>
      <c r="U261" s="11"/>
      <c r="V261" s="6"/>
    </row>
    <row r="262" spans="19:22" x14ac:dyDescent="0.3">
      <c r="S262" s="8"/>
      <c r="T262" s="18"/>
      <c r="U262" s="11"/>
      <c r="V262" s="6"/>
    </row>
    <row r="263" spans="19:22" x14ac:dyDescent="0.3">
      <c r="S263" s="8"/>
      <c r="T263" s="18"/>
      <c r="U263" s="11"/>
      <c r="V263" s="6"/>
    </row>
    <row r="264" spans="19:22" x14ac:dyDescent="0.3">
      <c r="S264" s="8"/>
      <c r="T264" s="18"/>
      <c r="U264" s="11"/>
      <c r="V264" s="6"/>
    </row>
    <row r="265" spans="19:22" x14ac:dyDescent="0.3">
      <c r="S265" s="8"/>
      <c r="T265" s="18"/>
      <c r="U265" s="11"/>
      <c r="V265" s="6"/>
    </row>
    <row r="266" spans="19:22" x14ac:dyDescent="0.3">
      <c r="S266" s="8"/>
      <c r="T266" s="18"/>
      <c r="U266" s="11"/>
      <c r="V266" s="6"/>
    </row>
    <row r="267" spans="19:22" x14ac:dyDescent="0.3">
      <c r="S267" s="8"/>
      <c r="T267" s="18"/>
      <c r="U267" s="11"/>
      <c r="V267" s="6"/>
    </row>
    <row r="268" spans="19:22" x14ac:dyDescent="0.3">
      <c r="S268" s="8"/>
      <c r="T268" s="18"/>
      <c r="U268" s="11"/>
      <c r="V268" s="6"/>
    </row>
    <row r="269" spans="19:22" x14ac:dyDescent="0.3">
      <c r="S269" s="8"/>
      <c r="T269" s="18"/>
      <c r="U269" s="11"/>
      <c r="V269" s="6"/>
    </row>
    <row r="270" spans="19:22" x14ac:dyDescent="0.3">
      <c r="S270" s="8"/>
      <c r="T270" s="18"/>
      <c r="U270" s="11"/>
      <c r="V270" s="6"/>
    </row>
    <row r="271" spans="19:22" x14ac:dyDescent="0.3">
      <c r="S271" s="8"/>
      <c r="T271" s="18"/>
      <c r="U271" s="11"/>
      <c r="V271" s="6"/>
    </row>
    <row r="272" spans="19:22" x14ac:dyDescent="0.3">
      <c r="S272" s="8"/>
      <c r="T272" s="18"/>
      <c r="U272" s="11"/>
      <c r="V272" s="6"/>
    </row>
    <row r="273" spans="19:22" x14ac:dyDescent="0.3">
      <c r="S273" s="8"/>
      <c r="T273" s="18"/>
      <c r="U273" s="11"/>
      <c r="V273" s="6"/>
    </row>
    <row r="274" spans="19:22" x14ac:dyDescent="0.3">
      <c r="S274" s="8"/>
      <c r="T274" s="18"/>
      <c r="U274" s="11"/>
      <c r="V274" s="6"/>
    </row>
    <row r="275" spans="19:22" x14ac:dyDescent="0.3">
      <c r="S275" s="8"/>
      <c r="T275" s="18"/>
      <c r="U275" s="11"/>
      <c r="V275" s="6"/>
    </row>
    <row r="276" spans="19:22" x14ac:dyDescent="0.3">
      <c r="S276" s="8"/>
      <c r="T276" s="18"/>
      <c r="U276" s="11"/>
      <c r="V276" s="6"/>
    </row>
    <row r="277" spans="19:22" x14ac:dyDescent="0.3">
      <c r="S277" s="8"/>
      <c r="T277" s="18"/>
      <c r="U277" s="11"/>
      <c r="V277" s="6"/>
    </row>
    <row r="278" spans="19:22" x14ac:dyDescent="0.3">
      <c r="S278" s="8"/>
      <c r="T278" s="18"/>
      <c r="U278" s="11"/>
      <c r="V278" s="6"/>
    </row>
    <row r="279" spans="19:22" x14ac:dyDescent="0.3">
      <c r="S279" s="8"/>
      <c r="T279" s="18"/>
      <c r="U279" s="11"/>
      <c r="V279" s="6"/>
    </row>
    <row r="280" spans="19:22" x14ac:dyDescent="0.3">
      <c r="S280" s="8"/>
      <c r="T280" s="18"/>
      <c r="U280" s="11"/>
      <c r="V280" s="6"/>
    </row>
    <row r="281" spans="19:22" x14ac:dyDescent="0.3">
      <c r="S281" s="8"/>
      <c r="T281" s="18"/>
      <c r="U281" s="11"/>
      <c r="V281" s="6"/>
    </row>
    <row r="282" spans="19:22" x14ac:dyDescent="0.3">
      <c r="S282" s="8"/>
      <c r="T282" s="18"/>
      <c r="U282" s="11"/>
      <c r="V282" s="6"/>
    </row>
    <row r="283" spans="19:22" x14ac:dyDescent="0.3">
      <c r="S283" s="8"/>
      <c r="T283" s="18"/>
      <c r="U283" s="11"/>
      <c r="V283" s="6"/>
    </row>
    <row r="284" spans="19:22" x14ac:dyDescent="0.3">
      <c r="S284" s="8"/>
      <c r="T284" s="18"/>
      <c r="U284" s="11"/>
      <c r="V284" s="6"/>
    </row>
    <row r="285" spans="19:22" x14ac:dyDescent="0.3">
      <c r="S285" s="8"/>
      <c r="T285" s="18"/>
      <c r="U285" s="11"/>
      <c r="V285" s="6"/>
    </row>
    <row r="286" spans="19:22" x14ac:dyDescent="0.3">
      <c r="S286" s="8"/>
      <c r="T286" s="18"/>
      <c r="U286" s="11"/>
      <c r="V286" s="6"/>
    </row>
    <row r="287" spans="19:22" x14ac:dyDescent="0.3">
      <c r="S287" s="8"/>
      <c r="T287" s="18"/>
      <c r="U287" s="11"/>
      <c r="V287" s="6"/>
    </row>
    <row r="288" spans="19:22" x14ac:dyDescent="0.3">
      <c r="S288" s="8"/>
      <c r="T288" s="18"/>
      <c r="U288" s="11"/>
      <c r="V288" s="6"/>
    </row>
    <row r="289" spans="19:22" x14ac:dyDescent="0.3">
      <c r="S289" s="8"/>
      <c r="T289" s="18"/>
      <c r="U289" s="11"/>
      <c r="V289" s="6"/>
    </row>
    <row r="290" spans="19:22" x14ac:dyDescent="0.3">
      <c r="S290" s="8"/>
      <c r="T290" s="18"/>
      <c r="U290" s="11"/>
      <c r="V290" s="6"/>
    </row>
    <row r="291" spans="19:22" x14ac:dyDescent="0.3">
      <c r="S291" s="8"/>
      <c r="T291" s="18"/>
      <c r="U291" s="11"/>
      <c r="V291" s="6"/>
    </row>
    <row r="292" spans="19:22" x14ac:dyDescent="0.3">
      <c r="S292" s="8"/>
      <c r="T292" s="18"/>
      <c r="U292" s="11"/>
      <c r="V292" s="6"/>
    </row>
    <row r="293" spans="19:22" x14ac:dyDescent="0.3">
      <c r="S293" s="8"/>
      <c r="T293" s="18"/>
      <c r="U293" s="11"/>
      <c r="V293" s="6"/>
    </row>
    <row r="294" spans="19:22" x14ac:dyDescent="0.3">
      <c r="S294" s="8"/>
      <c r="T294" s="18"/>
      <c r="U294" s="11"/>
      <c r="V294" s="6"/>
    </row>
    <row r="295" spans="19:22" x14ac:dyDescent="0.3">
      <c r="S295" s="8"/>
      <c r="T295" s="18"/>
      <c r="U295" s="11"/>
      <c r="V295" s="6"/>
    </row>
    <row r="296" spans="19:22" x14ac:dyDescent="0.3">
      <c r="S296" s="8"/>
      <c r="T296" s="18"/>
      <c r="U296" s="11"/>
      <c r="V296" s="6"/>
    </row>
    <row r="297" spans="19:22" x14ac:dyDescent="0.3">
      <c r="S297" s="8"/>
      <c r="T297" s="18"/>
      <c r="U297" s="11"/>
      <c r="V297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5B24-F25D-4E86-9FD5-0614EB9F077B}">
  <sheetPr codeName="Sheet3"/>
  <dimension ref="A1:Q342"/>
  <sheetViews>
    <sheetView rightToLeft="1" zoomScale="113" zoomScaleNormal="113" workbookViewId="0">
      <pane ySplit="13" topLeftCell="A48" activePane="bottomLeft" state="frozen"/>
      <selection pane="bottomLeft" activeCell="J57" sqref="J57"/>
    </sheetView>
  </sheetViews>
  <sheetFormatPr defaultRowHeight="15.6" x14ac:dyDescent="0.3"/>
  <cols>
    <col min="1" max="1" width="12" style="2" bestFit="1" customWidth="1"/>
    <col min="2" max="2" width="5.109375" style="2" bestFit="1" customWidth="1"/>
    <col min="3" max="3" width="7.6640625" style="2" bestFit="1" customWidth="1"/>
    <col min="4" max="4" width="9.109375" style="2" bestFit="1" customWidth="1"/>
    <col min="5" max="5" width="5.109375" style="2" bestFit="1" customWidth="1"/>
    <col min="6" max="6" width="12.88671875" style="2" bestFit="1" customWidth="1"/>
    <col min="7" max="7" width="4.5546875" style="2" customWidth="1"/>
    <col min="8" max="8" width="19.88671875" style="8" customWidth="1"/>
    <col min="9" max="9" width="11.5546875" style="7" bestFit="1" customWidth="1"/>
    <col min="10" max="10" width="8.5546875" style="11" bestFit="1" customWidth="1"/>
    <col min="11" max="11" width="3.77734375" style="6" customWidth="1"/>
    <col min="12" max="12" width="11.44140625" style="2" customWidth="1"/>
    <col min="13" max="13" width="5.109375" style="2" bestFit="1" customWidth="1"/>
    <col min="14" max="14" width="11.5546875" style="2" bestFit="1" customWidth="1"/>
    <col min="15" max="15" width="10.21875" style="2" customWidth="1"/>
    <col min="16" max="16" width="7.77734375" style="2" customWidth="1"/>
    <col min="17" max="17" width="15.33203125" style="2" bestFit="1" customWidth="1"/>
    <col min="18" max="16384" width="8.88671875" style="2"/>
  </cols>
  <sheetData>
    <row r="1" spans="1:17" x14ac:dyDescent="0.3">
      <c r="A1" s="2" t="s">
        <v>29</v>
      </c>
      <c r="H1" s="8" t="s">
        <v>38</v>
      </c>
      <c r="L1" s="2" t="s">
        <v>33</v>
      </c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C3" s="21">
        <f>A3*B3</f>
        <v>0</v>
      </c>
      <c r="D3" s="17">
        <v>5</v>
      </c>
      <c r="E3" s="2">
        <v>11</v>
      </c>
      <c r="F3" s="23">
        <f>D3*E3</f>
        <v>55</v>
      </c>
      <c r="G3" s="5"/>
      <c r="H3" s="10" t="s">
        <v>65</v>
      </c>
      <c r="I3" s="20">
        <v>200</v>
      </c>
      <c r="L3" s="15">
        <v>1</v>
      </c>
      <c r="N3" s="25">
        <f>L3*M3</f>
        <v>0</v>
      </c>
      <c r="O3" s="17">
        <v>5</v>
      </c>
      <c r="P3" s="2">
        <v>12</v>
      </c>
      <c r="Q3" s="29">
        <f>O3*P3</f>
        <v>60</v>
      </c>
    </row>
    <row r="4" spans="1:17" x14ac:dyDescent="0.3">
      <c r="A4" s="15">
        <v>5</v>
      </c>
      <c r="B4" s="2">
        <v>16</v>
      </c>
      <c r="C4" s="21">
        <f t="shared" ref="C4:C8" si="0">A4*B4</f>
        <v>80</v>
      </c>
      <c r="D4" s="17">
        <v>10</v>
      </c>
      <c r="E4" s="2">
        <v>30</v>
      </c>
      <c r="F4" s="23">
        <f t="shared" ref="F4:F7" si="1">D4*E4</f>
        <v>300</v>
      </c>
      <c r="G4" s="5"/>
      <c r="H4" s="10" t="s">
        <v>66</v>
      </c>
      <c r="I4" s="20"/>
      <c r="J4" s="11">
        <v>85</v>
      </c>
      <c r="L4" s="15">
        <v>5</v>
      </c>
      <c r="M4" s="2">
        <v>8</v>
      </c>
      <c r="N4" s="25">
        <f t="shared" ref="N4:N8" si="2">L4*M4</f>
        <v>40</v>
      </c>
      <c r="O4" s="17">
        <v>10</v>
      </c>
      <c r="P4" s="2">
        <v>13</v>
      </c>
      <c r="Q4" s="29">
        <f t="shared" ref="Q4:Q7" si="3">O4*P4</f>
        <v>130</v>
      </c>
    </row>
    <row r="5" spans="1:17" x14ac:dyDescent="0.3">
      <c r="A5" s="15">
        <v>10</v>
      </c>
      <c r="B5" s="2">
        <v>28</v>
      </c>
      <c r="C5" s="21">
        <f t="shared" si="0"/>
        <v>280</v>
      </c>
      <c r="D5" s="17">
        <v>20</v>
      </c>
      <c r="E5" s="2">
        <v>10</v>
      </c>
      <c r="F5" s="23">
        <f t="shared" si="1"/>
        <v>200</v>
      </c>
      <c r="G5" s="5"/>
      <c r="H5" s="10" t="s">
        <v>67</v>
      </c>
      <c r="I5" s="20"/>
      <c r="J5" s="11">
        <v>120</v>
      </c>
      <c r="L5" s="15">
        <v>10</v>
      </c>
      <c r="M5" s="2">
        <v>26</v>
      </c>
      <c r="N5" s="25">
        <f t="shared" si="2"/>
        <v>260</v>
      </c>
      <c r="O5" s="17">
        <v>20</v>
      </c>
      <c r="Q5" s="29">
        <f t="shared" si="3"/>
        <v>0</v>
      </c>
    </row>
    <row r="6" spans="1:17" x14ac:dyDescent="0.3">
      <c r="A6" s="15">
        <v>20</v>
      </c>
      <c r="B6" s="2">
        <v>12</v>
      </c>
      <c r="C6" s="21">
        <f t="shared" si="0"/>
        <v>240</v>
      </c>
      <c r="D6" s="17">
        <v>50</v>
      </c>
      <c r="F6" s="23">
        <f t="shared" si="1"/>
        <v>0</v>
      </c>
      <c r="G6" s="5"/>
      <c r="H6" s="10" t="s">
        <v>68</v>
      </c>
      <c r="I6" s="20">
        <v>300</v>
      </c>
      <c r="L6" s="15">
        <v>20</v>
      </c>
      <c r="M6" s="2">
        <v>10</v>
      </c>
      <c r="N6" s="25">
        <f t="shared" si="2"/>
        <v>200</v>
      </c>
      <c r="O6" s="17">
        <v>50</v>
      </c>
      <c r="Q6" s="29">
        <f t="shared" si="3"/>
        <v>0</v>
      </c>
    </row>
    <row r="7" spans="1:17" x14ac:dyDescent="0.3">
      <c r="A7" s="15">
        <v>50</v>
      </c>
      <c r="B7" s="2">
        <v>2</v>
      </c>
      <c r="C7" s="21">
        <f t="shared" si="0"/>
        <v>100</v>
      </c>
      <c r="D7" s="17">
        <v>100</v>
      </c>
      <c r="E7" s="2">
        <v>52</v>
      </c>
      <c r="F7" s="23">
        <f t="shared" si="1"/>
        <v>5200</v>
      </c>
      <c r="G7" s="5"/>
      <c r="H7" s="10" t="s">
        <v>69</v>
      </c>
      <c r="I7" s="20">
        <v>-180</v>
      </c>
      <c r="J7" s="11">
        <v>95</v>
      </c>
      <c r="L7" s="15">
        <v>50</v>
      </c>
      <c r="M7" s="2">
        <v>3</v>
      </c>
      <c r="N7" s="25">
        <f t="shared" si="2"/>
        <v>150</v>
      </c>
      <c r="O7" s="17">
        <v>100</v>
      </c>
      <c r="P7" s="2">
        <v>53</v>
      </c>
      <c r="Q7" s="29">
        <f t="shared" si="3"/>
        <v>5300</v>
      </c>
    </row>
    <row r="8" spans="1:17" x14ac:dyDescent="0.3">
      <c r="A8" s="15">
        <v>100</v>
      </c>
      <c r="B8" s="2">
        <v>3</v>
      </c>
      <c r="C8" s="21">
        <f t="shared" si="0"/>
        <v>300</v>
      </c>
      <c r="D8" s="1" t="s">
        <v>1</v>
      </c>
      <c r="E8" s="1"/>
      <c r="F8" s="19">
        <f>SUM(F3:F7)</f>
        <v>5755</v>
      </c>
      <c r="G8" s="5"/>
      <c r="H8" s="10" t="s">
        <v>70</v>
      </c>
      <c r="I8" s="20">
        <v>-300</v>
      </c>
      <c r="L8" s="15">
        <v>100</v>
      </c>
      <c r="M8" s="2">
        <v>2</v>
      </c>
      <c r="N8" s="25">
        <f t="shared" si="2"/>
        <v>200</v>
      </c>
      <c r="O8" s="1" t="s">
        <v>1</v>
      </c>
      <c r="P8" s="1"/>
      <c r="Q8" s="30">
        <f>SUM(Q3:Q7)</f>
        <v>5490</v>
      </c>
    </row>
    <row r="9" spans="1:17" x14ac:dyDescent="0.3">
      <c r="A9" s="1" t="s">
        <v>1</v>
      </c>
      <c r="B9" s="1"/>
      <c r="C9" s="22">
        <f>SUM(C3:C8)</f>
        <v>1000</v>
      </c>
      <c r="H9" s="10" t="s">
        <v>28</v>
      </c>
      <c r="I9" s="20">
        <v>-270</v>
      </c>
      <c r="J9" s="11">
        <v>10</v>
      </c>
      <c r="L9" s="1" t="s">
        <v>1</v>
      </c>
      <c r="M9" s="1"/>
      <c r="N9" s="26">
        <f>SUM(N3:N8)</f>
        <v>850</v>
      </c>
      <c r="Q9" s="31"/>
    </row>
    <row r="10" spans="1:17" x14ac:dyDescent="0.3">
      <c r="H10" s="10" t="s">
        <v>54</v>
      </c>
      <c r="I10" s="20">
        <v>550</v>
      </c>
      <c r="N10" s="27"/>
      <c r="O10" s="1" t="s">
        <v>40</v>
      </c>
      <c r="P10" s="1"/>
      <c r="Q10" s="32">
        <f>SUM(Table13[اللبناني])</f>
        <v>-265</v>
      </c>
    </row>
    <row r="11" spans="1:17" x14ac:dyDescent="0.3">
      <c r="H11" s="10" t="s">
        <v>71</v>
      </c>
      <c r="I11" s="20"/>
      <c r="J11" s="11">
        <v>6</v>
      </c>
      <c r="L11" s="1" t="s">
        <v>39</v>
      </c>
      <c r="M11" s="1"/>
      <c r="N11" s="28">
        <f>SUM(Table13[الدولار])</f>
        <v>-150</v>
      </c>
      <c r="Q11" s="31"/>
    </row>
    <row r="12" spans="1:17" x14ac:dyDescent="0.3">
      <c r="H12" s="10" t="s">
        <v>72</v>
      </c>
      <c r="I12" s="20"/>
      <c r="J12" s="11">
        <v>10</v>
      </c>
      <c r="N12" s="27"/>
      <c r="O12" s="1" t="s">
        <v>27</v>
      </c>
      <c r="P12" s="1"/>
      <c r="Q12" s="32">
        <f>Q8-Q10-F8</f>
        <v>0</v>
      </c>
    </row>
    <row r="13" spans="1:17" x14ac:dyDescent="0.3">
      <c r="C13" s="14"/>
      <c r="D13" s="14"/>
      <c r="F13" s="14"/>
      <c r="H13" s="10" t="s">
        <v>73</v>
      </c>
      <c r="I13" s="20">
        <v>-30</v>
      </c>
      <c r="J13" s="11">
        <v>2</v>
      </c>
      <c r="L13" s="1" t="s">
        <v>27</v>
      </c>
      <c r="M13" s="1"/>
      <c r="N13" s="28">
        <f>N9-N11-C9</f>
        <v>0</v>
      </c>
    </row>
    <row r="14" spans="1:17" x14ac:dyDescent="0.3">
      <c r="C14" s="14"/>
      <c r="D14" s="14"/>
      <c r="F14" s="14"/>
      <c r="H14" s="10" t="s">
        <v>74</v>
      </c>
      <c r="I14" s="18"/>
      <c r="J14" s="11">
        <v>33</v>
      </c>
    </row>
    <row r="15" spans="1:17" x14ac:dyDescent="0.3">
      <c r="C15" s="14"/>
      <c r="D15" s="14"/>
      <c r="F15" s="14"/>
      <c r="H15" s="10"/>
      <c r="I15" s="18">
        <v>-320</v>
      </c>
      <c r="J15" s="11">
        <v>20</v>
      </c>
    </row>
    <row r="16" spans="1:17" x14ac:dyDescent="0.3">
      <c r="C16" s="14"/>
      <c r="D16" s="14"/>
      <c r="F16" s="14"/>
      <c r="H16" s="10"/>
      <c r="I16" s="18">
        <v>630</v>
      </c>
    </row>
    <row r="17" spans="3:12" x14ac:dyDescent="0.3">
      <c r="C17" s="14"/>
      <c r="D17" s="14"/>
      <c r="F17" s="14"/>
      <c r="H17" s="10"/>
      <c r="I17" s="20">
        <v>-20</v>
      </c>
      <c r="J17" s="11">
        <v>3</v>
      </c>
    </row>
    <row r="18" spans="3:12" x14ac:dyDescent="0.3">
      <c r="C18" s="14"/>
      <c r="F18" s="14"/>
      <c r="H18" s="10"/>
      <c r="I18" s="20"/>
      <c r="J18" s="11">
        <v>8</v>
      </c>
    </row>
    <row r="19" spans="3:12" x14ac:dyDescent="0.3">
      <c r="C19" s="14"/>
      <c r="H19" s="10"/>
      <c r="I19" s="20"/>
      <c r="J19" s="11">
        <v>25</v>
      </c>
    </row>
    <row r="20" spans="3:12" x14ac:dyDescent="0.3">
      <c r="F20" s="6"/>
      <c r="H20" s="10"/>
      <c r="I20" s="20">
        <v>160</v>
      </c>
    </row>
    <row r="21" spans="3:12" x14ac:dyDescent="0.3">
      <c r="C21" s="6"/>
      <c r="H21" s="10"/>
      <c r="I21" s="20">
        <v>500</v>
      </c>
    </row>
    <row r="22" spans="3:12" x14ac:dyDescent="0.3">
      <c r="F22" s="6"/>
      <c r="H22" s="10"/>
      <c r="I22" s="20"/>
      <c r="J22" s="11">
        <v>-700</v>
      </c>
    </row>
    <row r="23" spans="3:12" x14ac:dyDescent="0.3">
      <c r="C23" s="6"/>
      <c r="H23" s="10"/>
      <c r="I23" s="20">
        <v>130</v>
      </c>
    </row>
    <row r="24" spans="3:12" x14ac:dyDescent="0.3">
      <c r="H24" s="10"/>
      <c r="I24" s="20"/>
      <c r="J24" s="11">
        <v>-35</v>
      </c>
    </row>
    <row r="25" spans="3:12" x14ac:dyDescent="0.3">
      <c r="H25" s="10"/>
      <c r="I25" s="20"/>
      <c r="J25" s="11">
        <v>19</v>
      </c>
    </row>
    <row r="26" spans="3:12" x14ac:dyDescent="0.3">
      <c r="H26" s="10"/>
      <c r="I26" s="20">
        <v>-300</v>
      </c>
      <c r="J26" s="11">
        <v>110</v>
      </c>
    </row>
    <row r="27" spans="3:12" x14ac:dyDescent="0.3">
      <c r="H27" s="10"/>
      <c r="I27" s="18">
        <v>70</v>
      </c>
    </row>
    <row r="28" spans="3:12" x14ac:dyDescent="0.3">
      <c r="I28" s="18">
        <v>-130</v>
      </c>
      <c r="J28" s="11">
        <v>-40</v>
      </c>
    </row>
    <row r="29" spans="3:12" x14ac:dyDescent="0.3">
      <c r="I29" s="18">
        <v>-140</v>
      </c>
      <c r="J29" s="11">
        <v>5</v>
      </c>
      <c r="L29" s="2" t="s">
        <v>75</v>
      </c>
    </row>
    <row r="30" spans="3:12" x14ac:dyDescent="0.3">
      <c r="H30" s="8" t="s">
        <v>76</v>
      </c>
      <c r="I30" s="18">
        <v>-180</v>
      </c>
    </row>
    <row r="31" spans="3:12" x14ac:dyDescent="0.3">
      <c r="I31" s="18">
        <v>-200</v>
      </c>
      <c r="J31" s="11">
        <v>5</v>
      </c>
    </row>
    <row r="32" spans="3:12" x14ac:dyDescent="0.3">
      <c r="I32" s="18">
        <v>-200</v>
      </c>
      <c r="J32" s="11">
        <v>-1</v>
      </c>
    </row>
    <row r="33" spans="9:10" x14ac:dyDescent="0.3">
      <c r="I33" s="18">
        <v>-20</v>
      </c>
    </row>
    <row r="34" spans="9:10" x14ac:dyDescent="0.3">
      <c r="I34" s="18">
        <v>100</v>
      </c>
      <c r="J34" s="11">
        <v>10</v>
      </c>
    </row>
    <row r="35" spans="9:10" x14ac:dyDescent="0.3">
      <c r="I35" s="18"/>
      <c r="J35" s="11">
        <v>85</v>
      </c>
    </row>
    <row r="36" spans="9:10" x14ac:dyDescent="0.3">
      <c r="I36" s="18">
        <v>-300</v>
      </c>
    </row>
    <row r="37" spans="9:10" x14ac:dyDescent="0.3">
      <c r="I37" s="18">
        <v>-100</v>
      </c>
      <c r="J37" s="11">
        <v>45</v>
      </c>
    </row>
    <row r="38" spans="9:10" x14ac:dyDescent="0.3">
      <c r="I38" s="18"/>
      <c r="J38" s="11">
        <v>26</v>
      </c>
    </row>
    <row r="39" spans="9:10" x14ac:dyDescent="0.3">
      <c r="I39" s="18">
        <v>-100</v>
      </c>
      <c r="J39" s="11">
        <v>-36</v>
      </c>
    </row>
    <row r="40" spans="9:10" x14ac:dyDescent="0.3">
      <c r="I40" s="18">
        <v>380</v>
      </c>
    </row>
    <row r="41" spans="9:10" x14ac:dyDescent="0.3">
      <c r="I41" s="18">
        <v>-200</v>
      </c>
      <c r="J41" s="11">
        <v>10</v>
      </c>
    </row>
    <row r="42" spans="9:10" x14ac:dyDescent="0.3">
      <c r="I42" s="18">
        <v>270</v>
      </c>
    </row>
    <row r="43" spans="9:10" x14ac:dyDescent="0.3">
      <c r="I43" s="18">
        <v>360</v>
      </c>
    </row>
    <row r="44" spans="9:10" x14ac:dyDescent="0.3">
      <c r="I44" s="18"/>
      <c r="J44" s="11">
        <v>50</v>
      </c>
    </row>
    <row r="45" spans="9:10" x14ac:dyDescent="0.3">
      <c r="I45" s="18"/>
      <c r="J45" s="11">
        <v>30</v>
      </c>
    </row>
    <row r="46" spans="9:10" x14ac:dyDescent="0.3">
      <c r="I46" s="18"/>
      <c r="J46" s="11">
        <v>-200</v>
      </c>
    </row>
    <row r="47" spans="9:10" x14ac:dyDescent="0.3">
      <c r="I47" s="18">
        <v>270</v>
      </c>
    </row>
    <row r="48" spans="9:10" x14ac:dyDescent="0.3">
      <c r="I48" s="18">
        <v>-425</v>
      </c>
    </row>
    <row r="49" spans="9:10" x14ac:dyDescent="0.3">
      <c r="I49" s="18"/>
      <c r="J49" s="11">
        <v>-220</v>
      </c>
    </row>
    <row r="50" spans="9:10" x14ac:dyDescent="0.3">
      <c r="I50" s="18"/>
      <c r="J50" s="11">
        <v>6</v>
      </c>
    </row>
    <row r="51" spans="9:10" x14ac:dyDescent="0.3">
      <c r="I51" s="18">
        <v>-850</v>
      </c>
    </row>
    <row r="52" spans="9:10" x14ac:dyDescent="0.3">
      <c r="I52" s="18"/>
      <c r="J52" s="11">
        <v>75</v>
      </c>
    </row>
    <row r="53" spans="9:10" x14ac:dyDescent="0.3">
      <c r="I53" s="18"/>
      <c r="J53" s="11">
        <v>115</v>
      </c>
    </row>
    <row r="54" spans="9:10" x14ac:dyDescent="0.3">
      <c r="I54" s="18"/>
      <c r="J54" s="11">
        <v>15</v>
      </c>
    </row>
    <row r="55" spans="9:10" x14ac:dyDescent="0.3">
      <c r="I55" s="18">
        <v>100</v>
      </c>
    </row>
    <row r="56" spans="9:10" x14ac:dyDescent="0.3">
      <c r="I56" s="18">
        <v>80</v>
      </c>
    </row>
    <row r="57" spans="9:10" x14ac:dyDescent="0.3">
      <c r="I57" s="18">
        <v>-100</v>
      </c>
      <c r="J57" s="11">
        <v>59</v>
      </c>
    </row>
    <row r="58" spans="9:10" x14ac:dyDescent="0.3">
      <c r="I58" s="18"/>
    </row>
    <row r="59" spans="9:10" x14ac:dyDescent="0.3">
      <c r="I59" s="18"/>
    </row>
    <row r="60" spans="9:10" x14ac:dyDescent="0.3">
      <c r="I60" s="18"/>
    </row>
    <row r="61" spans="9:10" x14ac:dyDescent="0.3">
      <c r="I61" s="18"/>
    </row>
    <row r="62" spans="9:10" x14ac:dyDescent="0.3">
      <c r="I62" s="18"/>
    </row>
    <row r="63" spans="9:10" x14ac:dyDescent="0.3">
      <c r="I63" s="18"/>
    </row>
    <row r="64" spans="9:10" x14ac:dyDescent="0.3">
      <c r="I64" s="18"/>
    </row>
    <row r="65" spans="9:9" x14ac:dyDescent="0.3">
      <c r="I65" s="18"/>
    </row>
    <row r="66" spans="9:9" x14ac:dyDescent="0.3">
      <c r="I66" s="18"/>
    </row>
    <row r="67" spans="9:9" x14ac:dyDescent="0.3">
      <c r="I67" s="18"/>
    </row>
    <row r="68" spans="9:9" x14ac:dyDescent="0.3">
      <c r="I68" s="18"/>
    </row>
    <row r="69" spans="9:9" x14ac:dyDescent="0.3">
      <c r="I69" s="18"/>
    </row>
    <row r="70" spans="9:9" x14ac:dyDescent="0.3">
      <c r="I70" s="18"/>
    </row>
    <row r="71" spans="9:9" x14ac:dyDescent="0.3">
      <c r="I71" s="18"/>
    </row>
    <row r="72" spans="9:9" x14ac:dyDescent="0.3">
      <c r="I72" s="18"/>
    </row>
    <row r="73" spans="9:9" x14ac:dyDescent="0.3">
      <c r="I73" s="18"/>
    </row>
    <row r="74" spans="9:9" x14ac:dyDescent="0.3">
      <c r="I74" s="18"/>
    </row>
    <row r="75" spans="9:9" x14ac:dyDescent="0.3">
      <c r="I75" s="18"/>
    </row>
    <row r="76" spans="9:9" x14ac:dyDescent="0.3">
      <c r="I76" s="18"/>
    </row>
    <row r="77" spans="9:9" x14ac:dyDescent="0.3">
      <c r="I77" s="18"/>
    </row>
    <row r="78" spans="9:9" x14ac:dyDescent="0.3">
      <c r="I78" s="18"/>
    </row>
    <row r="79" spans="9:9" x14ac:dyDescent="0.3">
      <c r="I79" s="18"/>
    </row>
    <row r="80" spans="9:9" x14ac:dyDescent="0.3">
      <c r="I80" s="18"/>
    </row>
    <row r="81" spans="9:9" x14ac:dyDescent="0.3">
      <c r="I81" s="18"/>
    </row>
    <row r="82" spans="9:9" x14ac:dyDescent="0.3">
      <c r="I82" s="18"/>
    </row>
    <row r="83" spans="9:9" x14ac:dyDescent="0.3">
      <c r="I83" s="18"/>
    </row>
    <row r="84" spans="9:9" x14ac:dyDescent="0.3">
      <c r="I84" s="18"/>
    </row>
    <row r="85" spans="9:9" x14ac:dyDescent="0.3">
      <c r="I85" s="18"/>
    </row>
    <row r="86" spans="9:9" x14ac:dyDescent="0.3">
      <c r="I86" s="18"/>
    </row>
    <row r="87" spans="9:9" x14ac:dyDescent="0.3">
      <c r="I87" s="18"/>
    </row>
    <row r="88" spans="9:9" x14ac:dyDescent="0.3">
      <c r="I88" s="18"/>
    </row>
    <row r="89" spans="9:9" x14ac:dyDescent="0.3">
      <c r="I89" s="18"/>
    </row>
    <row r="90" spans="9:9" x14ac:dyDescent="0.3">
      <c r="I90" s="18"/>
    </row>
    <row r="91" spans="9:9" x14ac:dyDescent="0.3">
      <c r="I91" s="18"/>
    </row>
    <row r="92" spans="9:9" x14ac:dyDescent="0.3">
      <c r="I92" s="18"/>
    </row>
    <row r="93" spans="9:9" x14ac:dyDescent="0.3">
      <c r="I93" s="18"/>
    </row>
    <row r="94" spans="9:9" x14ac:dyDescent="0.3">
      <c r="I94" s="18"/>
    </row>
    <row r="95" spans="9:9" x14ac:dyDescent="0.3">
      <c r="I95" s="18"/>
    </row>
    <row r="96" spans="9:9" x14ac:dyDescent="0.3">
      <c r="I96" s="18"/>
    </row>
    <row r="97" spans="9:9" x14ac:dyDescent="0.3">
      <c r="I97" s="18"/>
    </row>
    <row r="98" spans="9:9" x14ac:dyDescent="0.3">
      <c r="I98" s="18"/>
    </row>
    <row r="99" spans="9:9" x14ac:dyDescent="0.3">
      <c r="I99" s="18"/>
    </row>
    <row r="100" spans="9:9" x14ac:dyDescent="0.3">
      <c r="I100" s="18"/>
    </row>
    <row r="101" spans="9:9" x14ac:dyDescent="0.3">
      <c r="I101" s="18"/>
    </row>
    <row r="102" spans="9:9" x14ac:dyDescent="0.3">
      <c r="I102" s="18"/>
    </row>
    <row r="103" spans="9:9" x14ac:dyDescent="0.3">
      <c r="I103" s="18"/>
    </row>
    <row r="104" spans="9:9" x14ac:dyDescent="0.3">
      <c r="I104" s="18"/>
    </row>
    <row r="105" spans="9:9" x14ac:dyDescent="0.3">
      <c r="I105" s="18"/>
    </row>
    <row r="106" spans="9:9" x14ac:dyDescent="0.3">
      <c r="I106" s="18"/>
    </row>
    <row r="107" spans="9:9" x14ac:dyDescent="0.3">
      <c r="I107" s="18"/>
    </row>
    <row r="108" spans="9:9" x14ac:dyDescent="0.3">
      <c r="I108" s="18"/>
    </row>
    <row r="109" spans="9:9" x14ac:dyDescent="0.3">
      <c r="I109" s="18"/>
    </row>
    <row r="110" spans="9:9" x14ac:dyDescent="0.3">
      <c r="I110" s="18"/>
    </row>
    <row r="111" spans="9:9" x14ac:dyDescent="0.3">
      <c r="I111" s="18"/>
    </row>
    <row r="112" spans="9:9" x14ac:dyDescent="0.3">
      <c r="I112" s="18"/>
    </row>
    <row r="113" spans="9:9" x14ac:dyDescent="0.3">
      <c r="I113" s="18"/>
    </row>
    <row r="114" spans="9:9" x14ac:dyDescent="0.3">
      <c r="I114" s="18"/>
    </row>
    <row r="115" spans="9:9" x14ac:dyDescent="0.3">
      <c r="I115" s="18"/>
    </row>
    <row r="116" spans="9:9" x14ac:dyDescent="0.3">
      <c r="I116" s="18"/>
    </row>
    <row r="117" spans="9:9" x14ac:dyDescent="0.3">
      <c r="I117" s="18"/>
    </row>
    <row r="118" spans="9:9" x14ac:dyDescent="0.3">
      <c r="I118" s="18"/>
    </row>
    <row r="119" spans="9:9" x14ac:dyDescent="0.3">
      <c r="I119" s="18"/>
    </row>
    <row r="120" spans="9:9" x14ac:dyDescent="0.3">
      <c r="I120" s="18"/>
    </row>
    <row r="121" spans="9:9" x14ac:dyDescent="0.3">
      <c r="I121" s="18"/>
    </row>
    <row r="122" spans="9:9" x14ac:dyDescent="0.3">
      <c r="I122" s="18"/>
    </row>
    <row r="123" spans="9:9" x14ac:dyDescent="0.3">
      <c r="I123" s="18"/>
    </row>
    <row r="124" spans="9:9" x14ac:dyDescent="0.3">
      <c r="I124" s="18"/>
    </row>
    <row r="125" spans="9:9" x14ac:dyDescent="0.3">
      <c r="I125" s="18"/>
    </row>
    <row r="126" spans="9:9" x14ac:dyDescent="0.3">
      <c r="I126" s="18"/>
    </row>
    <row r="127" spans="9:9" x14ac:dyDescent="0.3">
      <c r="I127" s="18"/>
    </row>
    <row r="128" spans="9:9" x14ac:dyDescent="0.3">
      <c r="I128" s="18"/>
    </row>
    <row r="129" spans="9:9" x14ac:dyDescent="0.3">
      <c r="I129" s="18"/>
    </row>
    <row r="130" spans="9:9" x14ac:dyDescent="0.3">
      <c r="I130" s="18"/>
    </row>
    <row r="131" spans="9:9" x14ac:dyDescent="0.3">
      <c r="I131" s="18"/>
    </row>
    <row r="132" spans="9:9" x14ac:dyDescent="0.3">
      <c r="I132" s="18"/>
    </row>
    <row r="133" spans="9:9" x14ac:dyDescent="0.3">
      <c r="I133" s="18"/>
    </row>
    <row r="134" spans="9:9" x14ac:dyDescent="0.3">
      <c r="I134" s="18"/>
    </row>
    <row r="135" spans="9:9" x14ac:dyDescent="0.3">
      <c r="I135" s="18"/>
    </row>
    <row r="136" spans="9:9" x14ac:dyDescent="0.3">
      <c r="I136" s="18"/>
    </row>
    <row r="137" spans="9:9" x14ac:dyDescent="0.3">
      <c r="I137" s="18"/>
    </row>
    <row r="138" spans="9:9" x14ac:dyDescent="0.3">
      <c r="I138" s="18"/>
    </row>
    <row r="139" spans="9:9" x14ac:dyDescent="0.3">
      <c r="I139" s="18"/>
    </row>
    <row r="140" spans="9:9" x14ac:dyDescent="0.3">
      <c r="I140" s="18"/>
    </row>
    <row r="141" spans="9:9" x14ac:dyDescent="0.3">
      <c r="I141" s="18"/>
    </row>
    <row r="142" spans="9:9" x14ac:dyDescent="0.3">
      <c r="I142" s="18"/>
    </row>
    <row r="143" spans="9:9" x14ac:dyDescent="0.3">
      <c r="I143" s="18"/>
    </row>
    <row r="144" spans="9:9" x14ac:dyDescent="0.3">
      <c r="I144" s="18"/>
    </row>
    <row r="145" spans="9:9" x14ac:dyDescent="0.3">
      <c r="I145" s="18"/>
    </row>
    <row r="146" spans="9:9" x14ac:dyDescent="0.3">
      <c r="I146" s="18"/>
    </row>
    <row r="147" spans="9:9" x14ac:dyDescent="0.3">
      <c r="I147" s="18"/>
    </row>
    <row r="148" spans="9:9" x14ac:dyDescent="0.3">
      <c r="I148" s="18"/>
    </row>
    <row r="149" spans="9:9" x14ac:dyDescent="0.3">
      <c r="I149" s="18"/>
    </row>
    <row r="150" spans="9:9" x14ac:dyDescent="0.3">
      <c r="I150" s="18"/>
    </row>
    <row r="151" spans="9:9" x14ac:dyDescent="0.3">
      <c r="I151" s="18"/>
    </row>
    <row r="152" spans="9:9" x14ac:dyDescent="0.3">
      <c r="I152" s="18"/>
    </row>
    <row r="153" spans="9:9" x14ac:dyDescent="0.3">
      <c r="I153" s="18"/>
    </row>
    <row r="154" spans="9:9" x14ac:dyDescent="0.3">
      <c r="I154" s="18"/>
    </row>
    <row r="155" spans="9:9" x14ac:dyDescent="0.3">
      <c r="I155" s="18"/>
    </row>
    <row r="156" spans="9:9" x14ac:dyDescent="0.3">
      <c r="I156" s="18"/>
    </row>
    <row r="157" spans="9:9" x14ac:dyDescent="0.3">
      <c r="I157" s="18"/>
    </row>
    <row r="158" spans="9:9" x14ac:dyDescent="0.3">
      <c r="I158" s="18"/>
    </row>
    <row r="159" spans="9:9" x14ac:dyDescent="0.3">
      <c r="I159" s="18"/>
    </row>
    <row r="160" spans="9:9" x14ac:dyDescent="0.3">
      <c r="I160" s="18"/>
    </row>
    <row r="161" spans="9:9" x14ac:dyDescent="0.3">
      <c r="I161" s="18"/>
    </row>
    <row r="162" spans="9:9" x14ac:dyDescent="0.3">
      <c r="I162" s="18"/>
    </row>
    <row r="163" spans="9:9" x14ac:dyDescent="0.3">
      <c r="I163" s="18"/>
    </row>
    <row r="164" spans="9:9" x14ac:dyDescent="0.3">
      <c r="I164" s="18"/>
    </row>
    <row r="165" spans="9:9" x14ac:dyDescent="0.3">
      <c r="I165" s="18"/>
    </row>
    <row r="166" spans="9:9" x14ac:dyDescent="0.3">
      <c r="I166" s="18"/>
    </row>
    <row r="167" spans="9:9" x14ac:dyDescent="0.3">
      <c r="I167" s="18"/>
    </row>
    <row r="168" spans="9:9" x14ac:dyDescent="0.3">
      <c r="I168" s="18"/>
    </row>
    <row r="169" spans="9:9" x14ac:dyDescent="0.3">
      <c r="I169" s="18"/>
    </row>
    <row r="170" spans="9:9" x14ac:dyDescent="0.3">
      <c r="I170" s="18"/>
    </row>
    <row r="171" spans="9:9" x14ac:dyDescent="0.3">
      <c r="I171" s="18"/>
    </row>
    <row r="172" spans="9:9" x14ac:dyDescent="0.3">
      <c r="I172" s="18"/>
    </row>
    <row r="173" spans="9:9" x14ac:dyDescent="0.3">
      <c r="I173" s="18"/>
    </row>
    <row r="174" spans="9:9" x14ac:dyDescent="0.3">
      <c r="I174" s="18"/>
    </row>
    <row r="175" spans="9:9" x14ac:dyDescent="0.3">
      <c r="I175" s="18"/>
    </row>
    <row r="176" spans="9:9" x14ac:dyDescent="0.3">
      <c r="I176" s="18"/>
    </row>
    <row r="177" spans="9:9" x14ac:dyDescent="0.3">
      <c r="I177" s="18"/>
    </row>
    <row r="178" spans="9:9" x14ac:dyDescent="0.3">
      <c r="I178" s="18"/>
    </row>
    <row r="179" spans="9:9" x14ac:dyDescent="0.3">
      <c r="I179" s="18"/>
    </row>
    <row r="180" spans="9:9" x14ac:dyDescent="0.3">
      <c r="I180" s="18"/>
    </row>
    <row r="181" spans="9:9" x14ac:dyDescent="0.3">
      <c r="I181" s="18"/>
    </row>
    <row r="182" spans="9:9" x14ac:dyDescent="0.3">
      <c r="I182" s="18"/>
    </row>
    <row r="183" spans="9:9" x14ac:dyDescent="0.3">
      <c r="I183" s="18"/>
    </row>
    <row r="184" spans="9:9" x14ac:dyDescent="0.3">
      <c r="I184" s="18"/>
    </row>
    <row r="185" spans="9:9" x14ac:dyDescent="0.3">
      <c r="I185" s="18"/>
    </row>
    <row r="186" spans="9:9" x14ac:dyDescent="0.3">
      <c r="I186" s="18"/>
    </row>
    <row r="187" spans="9:9" x14ac:dyDescent="0.3">
      <c r="I187" s="18"/>
    </row>
    <row r="188" spans="9:9" x14ac:dyDescent="0.3">
      <c r="I188" s="18"/>
    </row>
    <row r="189" spans="9:9" x14ac:dyDescent="0.3">
      <c r="I189" s="18"/>
    </row>
    <row r="190" spans="9:9" x14ac:dyDescent="0.3">
      <c r="I190" s="18"/>
    </row>
    <row r="191" spans="9:9" x14ac:dyDescent="0.3">
      <c r="I191" s="18"/>
    </row>
    <row r="192" spans="9:9" x14ac:dyDescent="0.3">
      <c r="I192" s="18"/>
    </row>
    <row r="193" spans="9:9" x14ac:dyDescent="0.3">
      <c r="I193" s="18"/>
    </row>
    <row r="194" spans="9:9" x14ac:dyDescent="0.3">
      <c r="I194" s="18"/>
    </row>
    <row r="195" spans="9:9" x14ac:dyDescent="0.3">
      <c r="I195" s="18"/>
    </row>
    <row r="196" spans="9:9" x14ac:dyDescent="0.3">
      <c r="I196" s="18"/>
    </row>
    <row r="197" spans="9:9" x14ac:dyDescent="0.3">
      <c r="I197" s="18"/>
    </row>
    <row r="198" spans="9:9" x14ac:dyDescent="0.3">
      <c r="I198" s="18"/>
    </row>
    <row r="199" spans="9:9" x14ac:dyDescent="0.3">
      <c r="I199" s="18"/>
    </row>
    <row r="200" spans="9:9" x14ac:dyDescent="0.3">
      <c r="I200" s="18"/>
    </row>
    <row r="201" spans="9:9" x14ac:dyDescent="0.3">
      <c r="I201" s="18"/>
    </row>
    <row r="202" spans="9:9" x14ac:dyDescent="0.3">
      <c r="I202" s="18"/>
    </row>
    <row r="203" spans="9:9" x14ac:dyDescent="0.3">
      <c r="I203" s="18"/>
    </row>
    <row r="204" spans="9:9" x14ac:dyDescent="0.3">
      <c r="I204" s="18"/>
    </row>
    <row r="205" spans="9:9" x14ac:dyDescent="0.3">
      <c r="I205" s="18"/>
    </row>
    <row r="206" spans="9:9" x14ac:dyDescent="0.3">
      <c r="I206" s="18"/>
    </row>
    <row r="207" spans="9:9" x14ac:dyDescent="0.3">
      <c r="I207" s="18"/>
    </row>
    <row r="208" spans="9:9" x14ac:dyDescent="0.3">
      <c r="I208" s="18"/>
    </row>
    <row r="209" spans="9:9" x14ac:dyDescent="0.3">
      <c r="I209" s="18"/>
    </row>
    <row r="210" spans="9:9" x14ac:dyDescent="0.3">
      <c r="I210" s="18"/>
    </row>
    <row r="211" spans="9:9" x14ac:dyDescent="0.3">
      <c r="I211" s="18"/>
    </row>
    <row r="212" spans="9:9" x14ac:dyDescent="0.3">
      <c r="I212" s="18"/>
    </row>
    <row r="213" spans="9:9" x14ac:dyDescent="0.3">
      <c r="I213" s="18"/>
    </row>
    <row r="214" spans="9:9" x14ac:dyDescent="0.3">
      <c r="I214" s="18"/>
    </row>
    <row r="215" spans="9:9" x14ac:dyDescent="0.3">
      <c r="I215" s="18"/>
    </row>
    <row r="216" spans="9:9" x14ac:dyDescent="0.3">
      <c r="I216" s="18"/>
    </row>
    <row r="217" spans="9:9" x14ac:dyDescent="0.3">
      <c r="I217" s="18"/>
    </row>
    <row r="218" spans="9:9" x14ac:dyDescent="0.3">
      <c r="I218" s="18"/>
    </row>
    <row r="219" spans="9:9" x14ac:dyDescent="0.3">
      <c r="I219" s="18"/>
    </row>
    <row r="220" spans="9:9" x14ac:dyDescent="0.3">
      <c r="I220" s="18"/>
    </row>
    <row r="221" spans="9:9" x14ac:dyDescent="0.3">
      <c r="I221" s="18"/>
    </row>
    <row r="222" spans="9:9" x14ac:dyDescent="0.3">
      <c r="I222" s="18"/>
    </row>
    <row r="223" spans="9:9" x14ac:dyDescent="0.3">
      <c r="I223" s="18"/>
    </row>
    <row r="224" spans="9:9" x14ac:dyDescent="0.3">
      <c r="I224" s="18"/>
    </row>
    <row r="225" spans="9:9" x14ac:dyDescent="0.3">
      <c r="I225" s="18"/>
    </row>
    <row r="226" spans="9:9" x14ac:dyDescent="0.3">
      <c r="I226" s="18"/>
    </row>
    <row r="227" spans="9:9" x14ac:dyDescent="0.3">
      <c r="I227" s="18"/>
    </row>
    <row r="228" spans="9:9" x14ac:dyDescent="0.3">
      <c r="I228" s="18"/>
    </row>
    <row r="229" spans="9:9" x14ac:dyDescent="0.3">
      <c r="I229" s="18"/>
    </row>
    <row r="230" spans="9:9" x14ac:dyDescent="0.3">
      <c r="I230" s="18"/>
    </row>
    <row r="231" spans="9:9" x14ac:dyDescent="0.3">
      <c r="I231" s="18"/>
    </row>
    <row r="232" spans="9:9" x14ac:dyDescent="0.3">
      <c r="I232" s="18"/>
    </row>
    <row r="233" spans="9:9" x14ac:dyDescent="0.3">
      <c r="I233" s="18"/>
    </row>
    <row r="234" spans="9:9" x14ac:dyDescent="0.3">
      <c r="I234" s="18"/>
    </row>
    <row r="235" spans="9:9" x14ac:dyDescent="0.3">
      <c r="I235" s="18"/>
    </row>
    <row r="236" spans="9:9" x14ac:dyDescent="0.3">
      <c r="I236" s="18"/>
    </row>
    <row r="237" spans="9:9" x14ac:dyDescent="0.3">
      <c r="I237" s="18"/>
    </row>
    <row r="238" spans="9:9" x14ac:dyDescent="0.3">
      <c r="I238" s="18"/>
    </row>
    <row r="239" spans="9:9" x14ac:dyDescent="0.3">
      <c r="I239" s="18"/>
    </row>
    <row r="240" spans="9:9" x14ac:dyDescent="0.3">
      <c r="I240" s="18"/>
    </row>
    <row r="241" spans="9:9" x14ac:dyDescent="0.3">
      <c r="I241" s="18"/>
    </row>
    <row r="242" spans="9:9" x14ac:dyDescent="0.3">
      <c r="I242" s="18"/>
    </row>
    <row r="243" spans="9:9" x14ac:dyDescent="0.3">
      <c r="I243" s="18"/>
    </row>
    <row r="244" spans="9:9" x14ac:dyDescent="0.3">
      <c r="I244" s="18"/>
    </row>
    <row r="245" spans="9:9" x14ac:dyDescent="0.3">
      <c r="I245" s="18"/>
    </row>
    <row r="246" spans="9:9" x14ac:dyDescent="0.3">
      <c r="I246" s="18"/>
    </row>
    <row r="247" spans="9:9" x14ac:dyDescent="0.3">
      <c r="I247" s="18"/>
    </row>
    <row r="248" spans="9:9" x14ac:dyDescent="0.3">
      <c r="I248" s="18"/>
    </row>
    <row r="249" spans="9:9" x14ac:dyDescent="0.3">
      <c r="I249" s="18"/>
    </row>
    <row r="250" spans="9:9" x14ac:dyDescent="0.3">
      <c r="I250" s="18"/>
    </row>
    <row r="251" spans="9:9" x14ac:dyDescent="0.3">
      <c r="I251" s="18"/>
    </row>
    <row r="252" spans="9:9" x14ac:dyDescent="0.3">
      <c r="I252" s="18"/>
    </row>
    <row r="253" spans="9:9" x14ac:dyDescent="0.3">
      <c r="I253" s="18"/>
    </row>
    <row r="254" spans="9:9" x14ac:dyDescent="0.3">
      <c r="I254" s="18"/>
    </row>
    <row r="255" spans="9:9" x14ac:dyDescent="0.3">
      <c r="I255" s="18"/>
    </row>
    <row r="256" spans="9:9" x14ac:dyDescent="0.3">
      <c r="I256" s="18"/>
    </row>
    <row r="257" spans="9:9" x14ac:dyDescent="0.3">
      <c r="I257" s="18"/>
    </row>
    <row r="258" spans="9:9" x14ac:dyDescent="0.3">
      <c r="I258" s="18"/>
    </row>
    <row r="259" spans="9:9" x14ac:dyDescent="0.3">
      <c r="I259" s="18"/>
    </row>
    <row r="260" spans="9:9" x14ac:dyDescent="0.3">
      <c r="I260" s="18"/>
    </row>
    <row r="261" spans="9:9" x14ac:dyDescent="0.3">
      <c r="I261" s="18"/>
    </row>
    <row r="262" spans="9:9" x14ac:dyDescent="0.3">
      <c r="I262" s="18"/>
    </row>
    <row r="263" spans="9:9" x14ac:dyDescent="0.3">
      <c r="I263" s="18"/>
    </row>
    <row r="264" spans="9:9" x14ac:dyDescent="0.3">
      <c r="I264" s="18"/>
    </row>
    <row r="265" spans="9:9" x14ac:dyDescent="0.3">
      <c r="I265" s="18"/>
    </row>
    <row r="266" spans="9:9" x14ac:dyDescent="0.3">
      <c r="I266" s="18"/>
    </row>
    <row r="267" spans="9:9" x14ac:dyDescent="0.3">
      <c r="I267" s="18"/>
    </row>
    <row r="268" spans="9:9" x14ac:dyDescent="0.3">
      <c r="I268" s="18"/>
    </row>
    <row r="269" spans="9:9" x14ac:dyDescent="0.3">
      <c r="I269" s="18"/>
    </row>
    <row r="270" spans="9:9" x14ac:dyDescent="0.3">
      <c r="I270" s="18"/>
    </row>
    <row r="271" spans="9:9" x14ac:dyDescent="0.3">
      <c r="I271" s="18"/>
    </row>
    <row r="272" spans="9:9" x14ac:dyDescent="0.3">
      <c r="I272" s="18"/>
    </row>
    <row r="273" spans="9:9" x14ac:dyDescent="0.3">
      <c r="I273" s="18"/>
    </row>
    <row r="274" spans="9:9" x14ac:dyDescent="0.3">
      <c r="I274" s="18"/>
    </row>
    <row r="275" spans="9:9" x14ac:dyDescent="0.3">
      <c r="I275" s="18"/>
    </row>
    <row r="276" spans="9:9" x14ac:dyDescent="0.3">
      <c r="I276" s="18"/>
    </row>
    <row r="277" spans="9:9" x14ac:dyDescent="0.3">
      <c r="I277" s="18"/>
    </row>
    <row r="278" spans="9:9" x14ac:dyDescent="0.3">
      <c r="I278" s="18"/>
    </row>
    <row r="279" spans="9:9" x14ac:dyDescent="0.3">
      <c r="I279" s="18"/>
    </row>
    <row r="280" spans="9:9" x14ac:dyDescent="0.3">
      <c r="I280" s="18"/>
    </row>
    <row r="281" spans="9:9" x14ac:dyDescent="0.3">
      <c r="I281" s="18"/>
    </row>
    <row r="282" spans="9:9" x14ac:dyDescent="0.3">
      <c r="I282" s="18"/>
    </row>
    <row r="283" spans="9:9" x14ac:dyDescent="0.3">
      <c r="I283" s="18"/>
    </row>
    <row r="284" spans="9:9" x14ac:dyDescent="0.3">
      <c r="I284" s="18"/>
    </row>
    <row r="285" spans="9:9" x14ac:dyDescent="0.3">
      <c r="I285" s="18"/>
    </row>
    <row r="286" spans="9:9" x14ac:dyDescent="0.3">
      <c r="I286" s="18"/>
    </row>
    <row r="287" spans="9:9" x14ac:dyDescent="0.3">
      <c r="I287" s="18"/>
    </row>
    <row r="288" spans="9:9" x14ac:dyDescent="0.3">
      <c r="I288" s="18"/>
    </row>
    <row r="289" spans="9:9" x14ac:dyDescent="0.3">
      <c r="I289" s="18"/>
    </row>
    <row r="290" spans="9:9" x14ac:dyDescent="0.3">
      <c r="I290" s="18"/>
    </row>
    <row r="291" spans="9:9" x14ac:dyDescent="0.3">
      <c r="I291" s="18"/>
    </row>
    <row r="292" spans="9:9" x14ac:dyDescent="0.3">
      <c r="I292" s="18"/>
    </row>
    <row r="293" spans="9:9" x14ac:dyDescent="0.3">
      <c r="I293" s="18"/>
    </row>
    <row r="294" spans="9:9" x14ac:dyDescent="0.3">
      <c r="I294" s="18"/>
    </row>
    <row r="295" spans="9:9" x14ac:dyDescent="0.3">
      <c r="I295" s="18"/>
    </row>
    <row r="296" spans="9:9" x14ac:dyDescent="0.3">
      <c r="I296" s="18"/>
    </row>
    <row r="297" spans="9:9" x14ac:dyDescent="0.3">
      <c r="I297" s="18"/>
    </row>
    <row r="298" spans="9:9" x14ac:dyDescent="0.3">
      <c r="I298" s="18"/>
    </row>
    <row r="299" spans="9:9" x14ac:dyDescent="0.3">
      <c r="I299" s="18"/>
    </row>
    <row r="300" spans="9:9" x14ac:dyDescent="0.3">
      <c r="I300" s="18"/>
    </row>
    <row r="301" spans="9:9" x14ac:dyDescent="0.3">
      <c r="I301" s="18"/>
    </row>
    <row r="302" spans="9:9" x14ac:dyDescent="0.3">
      <c r="I302" s="18"/>
    </row>
    <row r="303" spans="9:9" x14ac:dyDescent="0.3">
      <c r="I303" s="18"/>
    </row>
    <row r="304" spans="9:9" x14ac:dyDescent="0.3">
      <c r="I304" s="18"/>
    </row>
    <row r="305" spans="9:9" x14ac:dyDescent="0.3">
      <c r="I305" s="18"/>
    </row>
    <row r="306" spans="9:9" x14ac:dyDescent="0.3">
      <c r="I306" s="18"/>
    </row>
    <row r="307" spans="9:9" x14ac:dyDescent="0.3">
      <c r="I307" s="18"/>
    </row>
    <row r="308" spans="9:9" x14ac:dyDescent="0.3">
      <c r="I308" s="18"/>
    </row>
    <row r="309" spans="9:9" x14ac:dyDescent="0.3">
      <c r="I309" s="18"/>
    </row>
    <row r="310" spans="9:9" x14ac:dyDescent="0.3">
      <c r="I310" s="18"/>
    </row>
    <row r="311" spans="9:9" x14ac:dyDescent="0.3">
      <c r="I311" s="18"/>
    </row>
    <row r="312" spans="9:9" x14ac:dyDescent="0.3">
      <c r="I312" s="18"/>
    </row>
    <row r="313" spans="9:9" x14ac:dyDescent="0.3">
      <c r="I313" s="18"/>
    </row>
    <row r="314" spans="9:9" x14ac:dyDescent="0.3">
      <c r="I314" s="18"/>
    </row>
    <row r="315" spans="9:9" x14ac:dyDescent="0.3">
      <c r="I315" s="18"/>
    </row>
    <row r="316" spans="9:9" x14ac:dyDescent="0.3">
      <c r="I316" s="18"/>
    </row>
    <row r="317" spans="9:9" x14ac:dyDescent="0.3">
      <c r="I317" s="18"/>
    </row>
    <row r="318" spans="9:9" x14ac:dyDescent="0.3">
      <c r="I318" s="18"/>
    </row>
    <row r="319" spans="9:9" x14ac:dyDescent="0.3">
      <c r="I319" s="18"/>
    </row>
    <row r="320" spans="9:9" x14ac:dyDescent="0.3">
      <c r="I320" s="18"/>
    </row>
    <row r="321" spans="9:9" x14ac:dyDescent="0.3">
      <c r="I321" s="18"/>
    </row>
    <row r="322" spans="9:9" x14ac:dyDescent="0.3">
      <c r="I322" s="18"/>
    </row>
    <row r="323" spans="9:9" x14ac:dyDescent="0.3">
      <c r="I323" s="18"/>
    </row>
    <row r="324" spans="9:9" x14ac:dyDescent="0.3">
      <c r="I324" s="18"/>
    </row>
    <row r="325" spans="9:9" x14ac:dyDescent="0.3">
      <c r="I325" s="18"/>
    </row>
    <row r="326" spans="9:9" x14ac:dyDescent="0.3">
      <c r="I326" s="18"/>
    </row>
    <row r="327" spans="9:9" x14ac:dyDescent="0.3">
      <c r="I327" s="18"/>
    </row>
    <row r="328" spans="9:9" x14ac:dyDescent="0.3">
      <c r="I328" s="18"/>
    </row>
    <row r="329" spans="9:9" x14ac:dyDescent="0.3">
      <c r="I329" s="18"/>
    </row>
    <row r="330" spans="9:9" x14ac:dyDescent="0.3">
      <c r="I330" s="18"/>
    </row>
    <row r="331" spans="9:9" x14ac:dyDescent="0.3">
      <c r="I331" s="18"/>
    </row>
    <row r="332" spans="9:9" x14ac:dyDescent="0.3">
      <c r="I332" s="18"/>
    </row>
    <row r="333" spans="9:9" x14ac:dyDescent="0.3">
      <c r="I333" s="18"/>
    </row>
    <row r="334" spans="9:9" x14ac:dyDescent="0.3">
      <c r="I334" s="18"/>
    </row>
    <row r="335" spans="9:9" x14ac:dyDescent="0.3">
      <c r="I335" s="18"/>
    </row>
    <row r="336" spans="9:9" x14ac:dyDescent="0.3">
      <c r="I336" s="18"/>
    </row>
    <row r="337" spans="9:9" x14ac:dyDescent="0.3">
      <c r="I337" s="18"/>
    </row>
    <row r="338" spans="9:9" x14ac:dyDescent="0.3">
      <c r="I338" s="18"/>
    </row>
    <row r="339" spans="9:9" x14ac:dyDescent="0.3">
      <c r="I339" s="18"/>
    </row>
    <row r="340" spans="9:9" x14ac:dyDescent="0.3">
      <c r="I340" s="18"/>
    </row>
    <row r="341" spans="9:9" x14ac:dyDescent="0.3">
      <c r="I341" s="18"/>
    </row>
    <row r="342" spans="9:9" x14ac:dyDescent="0.3">
      <c r="I342" s="1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F98D-4403-4F19-875A-8E9E2CC16C59}">
  <sheetPr codeName="Sheet4"/>
  <dimension ref="A1:Q342"/>
  <sheetViews>
    <sheetView rightToLeft="1" zoomScale="113" zoomScaleNormal="113" workbookViewId="0">
      <pane ySplit="13" topLeftCell="A24" activePane="bottomLeft" state="frozen"/>
      <selection pane="bottomLeft" activeCell="P3" sqref="P3"/>
    </sheetView>
  </sheetViews>
  <sheetFormatPr defaultRowHeight="15.6" x14ac:dyDescent="0.3"/>
  <cols>
    <col min="1" max="1" width="12" style="2" bestFit="1" customWidth="1"/>
    <col min="2" max="2" width="5.109375" style="2" bestFit="1" customWidth="1"/>
    <col min="3" max="3" width="7.6640625" style="2" bestFit="1" customWidth="1"/>
    <col min="4" max="4" width="9.109375" style="2" bestFit="1" customWidth="1"/>
    <col min="5" max="5" width="5.109375" style="2" bestFit="1" customWidth="1"/>
    <col min="6" max="6" width="12.88671875" style="2" bestFit="1" customWidth="1"/>
    <col min="7" max="7" width="4.5546875" style="2" customWidth="1"/>
    <col min="8" max="8" width="19.88671875" style="8" customWidth="1"/>
    <col min="9" max="9" width="14.6640625" style="7" bestFit="1" customWidth="1"/>
    <col min="10" max="10" width="8.5546875" style="11" bestFit="1" customWidth="1"/>
    <col min="11" max="11" width="3.77734375" style="6" customWidth="1"/>
    <col min="12" max="12" width="11.44140625" style="2" customWidth="1"/>
    <col min="13" max="13" width="5.109375" style="2" bestFit="1" customWidth="1"/>
    <col min="14" max="14" width="11.5546875" style="2" bestFit="1" customWidth="1"/>
    <col min="15" max="15" width="10.21875" style="2" customWidth="1"/>
    <col min="16" max="16" width="7.77734375" style="2" customWidth="1"/>
    <col min="17" max="17" width="18.44140625" style="2" bestFit="1" customWidth="1"/>
    <col min="18" max="16384" width="8.88671875" style="2"/>
  </cols>
  <sheetData>
    <row r="1" spans="1:17" x14ac:dyDescent="0.3">
      <c r="A1" s="2" t="s">
        <v>29</v>
      </c>
      <c r="H1" s="8" t="s">
        <v>38</v>
      </c>
      <c r="L1" s="2" t="s">
        <v>33</v>
      </c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C3" s="21">
        <f>A3*B3</f>
        <v>0</v>
      </c>
      <c r="D3" s="17">
        <v>5</v>
      </c>
      <c r="E3" s="2">
        <v>9</v>
      </c>
      <c r="F3" s="23">
        <f>D3*E3</f>
        <v>45</v>
      </c>
      <c r="G3" s="5"/>
      <c r="H3" s="10"/>
      <c r="I3" s="20">
        <v>170</v>
      </c>
      <c r="J3" s="11">
        <v>6</v>
      </c>
      <c r="L3" s="15">
        <v>1</v>
      </c>
      <c r="N3" s="21">
        <f>L3*M3</f>
        <v>0</v>
      </c>
      <c r="O3" s="17">
        <v>5</v>
      </c>
      <c r="P3" s="2">
        <v>9</v>
      </c>
      <c r="Q3" s="23">
        <f>O3*P3</f>
        <v>45</v>
      </c>
    </row>
    <row r="4" spans="1:17" x14ac:dyDescent="0.3">
      <c r="A4" s="15">
        <v>5</v>
      </c>
      <c r="B4" s="2">
        <v>9</v>
      </c>
      <c r="C4" s="21">
        <f t="shared" ref="C4:C8" si="0">A4*B4</f>
        <v>45</v>
      </c>
      <c r="D4" s="17">
        <v>10</v>
      </c>
      <c r="E4" s="2">
        <v>10</v>
      </c>
      <c r="F4" s="23">
        <f t="shared" ref="F4:F7" si="1">D4*E4</f>
        <v>100</v>
      </c>
      <c r="G4" s="5"/>
      <c r="H4" s="10"/>
      <c r="I4" s="20"/>
      <c r="J4" s="11">
        <v>101</v>
      </c>
      <c r="L4" s="15">
        <v>5</v>
      </c>
      <c r="M4" s="2">
        <v>12</v>
      </c>
      <c r="N4" s="21">
        <f t="shared" ref="N4:N8" si="2">L4*M4</f>
        <v>60</v>
      </c>
      <c r="O4" s="17">
        <v>10</v>
      </c>
      <c r="P4" s="2">
        <v>7</v>
      </c>
      <c r="Q4" s="23">
        <f t="shared" ref="Q4:Q7" si="3">O4*P4</f>
        <v>70</v>
      </c>
    </row>
    <row r="5" spans="1:17" x14ac:dyDescent="0.3">
      <c r="A5" s="15">
        <v>10</v>
      </c>
      <c r="B5" s="2">
        <v>31</v>
      </c>
      <c r="C5" s="21">
        <f t="shared" si="0"/>
        <v>310</v>
      </c>
      <c r="D5" s="17">
        <v>20</v>
      </c>
      <c r="E5" s="2">
        <v>11</v>
      </c>
      <c r="F5" s="23">
        <f t="shared" si="1"/>
        <v>220</v>
      </c>
      <c r="G5" s="5"/>
      <c r="H5" s="10"/>
      <c r="I5" s="20"/>
      <c r="J5" s="11">
        <v>60</v>
      </c>
      <c r="L5" s="15">
        <v>10</v>
      </c>
      <c r="M5" s="2">
        <v>31</v>
      </c>
      <c r="N5" s="21">
        <f t="shared" si="2"/>
        <v>310</v>
      </c>
      <c r="O5" s="17">
        <v>20</v>
      </c>
      <c r="P5" s="2">
        <v>1</v>
      </c>
      <c r="Q5" s="23">
        <f t="shared" si="3"/>
        <v>20</v>
      </c>
    </row>
    <row r="6" spans="1:17" x14ac:dyDescent="0.3">
      <c r="A6" s="15">
        <v>20</v>
      </c>
      <c r="B6" s="2">
        <v>15</v>
      </c>
      <c r="C6" s="21">
        <f t="shared" si="0"/>
        <v>300</v>
      </c>
      <c r="D6" s="17">
        <v>50</v>
      </c>
      <c r="E6" s="2">
        <v>1</v>
      </c>
      <c r="F6" s="23">
        <f t="shared" si="1"/>
        <v>50</v>
      </c>
      <c r="G6" s="5"/>
      <c r="H6" s="10"/>
      <c r="I6" s="20">
        <v>-270</v>
      </c>
      <c r="J6" s="11">
        <v>10</v>
      </c>
      <c r="L6" s="15">
        <v>20</v>
      </c>
      <c r="M6" s="2">
        <v>29</v>
      </c>
      <c r="N6" s="21">
        <f t="shared" si="2"/>
        <v>580</v>
      </c>
      <c r="O6" s="17">
        <v>50</v>
      </c>
      <c r="P6" s="2">
        <v>1</v>
      </c>
      <c r="Q6" s="23">
        <f t="shared" si="3"/>
        <v>50</v>
      </c>
    </row>
    <row r="7" spans="1:17" x14ac:dyDescent="0.3">
      <c r="A7" s="15">
        <v>50</v>
      </c>
      <c r="C7" s="21">
        <f t="shared" si="0"/>
        <v>0</v>
      </c>
      <c r="D7" s="17">
        <v>100</v>
      </c>
      <c r="E7" s="2">
        <v>26</v>
      </c>
      <c r="F7" s="23">
        <f t="shared" si="1"/>
        <v>2600</v>
      </c>
      <c r="G7" s="5"/>
      <c r="H7" s="10"/>
      <c r="I7" s="20">
        <v>-270</v>
      </c>
      <c r="J7" s="11">
        <v>5</v>
      </c>
      <c r="L7" s="15">
        <v>50</v>
      </c>
      <c r="M7" s="2">
        <v>6</v>
      </c>
      <c r="N7" s="21">
        <f t="shared" si="2"/>
        <v>300</v>
      </c>
      <c r="O7" s="17">
        <v>100</v>
      </c>
      <c r="P7" s="2">
        <v>19</v>
      </c>
      <c r="Q7" s="23">
        <f t="shared" si="3"/>
        <v>1900</v>
      </c>
    </row>
    <row r="8" spans="1:17" x14ac:dyDescent="0.3">
      <c r="A8" s="15">
        <v>100</v>
      </c>
      <c r="B8" s="2">
        <v>3</v>
      </c>
      <c r="C8" s="21">
        <f t="shared" si="0"/>
        <v>300</v>
      </c>
      <c r="D8" s="1" t="s">
        <v>1</v>
      </c>
      <c r="E8" s="1"/>
      <c r="F8" s="19">
        <f>SUM(F3:F7)</f>
        <v>3015</v>
      </c>
      <c r="G8" s="5"/>
      <c r="H8" s="10"/>
      <c r="I8" s="20">
        <v>-270</v>
      </c>
      <c r="J8" s="11">
        <v>15</v>
      </c>
      <c r="L8" s="15">
        <v>100</v>
      </c>
      <c r="M8" s="2">
        <v>7</v>
      </c>
      <c r="N8" s="21">
        <f t="shared" si="2"/>
        <v>700</v>
      </c>
      <c r="O8" s="1" t="s">
        <v>1</v>
      </c>
      <c r="P8" s="1"/>
      <c r="Q8" s="19">
        <f>SUM(Q3:Q7)</f>
        <v>2085</v>
      </c>
    </row>
    <row r="9" spans="1:17" x14ac:dyDescent="0.3">
      <c r="A9" s="1" t="s">
        <v>1</v>
      </c>
      <c r="B9" s="1"/>
      <c r="C9" s="22">
        <f>SUM(C3:C8)</f>
        <v>955</v>
      </c>
      <c r="H9" s="10"/>
      <c r="I9" s="20">
        <v>-270</v>
      </c>
      <c r="J9" s="11">
        <v>10</v>
      </c>
      <c r="L9" s="1" t="s">
        <v>1</v>
      </c>
      <c r="M9" s="1"/>
      <c r="N9" s="22">
        <f>SUM(N3:N8)</f>
        <v>1950</v>
      </c>
      <c r="Q9" s="20"/>
    </row>
    <row r="10" spans="1:17" x14ac:dyDescent="0.3">
      <c r="H10" s="10"/>
      <c r="I10" s="20"/>
      <c r="J10" s="11">
        <v>100</v>
      </c>
      <c r="N10" s="27"/>
      <c r="O10" s="1" t="s">
        <v>40</v>
      </c>
      <c r="P10" s="1"/>
      <c r="Q10" s="24">
        <f>SUM(Table134[اللبناني])</f>
        <v>-930</v>
      </c>
    </row>
    <row r="11" spans="1:17" x14ac:dyDescent="0.3">
      <c r="H11" s="10"/>
      <c r="I11" s="20">
        <v>-130</v>
      </c>
      <c r="L11" s="1" t="s">
        <v>39</v>
      </c>
      <c r="M11" s="1"/>
      <c r="N11" s="12">
        <f>SUM(Table134[الدولار])</f>
        <v>995</v>
      </c>
      <c r="Q11" s="20"/>
    </row>
    <row r="12" spans="1:17" x14ac:dyDescent="0.3">
      <c r="H12" s="10"/>
      <c r="I12" s="20"/>
      <c r="J12" s="11">
        <v>200</v>
      </c>
      <c r="N12" s="27"/>
      <c r="O12" s="1" t="s">
        <v>27</v>
      </c>
      <c r="P12" s="1"/>
      <c r="Q12" s="24">
        <f>Q8-Q10-F8</f>
        <v>0</v>
      </c>
    </row>
    <row r="13" spans="1:17" x14ac:dyDescent="0.3">
      <c r="C13" s="14"/>
      <c r="D13" s="14"/>
      <c r="F13" s="14"/>
      <c r="H13" s="10"/>
      <c r="I13" s="20"/>
      <c r="J13" s="11">
        <v>50</v>
      </c>
      <c r="L13" s="1" t="s">
        <v>27</v>
      </c>
      <c r="M13" s="1"/>
      <c r="N13" s="12">
        <f>N9-N11-C9</f>
        <v>0</v>
      </c>
    </row>
    <row r="14" spans="1:17" x14ac:dyDescent="0.3">
      <c r="C14" s="14"/>
      <c r="D14" s="14"/>
      <c r="F14" s="14"/>
      <c r="H14" s="10"/>
      <c r="I14" s="18">
        <v>-270</v>
      </c>
      <c r="J14" s="11">
        <v>10</v>
      </c>
    </row>
    <row r="15" spans="1:17" x14ac:dyDescent="0.3">
      <c r="C15" s="14"/>
      <c r="D15" s="14"/>
      <c r="F15" s="14"/>
      <c r="H15" s="10"/>
      <c r="I15" s="18"/>
      <c r="J15" s="11">
        <v>15</v>
      </c>
    </row>
    <row r="16" spans="1:17" x14ac:dyDescent="0.3">
      <c r="C16" s="14"/>
      <c r="D16" s="14"/>
      <c r="F16" s="14"/>
      <c r="H16" s="10"/>
      <c r="I16" s="18">
        <v>150</v>
      </c>
    </row>
    <row r="17" spans="3:10" x14ac:dyDescent="0.3">
      <c r="C17" s="14"/>
      <c r="D17" s="14"/>
      <c r="F17" s="14"/>
      <c r="H17" s="10"/>
      <c r="I17" s="20"/>
      <c r="J17" s="11">
        <v>145</v>
      </c>
    </row>
    <row r="18" spans="3:10" x14ac:dyDescent="0.3">
      <c r="C18" s="14"/>
      <c r="F18" s="14"/>
      <c r="H18" s="10"/>
      <c r="I18" s="20">
        <v>90</v>
      </c>
    </row>
    <row r="19" spans="3:10" x14ac:dyDescent="0.3">
      <c r="C19" s="14"/>
      <c r="H19" s="10"/>
      <c r="I19" s="20">
        <v>180</v>
      </c>
    </row>
    <row r="20" spans="3:10" x14ac:dyDescent="0.3">
      <c r="F20" s="6"/>
      <c r="H20" s="10"/>
      <c r="I20" s="20"/>
      <c r="J20" s="11">
        <v>5</v>
      </c>
    </row>
    <row r="21" spans="3:10" x14ac:dyDescent="0.3">
      <c r="C21" s="6"/>
      <c r="H21" s="10"/>
      <c r="I21" s="20">
        <v>180</v>
      </c>
    </row>
    <row r="22" spans="3:10" x14ac:dyDescent="0.3">
      <c r="F22" s="6"/>
      <c r="H22" s="10"/>
      <c r="I22" s="20">
        <v>-50</v>
      </c>
    </row>
    <row r="23" spans="3:10" x14ac:dyDescent="0.3">
      <c r="C23" s="6"/>
      <c r="H23" s="10"/>
      <c r="I23" s="20"/>
      <c r="J23" s="11">
        <v>50</v>
      </c>
    </row>
    <row r="24" spans="3:10" x14ac:dyDescent="0.3">
      <c r="H24" s="10"/>
      <c r="I24" s="20"/>
      <c r="J24" s="11">
        <v>60</v>
      </c>
    </row>
    <row r="25" spans="3:10" x14ac:dyDescent="0.3">
      <c r="H25" s="10"/>
      <c r="I25" s="20"/>
      <c r="J25" s="11">
        <v>-17</v>
      </c>
    </row>
    <row r="26" spans="3:10" x14ac:dyDescent="0.3">
      <c r="H26" s="10"/>
      <c r="I26" s="20">
        <v>430</v>
      </c>
      <c r="J26" s="11">
        <v>5</v>
      </c>
    </row>
    <row r="27" spans="3:10" x14ac:dyDescent="0.3">
      <c r="H27" s="10"/>
      <c r="I27" s="18">
        <v>350</v>
      </c>
    </row>
    <row r="28" spans="3:10" x14ac:dyDescent="0.3">
      <c r="I28" s="18">
        <v>900</v>
      </c>
    </row>
    <row r="29" spans="3:10" x14ac:dyDescent="0.3">
      <c r="I29" s="18">
        <v>-1800</v>
      </c>
      <c r="J29" s="11">
        <v>20</v>
      </c>
    </row>
    <row r="30" spans="3:10" x14ac:dyDescent="0.3">
      <c r="I30" s="18">
        <v>30</v>
      </c>
    </row>
    <row r="31" spans="3:10" x14ac:dyDescent="0.3">
      <c r="I31" s="18">
        <v>-180</v>
      </c>
      <c r="J31" s="11">
        <v>60</v>
      </c>
    </row>
    <row r="32" spans="3:10" x14ac:dyDescent="0.3">
      <c r="I32" s="18">
        <v>100</v>
      </c>
    </row>
    <row r="33" spans="9:10" x14ac:dyDescent="0.3">
      <c r="I33" s="18"/>
      <c r="J33" s="11">
        <v>85</v>
      </c>
    </row>
    <row r="34" spans="9:10" x14ac:dyDescent="0.3">
      <c r="I34" s="18"/>
    </row>
    <row r="35" spans="9:10" x14ac:dyDescent="0.3">
      <c r="I35" s="18"/>
    </row>
    <row r="36" spans="9:10" x14ac:dyDescent="0.3">
      <c r="I36" s="18"/>
    </row>
    <row r="37" spans="9:10" x14ac:dyDescent="0.3">
      <c r="I37" s="18"/>
    </row>
    <row r="38" spans="9:10" x14ac:dyDescent="0.3">
      <c r="I38" s="18"/>
    </row>
    <row r="39" spans="9:10" x14ac:dyDescent="0.3">
      <c r="I39" s="18"/>
    </row>
    <row r="40" spans="9:10" x14ac:dyDescent="0.3">
      <c r="I40" s="18"/>
    </row>
    <row r="41" spans="9:10" x14ac:dyDescent="0.3">
      <c r="I41" s="18"/>
    </row>
    <row r="42" spans="9:10" x14ac:dyDescent="0.3">
      <c r="I42" s="18"/>
    </row>
    <row r="43" spans="9:10" x14ac:dyDescent="0.3">
      <c r="I43" s="18"/>
    </row>
    <row r="44" spans="9:10" x14ac:dyDescent="0.3">
      <c r="I44" s="18"/>
    </row>
    <row r="45" spans="9:10" x14ac:dyDescent="0.3">
      <c r="I45" s="18"/>
    </row>
    <row r="46" spans="9:10" x14ac:dyDescent="0.3">
      <c r="I46" s="18"/>
    </row>
    <row r="47" spans="9:10" x14ac:dyDescent="0.3">
      <c r="I47" s="18"/>
    </row>
    <row r="48" spans="9:10" x14ac:dyDescent="0.3">
      <c r="I48" s="18"/>
    </row>
    <row r="49" spans="9:9" x14ac:dyDescent="0.3">
      <c r="I49" s="18"/>
    </row>
    <row r="50" spans="9:9" x14ac:dyDescent="0.3">
      <c r="I50" s="18"/>
    </row>
    <row r="51" spans="9:9" x14ac:dyDescent="0.3">
      <c r="I51" s="18"/>
    </row>
    <row r="52" spans="9:9" x14ac:dyDescent="0.3">
      <c r="I52" s="18"/>
    </row>
    <row r="53" spans="9:9" x14ac:dyDescent="0.3">
      <c r="I53" s="18"/>
    </row>
    <row r="54" spans="9:9" x14ac:dyDescent="0.3">
      <c r="I54" s="18"/>
    </row>
    <row r="55" spans="9:9" x14ac:dyDescent="0.3">
      <c r="I55" s="18"/>
    </row>
    <row r="56" spans="9:9" x14ac:dyDescent="0.3">
      <c r="I56" s="18"/>
    </row>
    <row r="57" spans="9:9" x14ac:dyDescent="0.3">
      <c r="I57" s="18"/>
    </row>
    <row r="58" spans="9:9" x14ac:dyDescent="0.3">
      <c r="I58" s="18"/>
    </row>
    <row r="59" spans="9:9" x14ac:dyDescent="0.3">
      <c r="I59" s="18"/>
    </row>
    <row r="60" spans="9:9" x14ac:dyDescent="0.3">
      <c r="I60" s="18"/>
    </row>
    <row r="61" spans="9:9" x14ac:dyDescent="0.3">
      <c r="I61" s="18"/>
    </row>
    <row r="62" spans="9:9" x14ac:dyDescent="0.3">
      <c r="I62" s="18"/>
    </row>
    <row r="63" spans="9:9" x14ac:dyDescent="0.3">
      <c r="I63" s="18"/>
    </row>
    <row r="64" spans="9:9" x14ac:dyDescent="0.3">
      <c r="I64" s="18"/>
    </row>
    <row r="65" spans="9:9" x14ac:dyDescent="0.3">
      <c r="I65" s="18"/>
    </row>
    <row r="66" spans="9:9" x14ac:dyDescent="0.3">
      <c r="I66" s="18"/>
    </row>
    <row r="67" spans="9:9" x14ac:dyDescent="0.3">
      <c r="I67" s="18"/>
    </row>
    <row r="68" spans="9:9" x14ac:dyDescent="0.3">
      <c r="I68" s="18"/>
    </row>
    <row r="69" spans="9:9" x14ac:dyDescent="0.3">
      <c r="I69" s="18"/>
    </row>
    <row r="70" spans="9:9" x14ac:dyDescent="0.3">
      <c r="I70" s="18"/>
    </row>
    <row r="71" spans="9:9" x14ac:dyDescent="0.3">
      <c r="I71" s="18"/>
    </row>
    <row r="72" spans="9:9" x14ac:dyDescent="0.3">
      <c r="I72" s="18"/>
    </row>
    <row r="73" spans="9:9" x14ac:dyDescent="0.3">
      <c r="I73" s="18"/>
    </row>
    <row r="74" spans="9:9" x14ac:dyDescent="0.3">
      <c r="I74" s="18"/>
    </row>
    <row r="75" spans="9:9" x14ac:dyDescent="0.3">
      <c r="I75" s="18"/>
    </row>
    <row r="76" spans="9:9" x14ac:dyDescent="0.3">
      <c r="I76" s="18"/>
    </row>
    <row r="77" spans="9:9" x14ac:dyDescent="0.3">
      <c r="I77" s="18"/>
    </row>
    <row r="78" spans="9:9" x14ac:dyDescent="0.3">
      <c r="I78" s="18"/>
    </row>
    <row r="79" spans="9:9" x14ac:dyDescent="0.3">
      <c r="I79" s="18"/>
    </row>
    <row r="80" spans="9:9" x14ac:dyDescent="0.3">
      <c r="I80" s="18"/>
    </row>
    <row r="81" spans="9:9" x14ac:dyDescent="0.3">
      <c r="I81" s="18"/>
    </row>
    <row r="82" spans="9:9" x14ac:dyDescent="0.3">
      <c r="I82" s="18"/>
    </row>
    <row r="83" spans="9:9" x14ac:dyDescent="0.3">
      <c r="I83" s="18"/>
    </row>
    <row r="84" spans="9:9" x14ac:dyDescent="0.3">
      <c r="I84" s="18"/>
    </row>
    <row r="85" spans="9:9" x14ac:dyDescent="0.3">
      <c r="I85" s="18"/>
    </row>
    <row r="86" spans="9:9" x14ac:dyDescent="0.3">
      <c r="I86" s="18"/>
    </row>
    <row r="87" spans="9:9" x14ac:dyDescent="0.3">
      <c r="I87" s="18"/>
    </row>
    <row r="88" spans="9:9" x14ac:dyDescent="0.3">
      <c r="I88" s="18"/>
    </row>
    <row r="89" spans="9:9" x14ac:dyDescent="0.3">
      <c r="I89" s="18"/>
    </row>
    <row r="90" spans="9:9" x14ac:dyDescent="0.3">
      <c r="I90" s="18"/>
    </row>
    <row r="91" spans="9:9" x14ac:dyDescent="0.3">
      <c r="I91" s="18"/>
    </row>
    <row r="92" spans="9:9" x14ac:dyDescent="0.3">
      <c r="I92" s="18"/>
    </row>
    <row r="93" spans="9:9" x14ac:dyDescent="0.3">
      <c r="I93" s="18"/>
    </row>
    <row r="94" spans="9:9" x14ac:dyDescent="0.3">
      <c r="I94" s="18"/>
    </row>
    <row r="95" spans="9:9" x14ac:dyDescent="0.3">
      <c r="I95" s="18"/>
    </row>
    <row r="96" spans="9:9" x14ac:dyDescent="0.3">
      <c r="I96" s="18"/>
    </row>
    <row r="97" spans="9:9" x14ac:dyDescent="0.3">
      <c r="I97" s="18"/>
    </row>
    <row r="98" spans="9:9" x14ac:dyDescent="0.3">
      <c r="I98" s="18"/>
    </row>
    <row r="99" spans="9:9" x14ac:dyDescent="0.3">
      <c r="I99" s="18"/>
    </row>
    <row r="100" spans="9:9" x14ac:dyDescent="0.3">
      <c r="I100" s="18"/>
    </row>
    <row r="101" spans="9:9" x14ac:dyDescent="0.3">
      <c r="I101" s="18"/>
    </row>
    <row r="102" spans="9:9" x14ac:dyDescent="0.3">
      <c r="I102" s="18"/>
    </row>
    <row r="103" spans="9:9" x14ac:dyDescent="0.3">
      <c r="I103" s="18"/>
    </row>
    <row r="104" spans="9:9" x14ac:dyDescent="0.3">
      <c r="I104" s="18"/>
    </row>
    <row r="105" spans="9:9" x14ac:dyDescent="0.3">
      <c r="I105" s="18"/>
    </row>
    <row r="106" spans="9:9" x14ac:dyDescent="0.3">
      <c r="I106" s="18"/>
    </row>
    <row r="107" spans="9:9" x14ac:dyDescent="0.3">
      <c r="I107" s="18"/>
    </row>
    <row r="108" spans="9:9" x14ac:dyDescent="0.3">
      <c r="I108" s="18"/>
    </row>
    <row r="109" spans="9:9" x14ac:dyDescent="0.3">
      <c r="I109" s="18"/>
    </row>
    <row r="110" spans="9:9" x14ac:dyDescent="0.3">
      <c r="I110" s="18"/>
    </row>
    <row r="111" spans="9:9" x14ac:dyDescent="0.3">
      <c r="I111" s="18"/>
    </row>
    <row r="112" spans="9:9" x14ac:dyDescent="0.3">
      <c r="I112" s="18"/>
    </row>
    <row r="113" spans="9:9" x14ac:dyDescent="0.3">
      <c r="I113" s="18"/>
    </row>
    <row r="114" spans="9:9" x14ac:dyDescent="0.3">
      <c r="I114" s="18"/>
    </row>
    <row r="115" spans="9:9" x14ac:dyDescent="0.3">
      <c r="I115" s="18"/>
    </row>
    <row r="116" spans="9:9" x14ac:dyDescent="0.3">
      <c r="I116" s="18"/>
    </row>
    <row r="117" spans="9:9" x14ac:dyDescent="0.3">
      <c r="I117" s="18"/>
    </row>
    <row r="118" spans="9:9" x14ac:dyDescent="0.3">
      <c r="I118" s="18"/>
    </row>
    <row r="119" spans="9:9" x14ac:dyDescent="0.3">
      <c r="I119" s="18"/>
    </row>
    <row r="120" spans="9:9" x14ac:dyDescent="0.3">
      <c r="I120" s="18"/>
    </row>
    <row r="121" spans="9:9" x14ac:dyDescent="0.3">
      <c r="I121" s="18"/>
    </row>
    <row r="122" spans="9:9" x14ac:dyDescent="0.3">
      <c r="I122" s="18"/>
    </row>
    <row r="123" spans="9:9" x14ac:dyDescent="0.3">
      <c r="I123" s="18"/>
    </row>
    <row r="124" spans="9:9" x14ac:dyDescent="0.3">
      <c r="I124" s="18"/>
    </row>
    <row r="125" spans="9:9" x14ac:dyDescent="0.3">
      <c r="I125" s="18"/>
    </row>
    <row r="126" spans="9:9" x14ac:dyDescent="0.3">
      <c r="I126" s="18"/>
    </row>
    <row r="127" spans="9:9" x14ac:dyDescent="0.3">
      <c r="I127" s="18"/>
    </row>
    <row r="128" spans="9:9" x14ac:dyDescent="0.3">
      <c r="I128" s="18"/>
    </row>
    <row r="129" spans="9:9" x14ac:dyDescent="0.3">
      <c r="I129" s="18"/>
    </row>
    <row r="130" spans="9:9" x14ac:dyDescent="0.3">
      <c r="I130" s="18"/>
    </row>
    <row r="131" spans="9:9" x14ac:dyDescent="0.3">
      <c r="I131" s="18"/>
    </row>
    <row r="132" spans="9:9" x14ac:dyDescent="0.3">
      <c r="I132" s="18"/>
    </row>
    <row r="133" spans="9:9" x14ac:dyDescent="0.3">
      <c r="I133" s="18"/>
    </row>
    <row r="134" spans="9:9" x14ac:dyDescent="0.3">
      <c r="I134" s="18"/>
    </row>
    <row r="135" spans="9:9" x14ac:dyDescent="0.3">
      <c r="I135" s="18"/>
    </row>
    <row r="136" spans="9:9" x14ac:dyDescent="0.3">
      <c r="I136" s="18"/>
    </row>
    <row r="137" spans="9:9" x14ac:dyDescent="0.3">
      <c r="I137" s="18"/>
    </row>
    <row r="138" spans="9:9" x14ac:dyDescent="0.3">
      <c r="I138" s="18"/>
    </row>
    <row r="139" spans="9:9" x14ac:dyDescent="0.3">
      <c r="I139" s="18"/>
    </row>
    <row r="140" spans="9:9" x14ac:dyDescent="0.3">
      <c r="I140" s="18"/>
    </row>
    <row r="141" spans="9:9" x14ac:dyDescent="0.3">
      <c r="I141" s="18"/>
    </row>
    <row r="142" spans="9:9" x14ac:dyDescent="0.3">
      <c r="I142" s="18"/>
    </row>
    <row r="143" spans="9:9" x14ac:dyDescent="0.3">
      <c r="I143" s="18"/>
    </row>
    <row r="144" spans="9:9" x14ac:dyDescent="0.3">
      <c r="I144" s="18"/>
    </row>
    <row r="145" spans="9:9" x14ac:dyDescent="0.3">
      <c r="I145" s="18"/>
    </row>
    <row r="146" spans="9:9" x14ac:dyDescent="0.3">
      <c r="I146" s="18"/>
    </row>
    <row r="147" spans="9:9" x14ac:dyDescent="0.3">
      <c r="I147" s="18"/>
    </row>
    <row r="148" spans="9:9" x14ac:dyDescent="0.3">
      <c r="I148" s="18"/>
    </row>
    <row r="149" spans="9:9" x14ac:dyDescent="0.3">
      <c r="I149" s="18"/>
    </row>
    <row r="150" spans="9:9" x14ac:dyDescent="0.3">
      <c r="I150" s="18"/>
    </row>
    <row r="151" spans="9:9" x14ac:dyDescent="0.3">
      <c r="I151" s="18"/>
    </row>
    <row r="152" spans="9:9" x14ac:dyDescent="0.3">
      <c r="I152" s="18"/>
    </row>
    <row r="153" spans="9:9" x14ac:dyDescent="0.3">
      <c r="I153" s="18"/>
    </row>
    <row r="154" spans="9:9" x14ac:dyDescent="0.3">
      <c r="I154" s="18"/>
    </row>
    <row r="155" spans="9:9" x14ac:dyDescent="0.3">
      <c r="I155" s="18"/>
    </row>
    <row r="156" spans="9:9" x14ac:dyDescent="0.3">
      <c r="I156" s="18"/>
    </row>
    <row r="157" spans="9:9" x14ac:dyDescent="0.3">
      <c r="I157" s="18"/>
    </row>
    <row r="158" spans="9:9" x14ac:dyDescent="0.3">
      <c r="I158" s="18"/>
    </row>
    <row r="159" spans="9:9" x14ac:dyDescent="0.3">
      <c r="I159" s="18"/>
    </row>
    <row r="160" spans="9:9" x14ac:dyDescent="0.3">
      <c r="I160" s="18"/>
    </row>
    <row r="161" spans="9:9" x14ac:dyDescent="0.3">
      <c r="I161" s="18"/>
    </row>
    <row r="162" spans="9:9" x14ac:dyDescent="0.3">
      <c r="I162" s="18"/>
    </row>
    <row r="163" spans="9:9" x14ac:dyDescent="0.3">
      <c r="I163" s="18"/>
    </row>
    <row r="164" spans="9:9" x14ac:dyDescent="0.3">
      <c r="I164" s="18"/>
    </row>
    <row r="165" spans="9:9" x14ac:dyDescent="0.3">
      <c r="I165" s="18"/>
    </row>
    <row r="166" spans="9:9" x14ac:dyDescent="0.3">
      <c r="I166" s="18"/>
    </row>
    <row r="167" spans="9:9" x14ac:dyDescent="0.3">
      <c r="I167" s="18"/>
    </row>
    <row r="168" spans="9:9" x14ac:dyDescent="0.3">
      <c r="I168" s="18"/>
    </row>
    <row r="169" spans="9:9" x14ac:dyDescent="0.3">
      <c r="I169" s="18"/>
    </row>
    <row r="170" spans="9:9" x14ac:dyDescent="0.3">
      <c r="I170" s="18"/>
    </row>
    <row r="171" spans="9:9" x14ac:dyDescent="0.3">
      <c r="I171" s="18"/>
    </row>
    <row r="172" spans="9:9" x14ac:dyDescent="0.3">
      <c r="I172" s="18"/>
    </row>
    <row r="173" spans="9:9" x14ac:dyDescent="0.3">
      <c r="I173" s="18"/>
    </row>
    <row r="174" spans="9:9" x14ac:dyDescent="0.3">
      <c r="I174" s="18"/>
    </row>
    <row r="175" spans="9:9" x14ac:dyDescent="0.3">
      <c r="I175" s="18"/>
    </row>
    <row r="176" spans="9:9" x14ac:dyDescent="0.3">
      <c r="I176" s="18"/>
    </row>
    <row r="177" spans="9:9" x14ac:dyDescent="0.3">
      <c r="I177" s="18"/>
    </row>
    <row r="178" spans="9:9" x14ac:dyDescent="0.3">
      <c r="I178" s="18"/>
    </row>
    <row r="179" spans="9:9" x14ac:dyDescent="0.3">
      <c r="I179" s="18"/>
    </row>
    <row r="180" spans="9:9" x14ac:dyDescent="0.3">
      <c r="I180" s="18"/>
    </row>
    <row r="181" spans="9:9" x14ac:dyDescent="0.3">
      <c r="I181" s="18"/>
    </row>
    <row r="182" spans="9:9" x14ac:dyDescent="0.3">
      <c r="I182" s="18"/>
    </row>
    <row r="183" spans="9:9" x14ac:dyDescent="0.3">
      <c r="I183" s="18"/>
    </row>
    <row r="184" spans="9:9" x14ac:dyDescent="0.3">
      <c r="I184" s="18"/>
    </row>
    <row r="185" spans="9:9" x14ac:dyDescent="0.3">
      <c r="I185" s="18"/>
    </row>
    <row r="186" spans="9:9" x14ac:dyDescent="0.3">
      <c r="I186" s="18"/>
    </row>
    <row r="187" spans="9:9" x14ac:dyDescent="0.3">
      <c r="I187" s="18"/>
    </row>
    <row r="188" spans="9:9" x14ac:dyDescent="0.3">
      <c r="I188" s="18"/>
    </row>
    <row r="189" spans="9:9" x14ac:dyDescent="0.3">
      <c r="I189" s="18"/>
    </row>
    <row r="190" spans="9:9" x14ac:dyDescent="0.3">
      <c r="I190" s="18"/>
    </row>
    <row r="191" spans="9:9" x14ac:dyDescent="0.3">
      <c r="I191" s="18"/>
    </row>
    <row r="192" spans="9:9" x14ac:dyDescent="0.3">
      <c r="I192" s="18"/>
    </row>
    <row r="193" spans="9:9" x14ac:dyDescent="0.3">
      <c r="I193" s="18"/>
    </row>
    <row r="194" spans="9:9" x14ac:dyDescent="0.3">
      <c r="I194" s="18"/>
    </row>
    <row r="195" spans="9:9" x14ac:dyDescent="0.3">
      <c r="I195" s="18"/>
    </row>
    <row r="196" spans="9:9" x14ac:dyDescent="0.3">
      <c r="I196" s="18"/>
    </row>
    <row r="197" spans="9:9" x14ac:dyDescent="0.3">
      <c r="I197" s="18"/>
    </row>
    <row r="198" spans="9:9" x14ac:dyDescent="0.3">
      <c r="I198" s="18"/>
    </row>
    <row r="199" spans="9:9" x14ac:dyDescent="0.3">
      <c r="I199" s="18"/>
    </row>
    <row r="200" spans="9:9" x14ac:dyDescent="0.3">
      <c r="I200" s="18"/>
    </row>
    <row r="201" spans="9:9" x14ac:dyDescent="0.3">
      <c r="I201" s="18"/>
    </row>
    <row r="202" spans="9:9" x14ac:dyDescent="0.3">
      <c r="I202" s="18"/>
    </row>
    <row r="203" spans="9:9" x14ac:dyDescent="0.3">
      <c r="I203" s="18"/>
    </row>
    <row r="204" spans="9:9" x14ac:dyDescent="0.3">
      <c r="I204" s="18"/>
    </row>
    <row r="205" spans="9:9" x14ac:dyDescent="0.3">
      <c r="I205" s="18"/>
    </row>
    <row r="206" spans="9:9" x14ac:dyDescent="0.3">
      <c r="I206" s="18"/>
    </row>
    <row r="207" spans="9:9" x14ac:dyDescent="0.3">
      <c r="I207" s="18"/>
    </row>
    <row r="208" spans="9:9" x14ac:dyDescent="0.3">
      <c r="I208" s="18"/>
    </row>
    <row r="209" spans="9:9" x14ac:dyDescent="0.3">
      <c r="I209" s="18"/>
    </row>
    <row r="210" spans="9:9" x14ac:dyDescent="0.3">
      <c r="I210" s="18"/>
    </row>
    <row r="211" spans="9:9" x14ac:dyDescent="0.3">
      <c r="I211" s="18"/>
    </row>
    <row r="212" spans="9:9" x14ac:dyDescent="0.3">
      <c r="I212" s="18"/>
    </row>
    <row r="213" spans="9:9" x14ac:dyDescent="0.3">
      <c r="I213" s="18"/>
    </row>
    <row r="214" spans="9:9" x14ac:dyDescent="0.3">
      <c r="I214" s="18"/>
    </row>
    <row r="215" spans="9:9" x14ac:dyDescent="0.3">
      <c r="I215" s="18"/>
    </row>
    <row r="216" spans="9:9" x14ac:dyDescent="0.3">
      <c r="I216" s="18"/>
    </row>
    <row r="217" spans="9:9" x14ac:dyDescent="0.3">
      <c r="I217" s="18"/>
    </row>
    <row r="218" spans="9:9" x14ac:dyDescent="0.3">
      <c r="I218" s="18"/>
    </row>
    <row r="219" spans="9:9" x14ac:dyDescent="0.3">
      <c r="I219" s="18"/>
    </row>
    <row r="220" spans="9:9" x14ac:dyDescent="0.3">
      <c r="I220" s="18"/>
    </row>
    <row r="221" spans="9:9" x14ac:dyDescent="0.3">
      <c r="I221" s="18"/>
    </row>
    <row r="222" spans="9:9" x14ac:dyDescent="0.3">
      <c r="I222" s="18"/>
    </row>
    <row r="223" spans="9:9" x14ac:dyDescent="0.3">
      <c r="I223" s="18"/>
    </row>
    <row r="224" spans="9:9" x14ac:dyDescent="0.3">
      <c r="I224" s="18"/>
    </row>
    <row r="225" spans="9:9" x14ac:dyDescent="0.3">
      <c r="I225" s="18"/>
    </row>
    <row r="226" spans="9:9" x14ac:dyDescent="0.3">
      <c r="I226" s="18"/>
    </row>
    <row r="227" spans="9:9" x14ac:dyDescent="0.3">
      <c r="I227" s="18"/>
    </row>
    <row r="228" spans="9:9" x14ac:dyDescent="0.3">
      <c r="I228" s="18"/>
    </row>
    <row r="229" spans="9:9" x14ac:dyDescent="0.3">
      <c r="I229" s="18"/>
    </row>
    <row r="230" spans="9:9" x14ac:dyDescent="0.3">
      <c r="I230" s="18"/>
    </row>
    <row r="231" spans="9:9" x14ac:dyDescent="0.3">
      <c r="I231" s="18"/>
    </row>
    <row r="232" spans="9:9" x14ac:dyDescent="0.3">
      <c r="I232" s="18"/>
    </row>
    <row r="233" spans="9:9" x14ac:dyDescent="0.3">
      <c r="I233" s="18"/>
    </row>
    <row r="234" spans="9:9" x14ac:dyDescent="0.3">
      <c r="I234" s="18"/>
    </row>
    <row r="235" spans="9:9" x14ac:dyDescent="0.3">
      <c r="I235" s="18"/>
    </row>
    <row r="236" spans="9:9" x14ac:dyDescent="0.3">
      <c r="I236" s="18"/>
    </row>
    <row r="237" spans="9:9" x14ac:dyDescent="0.3">
      <c r="I237" s="18"/>
    </row>
    <row r="238" spans="9:9" x14ac:dyDescent="0.3">
      <c r="I238" s="18"/>
    </row>
    <row r="239" spans="9:9" x14ac:dyDescent="0.3">
      <c r="I239" s="18"/>
    </row>
    <row r="240" spans="9:9" x14ac:dyDescent="0.3">
      <c r="I240" s="18"/>
    </row>
    <row r="241" spans="9:9" x14ac:dyDescent="0.3">
      <c r="I241" s="18"/>
    </row>
    <row r="242" spans="9:9" x14ac:dyDescent="0.3">
      <c r="I242" s="18"/>
    </row>
    <row r="243" spans="9:9" x14ac:dyDescent="0.3">
      <c r="I243" s="18"/>
    </row>
    <row r="244" spans="9:9" x14ac:dyDescent="0.3">
      <c r="I244" s="18"/>
    </row>
    <row r="245" spans="9:9" x14ac:dyDescent="0.3">
      <c r="I245" s="18"/>
    </row>
    <row r="246" spans="9:9" x14ac:dyDescent="0.3">
      <c r="I246" s="18"/>
    </row>
    <row r="247" spans="9:9" x14ac:dyDescent="0.3">
      <c r="I247" s="18"/>
    </row>
    <row r="248" spans="9:9" x14ac:dyDescent="0.3">
      <c r="I248" s="18"/>
    </row>
    <row r="249" spans="9:9" x14ac:dyDescent="0.3">
      <c r="I249" s="18"/>
    </row>
    <row r="250" spans="9:9" x14ac:dyDescent="0.3">
      <c r="I250" s="18"/>
    </row>
    <row r="251" spans="9:9" x14ac:dyDescent="0.3">
      <c r="I251" s="18"/>
    </row>
    <row r="252" spans="9:9" x14ac:dyDescent="0.3">
      <c r="I252" s="18"/>
    </row>
    <row r="253" spans="9:9" x14ac:dyDescent="0.3">
      <c r="I253" s="18"/>
    </row>
    <row r="254" spans="9:9" x14ac:dyDescent="0.3">
      <c r="I254" s="18"/>
    </row>
    <row r="255" spans="9:9" x14ac:dyDescent="0.3">
      <c r="I255" s="18"/>
    </row>
    <row r="256" spans="9:9" x14ac:dyDescent="0.3">
      <c r="I256" s="18"/>
    </row>
    <row r="257" spans="9:9" x14ac:dyDescent="0.3">
      <c r="I257" s="18"/>
    </row>
    <row r="258" spans="9:9" x14ac:dyDescent="0.3">
      <c r="I258" s="18"/>
    </row>
    <row r="259" spans="9:9" x14ac:dyDescent="0.3">
      <c r="I259" s="18"/>
    </row>
    <row r="260" spans="9:9" x14ac:dyDescent="0.3">
      <c r="I260" s="18"/>
    </row>
    <row r="261" spans="9:9" x14ac:dyDescent="0.3">
      <c r="I261" s="18"/>
    </row>
    <row r="262" spans="9:9" x14ac:dyDescent="0.3">
      <c r="I262" s="18"/>
    </row>
    <row r="263" spans="9:9" x14ac:dyDescent="0.3">
      <c r="I263" s="18"/>
    </row>
    <row r="264" spans="9:9" x14ac:dyDescent="0.3">
      <c r="I264" s="18"/>
    </row>
    <row r="265" spans="9:9" x14ac:dyDescent="0.3">
      <c r="I265" s="18"/>
    </row>
    <row r="266" spans="9:9" x14ac:dyDescent="0.3">
      <c r="I266" s="18"/>
    </row>
    <row r="267" spans="9:9" x14ac:dyDescent="0.3">
      <c r="I267" s="18"/>
    </row>
    <row r="268" spans="9:9" x14ac:dyDescent="0.3">
      <c r="I268" s="18"/>
    </row>
    <row r="269" spans="9:9" x14ac:dyDescent="0.3">
      <c r="I269" s="18"/>
    </row>
    <row r="270" spans="9:9" x14ac:dyDescent="0.3">
      <c r="I270" s="18"/>
    </row>
    <row r="271" spans="9:9" x14ac:dyDescent="0.3">
      <c r="I271" s="18"/>
    </row>
    <row r="272" spans="9:9" x14ac:dyDescent="0.3">
      <c r="I272" s="18"/>
    </row>
    <row r="273" spans="9:9" x14ac:dyDescent="0.3">
      <c r="I273" s="18"/>
    </row>
    <row r="274" spans="9:9" x14ac:dyDescent="0.3">
      <c r="I274" s="18"/>
    </row>
    <row r="275" spans="9:9" x14ac:dyDescent="0.3">
      <c r="I275" s="18"/>
    </row>
    <row r="276" spans="9:9" x14ac:dyDescent="0.3">
      <c r="I276" s="18"/>
    </row>
    <row r="277" spans="9:9" x14ac:dyDescent="0.3">
      <c r="I277" s="18"/>
    </row>
    <row r="278" spans="9:9" x14ac:dyDescent="0.3">
      <c r="I278" s="18"/>
    </row>
    <row r="279" spans="9:9" x14ac:dyDescent="0.3">
      <c r="I279" s="18"/>
    </row>
    <row r="280" spans="9:9" x14ac:dyDescent="0.3">
      <c r="I280" s="18"/>
    </row>
    <row r="281" spans="9:9" x14ac:dyDescent="0.3">
      <c r="I281" s="18"/>
    </row>
    <row r="282" spans="9:9" x14ac:dyDescent="0.3">
      <c r="I282" s="18"/>
    </row>
    <row r="283" spans="9:9" x14ac:dyDescent="0.3">
      <c r="I283" s="18"/>
    </row>
    <row r="284" spans="9:9" x14ac:dyDescent="0.3">
      <c r="I284" s="18"/>
    </row>
    <row r="285" spans="9:9" x14ac:dyDescent="0.3">
      <c r="I285" s="18"/>
    </row>
    <row r="286" spans="9:9" x14ac:dyDescent="0.3">
      <c r="I286" s="18"/>
    </row>
    <row r="287" spans="9:9" x14ac:dyDescent="0.3">
      <c r="I287" s="18"/>
    </row>
    <row r="288" spans="9:9" x14ac:dyDescent="0.3">
      <c r="I288" s="18"/>
    </row>
    <row r="289" spans="9:9" x14ac:dyDescent="0.3">
      <c r="I289" s="18"/>
    </row>
    <row r="290" spans="9:9" x14ac:dyDescent="0.3">
      <c r="I290" s="18"/>
    </row>
    <row r="291" spans="9:9" x14ac:dyDescent="0.3">
      <c r="I291" s="18"/>
    </row>
    <row r="292" spans="9:9" x14ac:dyDescent="0.3">
      <c r="I292" s="18"/>
    </row>
    <row r="293" spans="9:9" x14ac:dyDescent="0.3">
      <c r="I293" s="18"/>
    </row>
    <row r="294" spans="9:9" x14ac:dyDescent="0.3">
      <c r="I294" s="18"/>
    </row>
    <row r="295" spans="9:9" x14ac:dyDescent="0.3">
      <c r="I295" s="18"/>
    </row>
    <row r="296" spans="9:9" x14ac:dyDescent="0.3">
      <c r="I296" s="18"/>
    </row>
    <row r="297" spans="9:9" x14ac:dyDescent="0.3">
      <c r="I297" s="18"/>
    </row>
    <row r="298" spans="9:9" x14ac:dyDescent="0.3">
      <c r="I298" s="18"/>
    </row>
    <row r="299" spans="9:9" x14ac:dyDescent="0.3">
      <c r="I299" s="18"/>
    </row>
    <row r="300" spans="9:9" x14ac:dyDescent="0.3">
      <c r="I300" s="18"/>
    </row>
    <row r="301" spans="9:9" x14ac:dyDescent="0.3">
      <c r="I301" s="18"/>
    </row>
    <row r="302" spans="9:9" x14ac:dyDescent="0.3">
      <c r="I302" s="18"/>
    </row>
    <row r="303" spans="9:9" x14ac:dyDescent="0.3">
      <c r="I303" s="18"/>
    </row>
    <row r="304" spans="9:9" x14ac:dyDescent="0.3">
      <c r="I304" s="18"/>
    </row>
    <row r="305" spans="9:9" x14ac:dyDescent="0.3">
      <c r="I305" s="18"/>
    </row>
    <row r="306" spans="9:9" x14ac:dyDescent="0.3">
      <c r="I306" s="18"/>
    </row>
    <row r="307" spans="9:9" x14ac:dyDescent="0.3">
      <c r="I307" s="18"/>
    </row>
    <row r="308" spans="9:9" x14ac:dyDescent="0.3">
      <c r="I308" s="18"/>
    </row>
    <row r="309" spans="9:9" x14ac:dyDescent="0.3">
      <c r="I309" s="18"/>
    </row>
    <row r="310" spans="9:9" x14ac:dyDescent="0.3">
      <c r="I310" s="18"/>
    </row>
    <row r="311" spans="9:9" x14ac:dyDescent="0.3">
      <c r="I311" s="18"/>
    </row>
    <row r="312" spans="9:9" x14ac:dyDescent="0.3">
      <c r="I312" s="18"/>
    </row>
    <row r="313" spans="9:9" x14ac:dyDescent="0.3">
      <c r="I313" s="18"/>
    </row>
    <row r="314" spans="9:9" x14ac:dyDescent="0.3">
      <c r="I314" s="18"/>
    </row>
    <row r="315" spans="9:9" x14ac:dyDescent="0.3">
      <c r="I315" s="18"/>
    </row>
    <row r="316" spans="9:9" x14ac:dyDescent="0.3">
      <c r="I316" s="18"/>
    </row>
    <row r="317" spans="9:9" x14ac:dyDescent="0.3">
      <c r="I317" s="18"/>
    </row>
    <row r="318" spans="9:9" x14ac:dyDescent="0.3">
      <c r="I318" s="18"/>
    </row>
    <row r="319" spans="9:9" x14ac:dyDescent="0.3">
      <c r="I319" s="18"/>
    </row>
    <row r="320" spans="9:9" x14ac:dyDescent="0.3">
      <c r="I320" s="18"/>
    </row>
    <row r="321" spans="9:9" x14ac:dyDescent="0.3">
      <c r="I321" s="18"/>
    </row>
    <row r="322" spans="9:9" x14ac:dyDescent="0.3">
      <c r="I322" s="18"/>
    </row>
    <row r="323" spans="9:9" x14ac:dyDescent="0.3">
      <c r="I323" s="18"/>
    </row>
    <row r="324" spans="9:9" x14ac:dyDescent="0.3">
      <c r="I324" s="18"/>
    </row>
    <row r="325" spans="9:9" x14ac:dyDescent="0.3">
      <c r="I325" s="18"/>
    </row>
    <row r="326" spans="9:9" x14ac:dyDescent="0.3">
      <c r="I326" s="18"/>
    </row>
    <row r="327" spans="9:9" x14ac:dyDescent="0.3">
      <c r="I327" s="18"/>
    </row>
    <row r="328" spans="9:9" x14ac:dyDescent="0.3">
      <c r="I328" s="18"/>
    </row>
    <row r="329" spans="9:9" x14ac:dyDescent="0.3">
      <c r="I329" s="18"/>
    </row>
    <row r="330" spans="9:9" x14ac:dyDescent="0.3">
      <c r="I330" s="18"/>
    </row>
    <row r="331" spans="9:9" x14ac:dyDescent="0.3">
      <c r="I331" s="18"/>
    </row>
    <row r="332" spans="9:9" x14ac:dyDescent="0.3">
      <c r="I332" s="18"/>
    </row>
    <row r="333" spans="9:9" x14ac:dyDescent="0.3">
      <c r="I333" s="18"/>
    </row>
    <row r="334" spans="9:9" x14ac:dyDescent="0.3">
      <c r="I334" s="18"/>
    </row>
    <row r="335" spans="9:9" x14ac:dyDescent="0.3">
      <c r="I335" s="18"/>
    </row>
    <row r="336" spans="9:9" x14ac:dyDescent="0.3">
      <c r="I336" s="18"/>
    </row>
    <row r="337" spans="9:9" x14ac:dyDescent="0.3">
      <c r="I337" s="18"/>
    </row>
    <row r="338" spans="9:9" x14ac:dyDescent="0.3">
      <c r="I338" s="18"/>
    </row>
    <row r="339" spans="9:9" x14ac:dyDescent="0.3">
      <c r="I339" s="18"/>
    </row>
    <row r="340" spans="9:9" x14ac:dyDescent="0.3">
      <c r="I340" s="18"/>
    </row>
    <row r="341" spans="9:9" x14ac:dyDescent="0.3">
      <c r="I341" s="18"/>
    </row>
    <row r="342" spans="9:9" x14ac:dyDescent="0.3">
      <c r="I342" s="1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4C41-1AFE-4957-B718-C122A390A64E}">
  <sheetPr codeName="Sheet5"/>
  <dimension ref="A1:Q342"/>
  <sheetViews>
    <sheetView rightToLeft="1" zoomScale="113" zoomScaleNormal="113" workbookViewId="0">
      <pane ySplit="13" topLeftCell="A14" activePane="bottomLeft" state="frozen"/>
      <selection pane="bottomLeft" activeCell="P3" sqref="P3:P7"/>
    </sheetView>
  </sheetViews>
  <sheetFormatPr defaultRowHeight="15.6" x14ac:dyDescent="0.3"/>
  <cols>
    <col min="1" max="1" width="12" style="2" bestFit="1" customWidth="1"/>
    <col min="2" max="2" width="5.109375" style="2" bestFit="1" customWidth="1"/>
    <col min="3" max="3" width="7.6640625" style="2" bestFit="1" customWidth="1"/>
    <col min="4" max="4" width="9.109375" style="2" bestFit="1" customWidth="1"/>
    <col min="5" max="5" width="5.109375" style="2" bestFit="1" customWidth="1"/>
    <col min="6" max="6" width="12.88671875" style="2" bestFit="1" customWidth="1"/>
    <col min="7" max="7" width="4.5546875" style="2" customWidth="1"/>
    <col min="8" max="8" width="19.88671875" style="8" customWidth="1"/>
    <col min="9" max="9" width="14.6640625" style="7" bestFit="1" customWidth="1"/>
    <col min="10" max="10" width="8.5546875" style="11" bestFit="1" customWidth="1"/>
    <col min="11" max="11" width="3.77734375" style="6" customWidth="1"/>
    <col min="12" max="12" width="11.44140625" style="2" customWidth="1"/>
    <col min="13" max="13" width="5.109375" style="2" bestFit="1" customWidth="1"/>
    <col min="14" max="14" width="11.5546875" style="2" bestFit="1" customWidth="1"/>
    <col min="15" max="15" width="10.21875" style="2" customWidth="1"/>
    <col min="16" max="16" width="7.77734375" style="2" customWidth="1"/>
    <col min="17" max="17" width="18.44140625" style="2" bestFit="1" customWidth="1"/>
    <col min="18" max="16384" width="8.88671875" style="2"/>
  </cols>
  <sheetData>
    <row r="1" spans="1:17" x14ac:dyDescent="0.3">
      <c r="A1" s="2" t="s">
        <v>29</v>
      </c>
      <c r="H1" s="8" t="s">
        <v>38</v>
      </c>
      <c r="L1" s="2" t="s">
        <v>33</v>
      </c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C3" s="21">
        <f>A3*B3</f>
        <v>0</v>
      </c>
      <c r="D3" s="17">
        <v>5</v>
      </c>
      <c r="E3" s="2">
        <v>87</v>
      </c>
      <c r="F3" s="23">
        <f>D3*E3</f>
        <v>435</v>
      </c>
      <c r="G3" s="5"/>
      <c r="H3" s="10"/>
      <c r="I3" s="20">
        <v>250</v>
      </c>
      <c r="L3" s="15">
        <v>1</v>
      </c>
      <c r="M3" s="2">
        <v>2</v>
      </c>
      <c r="N3" s="21">
        <f>L3*M3</f>
        <v>2</v>
      </c>
      <c r="O3" s="17">
        <v>5</v>
      </c>
      <c r="P3" s="2">
        <v>5</v>
      </c>
      <c r="Q3" s="23">
        <f>O3*P3</f>
        <v>25</v>
      </c>
    </row>
    <row r="4" spans="1:17" x14ac:dyDescent="0.3">
      <c r="A4" s="15">
        <v>5</v>
      </c>
      <c r="B4" s="2">
        <v>10</v>
      </c>
      <c r="C4" s="21">
        <f t="shared" ref="C4:C8" si="0">A4*B4</f>
        <v>50</v>
      </c>
      <c r="D4" s="17">
        <v>10</v>
      </c>
      <c r="E4" s="2">
        <v>101</v>
      </c>
      <c r="F4" s="23">
        <f t="shared" ref="F4:F7" si="1">D4*E4</f>
        <v>1010</v>
      </c>
      <c r="G4" s="5"/>
      <c r="H4" s="10"/>
      <c r="I4" s="20">
        <v>-400</v>
      </c>
      <c r="L4" s="15">
        <v>5</v>
      </c>
      <c r="M4" s="2">
        <v>21</v>
      </c>
      <c r="N4" s="21">
        <f t="shared" ref="N4:N8" si="2">L4*M4</f>
        <v>105</v>
      </c>
      <c r="O4" s="17">
        <v>10</v>
      </c>
      <c r="P4" s="2">
        <v>46</v>
      </c>
      <c r="Q4" s="23">
        <f t="shared" ref="Q4:Q7" si="3">O4*P4</f>
        <v>460</v>
      </c>
    </row>
    <row r="5" spans="1:17" x14ac:dyDescent="0.3">
      <c r="A5" s="15">
        <v>10</v>
      </c>
      <c r="B5" s="2">
        <v>30</v>
      </c>
      <c r="C5" s="21">
        <f t="shared" si="0"/>
        <v>300</v>
      </c>
      <c r="D5" s="17">
        <v>20</v>
      </c>
      <c r="E5" s="2">
        <v>24</v>
      </c>
      <c r="F5" s="23">
        <f t="shared" si="1"/>
        <v>480</v>
      </c>
      <c r="G5" s="5"/>
      <c r="H5" s="10"/>
      <c r="I5" s="20"/>
      <c r="L5" s="15">
        <v>10</v>
      </c>
      <c r="M5" s="2">
        <v>31</v>
      </c>
      <c r="N5" s="21">
        <f t="shared" si="2"/>
        <v>310</v>
      </c>
      <c r="O5" s="17">
        <v>20</v>
      </c>
      <c r="P5" s="2">
        <v>18</v>
      </c>
      <c r="Q5" s="23">
        <f t="shared" si="3"/>
        <v>360</v>
      </c>
    </row>
    <row r="6" spans="1:17" x14ac:dyDescent="0.3">
      <c r="A6" s="15">
        <v>20</v>
      </c>
      <c r="B6" s="2">
        <v>1</v>
      </c>
      <c r="C6" s="21">
        <f t="shared" si="0"/>
        <v>20</v>
      </c>
      <c r="D6" s="17">
        <v>50</v>
      </c>
      <c r="E6" s="2">
        <v>7</v>
      </c>
      <c r="F6" s="23">
        <f t="shared" si="1"/>
        <v>350</v>
      </c>
      <c r="G6" s="5"/>
      <c r="H6" s="10"/>
      <c r="I6" s="20"/>
      <c r="L6" s="15">
        <v>20</v>
      </c>
      <c r="M6" s="2">
        <v>3</v>
      </c>
      <c r="N6" s="21">
        <f t="shared" si="2"/>
        <v>60</v>
      </c>
      <c r="O6" s="17">
        <v>50</v>
      </c>
      <c r="P6" s="2">
        <v>8</v>
      </c>
      <c r="Q6" s="23">
        <f t="shared" si="3"/>
        <v>400</v>
      </c>
    </row>
    <row r="7" spans="1:17" x14ac:dyDescent="0.3">
      <c r="A7" s="15">
        <v>50</v>
      </c>
      <c r="C7" s="21">
        <f t="shared" si="0"/>
        <v>0</v>
      </c>
      <c r="D7" s="17">
        <v>100</v>
      </c>
      <c r="E7" s="2">
        <v>22</v>
      </c>
      <c r="F7" s="23">
        <f t="shared" si="1"/>
        <v>2200</v>
      </c>
      <c r="G7" s="5"/>
      <c r="H7" s="10"/>
      <c r="I7" s="20"/>
      <c r="L7" s="15">
        <v>50</v>
      </c>
      <c r="N7" s="21">
        <f t="shared" si="2"/>
        <v>0</v>
      </c>
      <c r="O7" s="17">
        <v>100</v>
      </c>
      <c r="P7" s="2">
        <v>62</v>
      </c>
      <c r="Q7" s="23">
        <f t="shared" si="3"/>
        <v>6200</v>
      </c>
    </row>
    <row r="8" spans="1:17" x14ac:dyDescent="0.3">
      <c r="A8" s="15">
        <v>100</v>
      </c>
      <c r="B8" s="2">
        <v>2</v>
      </c>
      <c r="C8" s="21">
        <f t="shared" si="0"/>
        <v>200</v>
      </c>
      <c r="D8" s="1" t="s">
        <v>1</v>
      </c>
      <c r="E8" s="1"/>
      <c r="F8" s="19">
        <f>SUM(F3:F7)</f>
        <v>4475</v>
      </c>
      <c r="G8" s="5"/>
      <c r="H8" s="10"/>
      <c r="I8" s="20"/>
      <c r="L8" s="15">
        <v>100</v>
      </c>
      <c r="M8" s="2">
        <v>5</v>
      </c>
      <c r="N8" s="21">
        <f t="shared" si="2"/>
        <v>500</v>
      </c>
      <c r="O8" s="1" t="s">
        <v>1</v>
      </c>
      <c r="P8" s="1"/>
      <c r="Q8" s="19">
        <f>SUM(Q3:Q7)</f>
        <v>7445</v>
      </c>
    </row>
    <row r="9" spans="1:17" x14ac:dyDescent="0.3">
      <c r="A9" s="1" t="s">
        <v>1</v>
      </c>
      <c r="B9" s="1"/>
      <c r="C9" s="22">
        <f>SUM(C3:C8)</f>
        <v>570</v>
      </c>
      <c r="H9" s="10"/>
      <c r="I9" s="20"/>
      <c r="L9" s="1" t="s">
        <v>1</v>
      </c>
      <c r="M9" s="1"/>
      <c r="N9" s="22">
        <f>SUM(N3:N8)</f>
        <v>977</v>
      </c>
      <c r="Q9" s="20"/>
    </row>
    <row r="10" spans="1:17" x14ac:dyDescent="0.3">
      <c r="H10" s="10"/>
      <c r="I10" s="20"/>
      <c r="N10" s="27"/>
      <c r="O10" s="1" t="s">
        <v>40</v>
      </c>
      <c r="P10" s="1"/>
      <c r="Q10" s="24">
        <f>SUM(Table1345[اللبناني])</f>
        <v>-150</v>
      </c>
    </row>
    <row r="11" spans="1:17" x14ac:dyDescent="0.3">
      <c r="H11" s="10"/>
      <c r="I11" s="20"/>
      <c r="L11" s="1" t="s">
        <v>39</v>
      </c>
      <c r="M11" s="1"/>
      <c r="N11" s="12">
        <f>SUM(Table1345[الدولار])</f>
        <v>0</v>
      </c>
      <c r="Q11" s="20"/>
    </row>
    <row r="12" spans="1:17" x14ac:dyDescent="0.3">
      <c r="H12" s="10"/>
      <c r="I12" s="20"/>
      <c r="N12" s="27"/>
      <c r="O12" s="1" t="s">
        <v>27</v>
      </c>
      <c r="P12" s="1"/>
      <c r="Q12" s="24">
        <f>Q8-Q10-F8</f>
        <v>3120</v>
      </c>
    </row>
    <row r="13" spans="1:17" x14ac:dyDescent="0.3">
      <c r="C13" s="14"/>
      <c r="D13" s="14"/>
      <c r="F13" s="14"/>
      <c r="H13" s="10"/>
      <c r="I13" s="20"/>
      <c r="L13" s="1" t="s">
        <v>27</v>
      </c>
      <c r="M13" s="1"/>
      <c r="N13" s="12">
        <f>N9-N11-C9</f>
        <v>407</v>
      </c>
    </row>
    <row r="14" spans="1:17" x14ac:dyDescent="0.3">
      <c r="C14" s="14"/>
      <c r="D14" s="14"/>
      <c r="F14" s="14"/>
      <c r="H14" s="10"/>
      <c r="I14" s="18"/>
    </row>
    <row r="15" spans="1:17" x14ac:dyDescent="0.3">
      <c r="C15" s="14"/>
      <c r="D15" s="14"/>
      <c r="F15" s="14"/>
      <c r="H15" s="10"/>
      <c r="I15" s="18"/>
    </row>
    <row r="16" spans="1:17" x14ac:dyDescent="0.3">
      <c r="C16" s="14"/>
      <c r="D16" s="14"/>
      <c r="F16" s="14"/>
      <c r="H16" s="10"/>
      <c r="I16" s="18"/>
    </row>
    <row r="17" spans="3:9" x14ac:dyDescent="0.3">
      <c r="C17" s="14"/>
      <c r="D17" s="14"/>
      <c r="F17" s="14"/>
      <c r="H17" s="10"/>
      <c r="I17" s="20"/>
    </row>
    <row r="18" spans="3:9" x14ac:dyDescent="0.3">
      <c r="C18" s="14"/>
      <c r="F18" s="14"/>
      <c r="H18" s="10"/>
      <c r="I18" s="20"/>
    </row>
    <row r="19" spans="3:9" x14ac:dyDescent="0.3">
      <c r="C19" s="14"/>
      <c r="H19" s="10"/>
      <c r="I19" s="20"/>
    </row>
    <row r="20" spans="3:9" x14ac:dyDescent="0.3">
      <c r="F20" s="6"/>
      <c r="H20" s="10"/>
      <c r="I20" s="20"/>
    </row>
    <row r="21" spans="3:9" x14ac:dyDescent="0.3">
      <c r="C21" s="6"/>
      <c r="H21" s="10"/>
      <c r="I21" s="20"/>
    </row>
    <row r="22" spans="3:9" x14ac:dyDescent="0.3">
      <c r="F22" s="6"/>
      <c r="H22" s="10"/>
      <c r="I22" s="20"/>
    </row>
    <row r="23" spans="3:9" x14ac:dyDescent="0.3">
      <c r="C23" s="6"/>
      <c r="H23" s="10"/>
      <c r="I23" s="20"/>
    </row>
    <row r="24" spans="3:9" x14ac:dyDescent="0.3">
      <c r="H24" s="10"/>
      <c r="I24" s="20"/>
    </row>
    <row r="25" spans="3:9" x14ac:dyDescent="0.3">
      <c r="H25" s="10"/>
      <c r="I25" s="20"/>
    </row>
    <row r="26" spans="3:9" x14ac:dyDescent="0.3">
      <c r="H26" s="10"/>
      <c r="I26" s="20"/>
    </row>
    <row r="27" spans="3:9" x14ac:dyDescent="0.3">
      <c r="H27" s="10"/>
      <c r="I27" s="18"/>
    </row>
    <row r="28" spans="3:9" x14ac:dyDescent="0.3">
      <c r="I28" s="18"/>
    </row>
    <row r="29" spans="3:9" x14ac:dyDescent="0.3">
      <c r="I29" s="18"/>
    </row>
    <row r="30" spans="3:9" x14ac:dyDescent="0.3">
      <c r="I30" s="18"/>
    </row>
    <row r="31" spans="3:9" x14ac:dyDescent="0.3">
      <c r="I31" s="18"/>
    </row>
    <row r="32" spans="3:9" x14ac:dyDescent="0.3">
      <c r="I32" s="18"/>
    </row>
    <row r="33" spans="9:9" x14ac:dyDescent="0.3">
      <c r="I33" s="18"/>
    </row>
    <row r="34" spans="9:9" x14ac:dyDescent="0.3">
      <c r="I34" s="18"/>
    </row>
    <row r="35" spans="9:9" x14ac:dyDescent="0.3">
      <c r="I35" s="18"/>
    </row>
    <row r="36" spans="9:9" x14ac:dyDescent="0.3">
      <c r="I36" s="18"/>
    </row>
    <row r="37" spans="9:9" x14ac:dyDescent="0.3">
      <c r="I37" s="18"/>
    </row>
    <row r="38" spans="9:9" x14ac:dyDescent="0.3">
      <c r="I38" s="18"/>
    </row>
    <row r="39" spans="9:9" x14ac:dyDescent="0.3">
      <c r="I39" s="18"/>
    </row>
    <row r="40" spans="9:9" x14ac:dyDescent="0.3">
      <c r="I40" s="18"/>
    </row>
    <row r="41" spans="9:9" x14ac:dyDescent="0.3">
      <c r="I41" s="18"/>
    </row>
    <row r="42" spans="9:9" x14ac:dyDescent="0.3">
      <c r="I42" s="18"/>
    </row>
    <row r="43" spans="9:9" x14ac:dyDescent="0.3">
      <c r="I43" s="18"/>
    </row>
    <row r="44" spans="9:9" x14ac:dyDescent="0.3">
      <c r="I44" s="18"/>
    </row>
    <row r="45" spans="9:9" x14ac:dyDescent="0.3">
      <c r="I45" s="18"/>
    </row>
    <row r="46" spans="9:9" x14ac:dyDescent="0.3">
      <c r="I46" s="18"/>
    </row>
    <row r="47" spans="9:9" x14ac:dyDescent="0.3">
      <c r="I47" s="18"/>
    </row>
    <row r="48" spans="9:9" x14ac:dyDescent="0.3">
      <c r="I48" s="18"/>
    </row>
    <row r="49" spans="9:9" x14ac:dyDescent="0.3">
      <c r="I49" s="18"/>
    </row>
    <row r="50" spans="9:9" x14ac:dyDescent="0.3">
      <c r="I50" s="18"/>
    </row>
    <row r="51" spans="9:9" x14ac:dyDescent="0.3">
      <c r="I51" s="18"/>
    </row>
    <row r="52" spans="9:9" x14ac:dyDescent="0.3">
      <c r="I52" s="18"/>
    </row>
    <row r="53" spans="9:9" x14ac:dyDescent="0.3">
      <c r="I53" s="18"/>
    </row>
    <row r="54" spans="9:9" x14ac:dyDescent="0.3">
      <c r="I54" s="18"/>
    </row>
    <row r="55" spans="9:9" x14ac:dyDescent="0.3">
      <c r="I55" s="18"/>
    </row>
    <row r="56" spans="9:9" x14ac:dyDescent="0.3">
      <c r="I56" s="18"/>
    </row>
    <row r="57" spans="9:9" x14ac:dyDescent="0.3">
      <c r="I57" s="18"/>
    </row>
    <row r="58" spans="9:9" x14ac:dyDescent="0.3">
      <c r="I58" s="18"/>
    </row>
    <row r="59" spans="9:9" x14ac:dyDescent="0.3">
      <c r="I59" s="18"/>
    </row>
    <row r="60" spans="9:9" x14ac:dyDescent="0.3">
      <c r="I60" s="18"/>
    </row>
    <row r="61" spans="9:9" x14ac:dyDescent="0.3">
      <c r="I61" s="18"/>
    </row>
    <row r="62" spans="9:9" x14ac:dyDescent="0.3">
      <c r="I62" s="18"/>
    </row>
    <row r="63" spans="9:9" x14ac:dyDescent="0.3">
      <c r="I63" s="18"/>
    </row>
    <row r="64" spans="9:9" x14ac:dyDescent="0.3">
      <c r="I64" s="18"/>
    </row>
    <row r="65" spans="9:9" x14ac:dyDescent="0.3">
      <c r="I65" s="18"/>
    </row>
    <row r="66" spans="9:9" x14ac:dyDescent="0.3">
      <c r="I66" s="18"/>
    </row>
    <row r="67" spans="9:9" x14ac:dyDescent="0.3">
      <c r="I67" s="18"/>
    </row>
    <row r="68" spans="9:9" x14ac:dyDescent="0.3">
      <c r="I68" s="18"/>
    </row>
    <row r="69" spans="9:9" x14ac:dyDescent="0.3">
      <c r="I69" s="18"/>
    </row>
    <row r="70" spans="9:9" x14ac:dyDescent="0.3">
      <c r="I70" s="18"/>
    </row>
    <row r="71" spans="9:9" x14ac:dyDescent="0.3">
      <c r="I71" s="18"/>
    </row>
    <row r="72" spans="9:9" x14ac:dyDescent="0.3">
      <c r="I72" s="18"/>
    </row>
    <row r="73" spans="9:9" x14ac:dyDescent="0.3">
      <c r="I73" s="18"/>
    </row>
    <row r="74" spans="9:9" x14ac:dyDescent="0.3">
      <c r="I74" s="18"/>
    </row>
    <row r="75" spans="9:9" x14ac:dyDescent="0.3">
      <c r="I75" s="18"/>
    </row>
    <row r="76" spans="9:9" x14ac:dyDescent="0.3">
      <c r="I76" s="18"/>
    </row>
    <row r="77" spans="9:9" x14ac:dyDescent="0.3">
      <c r="I77" s="18"/>
    </row>
    <row r="78" spans="9:9" x14ac:dyDescent="0.3">
      <c r="I78" s="18"/>
    </row>
    <row r="79" spans="9:9" x14ac:dyDescent="0.3">
      <c r="I79" s="18"/>
    </row>
    <row r="80" spans="9:9" x14ac:dyDescent="0.3">
      <c r="I80" s="18"/>
    </row>
    <row r="81" spans="9:9" x14ac:dyDescent="0.3">
      <c r="I81" s="18"/>
    </row>
    <row r="82" spans="9:9" x14ac:dyDescent="0.3">
      <c r="I82" s="18"/>
    </row>
    <row r="83" spans="9:9" x14ac:dyDescent="0.3">
      <c r="I83" s="18"/>
    </row>
    <row r="84" spans="9:9" x14ac:dyDescent="0.3">
      <c r="I84" s="18"/>
    </row>
    <row r="85" spans="9:9" x14ac:dyDescent="0.3">
      <c r="I85" s="18"/>
    </row>
    <row r="86" spans="9:9" x14ac:dyDescent="0.3">
      <c r="I86" s="18"/>
    </row>
    <row r="87" spans="9:9" x14ac:dyDescent="0.3">
      <c r="I87" s="18"/>
    </row>
    <row r="88" spans="9:9" x14ac:dyDescent="0.3">
      <c r="I88" s="18"/>
    </row>
    <row r="89" spans="9:9" x14ac:dyDescent="0.3">
      <c r="I89" s="18"/>
    </row>
    <row r="90" spans="9:9" x14ac:dyDescent="0.3">
      <c r="I90" s="18"/>
    </row>
    <row r="91" spans="9:9" x14ac:dyDescent="0.3">
      <c r="I91" s="18"/>
    </row>
    <row r="92" spans="9:9" x14ac:dyDescent="0.3">
      <c r="I92" s="18"/>
    </row>
    <row r="93" spans="9:9" x14ac:dyDescent="0.3">
      <c r="I93" s="18"/>
    </row>
    <row r="94" spans="9:9" x14ac:dyDescent="0.3">
      <c r="I94" s="18"/>
    </row>
    <row r="95" spans="9:9" x14ac:dyDescent="0.3">
      <c r="I95" s="18"/>
    </row>
    <row r="96" spans="9:9" x14ac:dyDescent="0.3">
      <c r="I96" s="18"/>
    </row>
    <row r="97" spans="9:9" x14ac:dyDescent="0.3">
      <c r="I97" s="18"/>
    </row>
    <row r="98" spans="9:9" x14ac:dyDescent="0.3">
      <c r="I98" s="18"/>
    </row>
    <row r="99" spans="9:9" x14ac:dyDescent="0.3">
      <c r="I99" s="18"/>
    </row>
    <row r="100" spans="9:9" x14ac:dyDescent="0.3">
      <c r="I100" s="18"/>
    </row>
    <row r="101" spans="9:9" x14ac:dyDescent="0.3">
      <c r="I101" s="18"/>
    </row>
    <row r="102" spans="9:9" x14ac:dyDescent="0.3">
      <c r="I102" s="18"/>
    </row>
    <row r="103" spans="9:9" x14ac:dyDescent="0.3">
      <c r="I103" s="18"/>
    </row>
    <row r="104" spans="9:9" x14ac:dyDescent="0.3">
      <c r="I104" s="18"/>
    </row>
    <row r="105" spans="9:9" x14ac:dyDescent="0.3">
      <c r="I105" s="18"/>
    </row>
    <row r="106" spans="9:9" x14ac:dyDescent="0.3">
      <c r="I106" s="18"/>
    </row>
    <row r="107" spans="9:9" x14ac:dyDescent="0.3">
      <c r="I107" s="18"/>
    </row>
    <row r="108" spans="9:9" x14ac:dyDescent="0.3">
      <c r="I108" s="18"/>
    </row>
    <row r="109" spans="9:9" x14ac:dyDescent="0.3">
      <c r="I109" s="18"/>
    </row>
    <row r="110" spans="9:9" x14ac:dyDescent="0.3">
      <c r="I110" s="18"/>
    </row>
    <row r="111" spans="9:9" x14ac:dyDescent="0.3">
      <c r="I111" s="18"/>
    </row>
    <row r="112" spans="9:9" x14ac:dyDescent="0.3">
      <c r="I112" s="18"/>
    </row>
    <row r="113" spans="9:9" x14ac:dyDescent="0.3">
      <c r="I113" s="18"/>
    </row>
    <row r="114" spans="9:9" x14ac:dyDescent="0.3">
      <c r="I114" s="18"/>
    </row>
    <row r="115" spans="9:9" x14ac:dyDescent="0.3">
      <c r="I115" s="18"/>
    </row>
    <row r="116" spans="9:9" x14ac:dyDescent="0.3">
      <c r="I116" s="18"/>
    </row>
    <row r="117" spans="9:9" x14ac:dyDescent="0.3">
      <c r="I117" s="18"/>
    </row>
    <row r="118" spans="9:9" x14ac:dyDescent="0.3">
      <c r="I118" s="18"/>
    </row>
    <row r="119" spans="9:9" x14ac:dyDescent="0.3">
      <c r="I119" s="18"/>
    </row>
    <row r="120" spans="9:9" x14ac:dyDescent="0.3">
      <c r="I120" s="18"/>
    </row>
    <row r="121" spans="9:9" x14ac:dyDescent="0.3">
      <c r="I121" s="18"/>
    </row>
    <row r="122" spans="9:9" x14ac:dyDescent="0.3">
      <c r="I122" s="18"/>
    </row>
    <row r="123" spans="9:9" x14ac:dyDescent="0.3">
      <c r="I123" s="18"/>
    </row>
    <row r="124" spans="9:9" x14ac:dyDescent="0.3">
      <c r="I124" s="18"/>
    </row>
    <row r="125" spans="9:9" x14ac:dyDescent="0.3">
      <c r="I125" s="18"/>
    </row>
    <row r="126" spans="9:9" x14ac:dyDescent="0.3">
      <c r="I126" s="18"/>
    </row>
    <row r="127" spans="9:9" x14ac:dyDescent="0.3">
      <c r="I127" s="18"/>
    </row>
    <row r="128" spans="9:9" x14ac:dyDescent="0.3">
      <c r="I128" s="18"/>
    </row>
    <row r="129" spans="9:9" x14ac:dyDescent="0.3">
      <c r="I129" s="18"/>
    </row>
    <row r="130" spans="9:9" x14ac:dyDescent="0.3">
      <c r="I130" s="18"/>
    </row>
    <row r="131" spans="9:9" x14ac:dyDescent="0.3">
      <c r="I131" s="18"/>
    </row>
    <row r="132" spans="9:9" x14ac:dyDescent="0.3">
      <c r="I132" s="18"/>
    </row>
    <row r="133" spans="9:9" x14ac:dyDescent="0.3">
      <c r="I133" s="18"/>
    </row>
    <row r="134" spans="9:9" x14ac:dyDescent="0.3">
      <c r="I134" s="18"/>
    </row>
    <row r="135" spans="9:9" x14ac:dyDescent="0.3">
      <c r="I135" s="18"/>
    </row>
    <row r="136" spans="9:9" x14ac:dyDescent="0.3">
      <c r="I136" s="18"/>
    </row>
    <row r="137" spans="9:9" x14ac:dyDescent="0.3">
      <c r="I137" s="18"/>
    </row>
    <row r="138" spans="9:9" x14ac:dyDescent="0.3">
      <c r="I138" s="18"/>
    </row>
    <row r="139" spans="9:9" x14ac:dyDescent="0.3">
      <c r="I139" s="18"/>
    </row>
    <row r="140" spans="9:9" x14ac:dyDescent="0.3">
      <c r="I140" s="18"/>
    </row>
    <row r="141" spans="9:9" x14ac:dyDescent="0.3">
      <c r="I141" s="18"/>
    </row>
    <row r="142" spans="9:9" x14ac:dyDescent="0.3">
      <c r="I142" s="18"/>
    </row>
    <row r="143" spans="9:9" x14ac:dyDescent="0.3">
      <c r="I143" s="18"/>
    </row>
    <row r="144" spans="9:9" x14ac:dyDescent="0.3">
      <c r="I144" s="18"/>
    </row>
    <row r="145" spans="9:9" x14ac:dyDescent="0.3">
      <c r="I145" s="18"/>
    </row>
    <row r="146" spans="9:9" x14ac:dyDescent="0.3">
      <c r="I146" s="18"/>
    </row>
    <row r="147" spans="9:9" x14ac:dyDescent="0.3">
      <c r="I147" s="18"/>
    </row>
    <row r="148" spans="9:9" x14ac:dyDescent="0.3">
      <c r="I148" s="18"/>
    </row>
    <row r="149" spans="9:9" x14ac:dyDescent="0.3">
      <c r="I149" s="18"/>
    </row>
    <row r="150" spans="9:9" x14ac:dyDescent="0.3">
      <c r="I150" s="18"/>
    </row>
    <row r="151" spans="9:9" x14ac:dyDescent="0.3">
      <c r="I151" s="18"/>
    </row>
    <row r="152" spans="9:9" x14ac:dyDescent="0.3">
      <c r="I152" s="18"/>
    </row>
    <row r="153" spans="9:9" x14ac:dyDescent="0.3">
      <c r="I153" s="18"/>
    </row>
    <row r="154" spans="9:9" x14ac:dyDescent="0.3">
      <c r="I154" s="18"/>
    </row>
    <row r="155" spans="9:9" x14ac:dyDescent="0.3">
      <c r="I155" s="18"/>
    </row>
    <row r="156" spans="9:9" x14ac:dyDescent="0.3">
      <c r="I156" s="18"/>
    </row>
    <row r="157" spans="9:9" x14ac:dyDescent="0.3">
      <c r="I157" s="18"/>
    </row>
    <row r="158" spans="9:9" x14ac:dyDescent="0.3">
      <c r="I158" s="18"/>
    </row>
    <row r="159" spans="9:9" x14ac:dyDescent="0.3">
      <c r="I159" s="18"/>
    </row>
    <row r="160" spans="9:9" x14ac:dyDescent="0.3">
      <c r="I160" s="18"/>
    </row>
    <row r="161" spans="9:9" x14ac:dyDescent="0.3">
      <c r="I161" s="18"/>
    </row>
    <row r="162" spans="9:9" x14ac:dyDescent="0.3">
      <c r="I162" s="18"/>
    </row>
    <row r="163" spans="9:9" x14ac:dyDescent="0.3">
      <c r="I163" s="18"/>
    </row>
    <row r="164" spans="9:9" x14ac:dyDescent="0.3">
      <c r="I164" s="18"/>
    </row>
    <row r="165" spans="9:9" x14ac:dyDescent="0.3">
      <c r="I165" s="18"/>
    </row>
    <row r="166" spans="9:9" x14ac:dyDescent="0.3">
      <c r="I166" s="18"/>
    </row>
    <row r="167" spans="9:9" x14ac:dyDescent="0.3">
      <c r="I167" s="18"/>
    </row>
    <row r="168" spans="9:9" x14ac:dyDescent="0.3">
      <c r="I168" s="18"/>
    </row>
    <row r="169" spans="9:9" x14ac:dyDescent="0.3">
      <c r="I169" s="18"/>
    </row>
    <row r="170" spans="9:9" x14ac:dyDescent="0.3">
      <c r="I170" s="18"/>
    </row>
    <row r="171" spans="9:9" x14ac:dyDescent="0.3">
      <c r="I171" s="18"/>
    </row>
    <row r="172" spans="9:9" x14ac:dyDescent="0.3">
      <c r="I172" s="18"/>
    </row>
    <row r="173" spans="9:9" x14ac:dyDescent="0.3">
      <c r="I173" s="18"/>
    </row>
    <row r="174" spans="9:9" x14ac:dyDescent="0.3">
      <c r="I174" s="18"/>
    </row>
    <row r="175" spans="9:9" x14ac:dyDescent="0.3">
      <c r="I175" s="18"/>
    </row>
    <row r="176" spans="9:9" x14ac:dyDescent="0.3">
      <c r="I176" s="18"/>
    </row>
    <row r="177" spans="9:9" x14ac:dyDescent="0.3">
      <c r="I177" s="18"/>
    </row>
    <row r="178" spans="9:9" x14ac:dyDescent="0.3">
      <c r="I178" s="18"/>
    </row>
    <row r="179" spans="9:9" x14ac:dyDescent="0.3">
      <c r="I179" s="18"/>
    </row>
    <row r="180" spans="9:9" x14ac:dyDescent="0.3">
      <c r="I180" s="18"/>
    </row>
    <row r="181" spans="9:9" x14ac:dyDescent="0.3">
      <c r="I181" s="18"/>
    </row>
    <row r="182" spans="9:9" x14ac:dyDescent="0.3">
      <c r="I182" s="18"/>
    </row>
    <row r="183" spans="9:9" x14ac:dyDescent="0.3">
      <c r="I183" s="18"/>
    </row>
    <row r="184" spans="9:9" x14ac:dyDescent="0.3">
      <c r="I184" s="18"/>
    </row>
    <row r="185" spans="9:9" x14ac:dyDescent="0.3">
      <c r="I185" s="18"/>
    </row>
    <row r="186" spans="9:9" x14ac:dyDescent="0.3">
      <c r="I186" s="18"/>
    </row>
    <row r="187" spans="9:9" x14ac:dyDescent="0.3">
      <c r="I187" s="18"/>
    </row>
    <row r="188" spans="9:9" x14ac:dyDescent="0.3">
      <c r="I188" s="18"/>
    </row>
    <row r="189" spans="9:9" x14ac:dyDescent="0.3">
      <c r="I189" s="18"/>
    </row>
    <row r="190" spans="9:9" x14ac:dyDescent="0.3">
      <c r="I190" s="18"/>
    </row>
    <row r="191" spans="9:9" x14ac:dyDescent="0.3">
      <c r="I191" s="18"/>
    </row>
    <row r="192" spans="9:9" x14ac:dyDescent="0.3">
      <c r="I192" s="18"/>
    </row>
    <row r="193" spans="9:9" x14ac:dyDescent="0.3">
      <c r="I193" s="18"/>
    </row>
    <row r="194" spans="9:9" x14ac:dyDescent="0.3">
      <c r="I194" s="18"/>
    </row>
    <row r="195" spans="9:9" x14ac:dyDescent="0.3">
      <c r="I195" s="18"/>
    </row>
    <row r="196" spans="9:9" x14ac:dyDescent="0.3">
      <c r="I196" s="18"/>
    </row>
    <row r="197" spans="9:9" x14ac:dyDescent="0.3">
      <c r="I197" s="18"/>
    </row>
    <row r="198" spans="9:9" x14ac:dyDescent="0.3">
      <c r="I198" s="18"/>
    </row>
    <row r="199" spans="9:9" x14ac:dyDescent="0.3">
      <c r="I199" s="18"/>
    </row>
    <row r="200" spans="9:9" x14ac:dyDescent="0.3">
      <c r="I200" s="18"/>
    </row>
    <row r="201" spans="9:9" x14ac:dyDescent="0.3">
      <c r="I201" s="18"/>
    </row>
    <row r="202" spans="9:9" x14ac:dyDescent="0.3">
      <c r="I202" s="18"/>
    </row>
    <row r="203" spans="9:9" x14ac:dyDescent="0.3">
      <c r="I203" s="18"/>
    </row>
    <row r="204" spans="9:9" x14ac:dyDescent="0.3">
      <c r="I204" s="18"/>
    </row>
    <row r="205" spans="9:9" x14ac:dyDescent="0.3">
      <c r="I205" s="18"/>
    </row>
    <row r="206" spans="9:9" x14ac:dyDescent="0.3">
      <c r="I206" s="18"/>
    </row>
    <row r="207" spans="9:9" x14ac:dyDescent="0.3">
      <c r="I207" s="18"/>
    </row>
    <row r="208" spans="9:9" x14ac:dyDescent="0.3">
      <c r="I208" s="18"/>
    </row>
    <row r="209" spans="9:9" x14ac:dyDescent="0.3">
      <c r="I209" s="18"/>
    </row>
    <row r="210" spans="9:9" x14ac:dyDescent="0.3">
      <c r="I210" s="18"/>
    </row>
    <row r="211" spans="9:9" x14ac:dyDescent="0.3">
      <c r="I211" s="18"/>
    </row>
    <row r="212" spans="9:9" x14ac:dyDescent="0.3">
      <c r="I212" s="18"/>
    </row>
    <row r="213" spans="9:9" x14ac:dyDescent="0.3">
      <c r="I213" s="18"/>
    </row>
    <row r="214" spans="9:9" x14ac:dyDescent="0.3">
      <c r="I214" s="18"/>
    </row>
    <row r="215" spans="9:9" x14ac:dyDescent="0.3">
      <c r="I215" s="18"/>
    </row>
    <row r="216" spans="9:9" x14ac:dyDescent="0.3">
      <c r="I216" s="18"/>
    </row>
    <row r="217" spans="9:9" x14ac:dyDescent="0.3">
      <c r="I217" s="18"/>
    </row>
    <row r="218" spans="9:9" x14ac:dyDescent="0.3">
      <c r="I218" s="18"/>
    </row>
    <row r="219" spans="9:9" x14ac:dyDescent="0.3">
      <c r="I219" s="18"/>
    </row>
    <row r="220" spans="9:9" x14ac:dyDescent="0.3">
      <c r="I220" s="18"/>
    </row>
    <row r="221" spans="9:9" x14ac:dyDescent="0.3">
      <c r="I221" s="18"/>
    </row>
    <row r="222" spans="9:9" x14ac:dyDescent="0.3">
      <c r="I222" s="18"/>
    </row>
    <row r="223" spans="9:9" x14ac:dyDescent="0.3">
      <c r="I223" s="18"/>
    </row>
    <row r="224" spans="9:9" x14ac:dyDescent="0.3">
      <c r="I224" s="18"/>
    </row>
    <row r="225" spans="9:9" x14ac:dyDescent="0.3">
      <c r="I225" s="18"/>
    </row>
    <row r="226" spans="9:9" x14ac:dyDescent="0.3">
      <c r="I226" s="18"/>
    </row>
    <row r="227" spans="9:9" x14ac:dyDescent="0.3">
      <c r="I227" s="18"/>
    </row>
    <row r="228" spans="9:9" x14ac:dyDescent="0.3">
      <c r="I228" s="18"/>
    </row>
    <row r="229" spans="9:9" x14ac:dyDescent="0.3">
      <c r="I229" s="18"/>
    </row>
    <row r="230" spans="9:9" x14ac:dyDescent="0.3">
      <c r="I230" s="18"/>
    </row>
    <row r="231" spans="9:9" x14ac:dyDescent="0.3">
      <c r="I231" s="18"/>
    </row>
    <row r="232" spans="9:9" x14ac:dyDescent="0.3">
      <c r="I232" s="18"/>
    </row>
    <row r="233" spans="9:9" x14ac:dyDescent="0.3">
      <c r="I233" s="18"/>
    </row>
    <row r="234" spans="9:9" x14ac:dyDescent="0.3">
      <c r="I234" s="18"/>
    </row>
    <row r="235" spans="9:9" x14ac:dyDescent="0.3">
      <c r="I235" s="18"/>
    </row>
    <row r="236" spans="9:9" x14ac:dyDescent="0.3">
      <c r="I236" s="18"/>
    </row>
    <row r="237" spans="9:9" x14ac:dyDescent="0.3">
      <c r="I237" s="18"/>
    </row>
    <row r="238" spans="9:9" x14ac:dyDescent="0.3">
      <c r="I238" s="18"/>
    </row>
    <row r="239" spans="9:9" x14ac:dyDescent="0.3">
      <c r="I239" s="18"/>
    </row>
    <row r="240" spans="9:9" x14ac:dyDescent="0.3">
      <c r="I240" s="18"/>
    </row>
    <row r="241" spans="9:9" x14ac:dyDescent="0.3">
      <c r="I241" s="18"/>
    </row>
    <row r="242" spans="9:9" x14ac:dyDescent="0.3">
      <c r="I242" s="18"/>
    </row>
    <row r="243" spans="9:9" x14ac:dyDescent="0.3">
      <c r="I243" s="18"/>
    </row>
    <row r="244" spans="9:9" x14ac:dyDescent="0.3">
      <c r="I244" s="18"/>
    </row>
    <row r="245" spans="9:9" x14ac:dyDescent="0.3">
      <c r="I245" s="18"/>
    </row>
    <row r="246" spans="9:9" x14ac:dyDescent="0.3">
      <c r="I246" s="18"/>
    </row>
    <row r="247" spans="9:9" x14ac:dyDescent="0.3">
      <c r="I247" s="18"/>
    </row>
    <row r="248" spans="9:9" x14ac:dyDescent="0.3">
      <c r="I248" s="18"/>
    </row>
    <row r="249" spans="9:9" x14ac:dyDescent="0.3">
      <c r="I249" s="18"/>
    </row>
    <row r="250" spans="9:9" x14ac:dyDescent="0.3">
      <c r="I250" s="18"/>
    </row>
    <row r="251" spans="9:9" x14ac:dyDescent="0.3">
      <c r="I251" s="18"/>
    </row>
    <row r="252" spans="9:9" x14ac:dyDescent="0.3">
      <c r="I252" s="18"/>
    </row>
    <row r="253" spans="9:9" x14ac:dyDescent="0.3">
      <c r="I253" s="18"/>
    </row>
    <row r="254" spans="9:9" x14ac:dyDescent="0.3">
      <c r="I254" s="18"/>
    </row>
    <row r="255" spans="9:9" x14ac:dyDescent="0.3">
      <c r="I255" s="18"/>
    </row>
    <row r="256" spans="9:9" x14ac:dyDescent="0.3">
      <c r="I256" s="18"/>
    </row>
    <row r="257" spans="9:9" x14ac:dyDescent="0.3">
      <c r="I257" s="18"/>
    </row>
    <row r="258" spans="9:9" x14ac:dyDescent="0.3">
      <c r="I258" s="18"/>
    </row>
    <row r="259" spans="9:9" x14ac:dyDescent="0.3">
      <c r="I259" s="18"/>
    </row>
    <row r="260" spans="9:9" x14ac:dyDescent="0.3">
      <c r="I260" s="18"/>
    </row>
    <row r="261" spans="9:9" x14ac:dyDescent="0.3">
      <c r="I261" s="18"/>
    </row>
    <row r="262" spans="9:9" x14ac:dyDescent="0.3">
      <c r="I262" s="18"/>
    </row>
    <row r="263" spans="9:9" x14ac:dyDescent="0.3">
      <c r="I263" s="18"/>
    </row>
    <row r="264" spans="9:9" x14ac:dyDescent="0.3">
      <c r="I264" s="18"/>
    </row>
    <row r="265" spans="9:9" x14ac:dyDescent="0.3">
      <c r="I265" s="18"/>
    </row>
    <row r="266" spans="9:9" x14ac:dyDescent="0.3">
      <c r="I266" s="18"/>
    </row>
    <row r="267" spans="9:9" x14ac:dyDescent="0.3">
      <c r="I267" s="18"/>
    </row>
    <row r="268" spans="9:9" x14ac:dyDescent="0.3">
      <c r="I268" s="18"/>
    </row>
    <row r="269" spans="9:9" x14ac:dyDescent="0.3">
      <c r="I269" s="18"/>
    </row>
    <row r="270" spans="9:9" x14ac:dyDescent="0.3">
      <c r="I270" s="18"/>
    </row>
    <row r="271" spans="9:9" x14ac:dyDescent="0.3">
      <c r="I271" s="18"/>
    </row>
    <row r="272" spans="9:9" x14ac:dyDescent="0.3">
      <c r="I272" s="18"/>
    </row>
    <row r="273" spans="9:9" x14ac:dyDescent="0.3">
      <c r="I273" s="18"/>
    </row>
    <row r="274" spans="9:9" x14ac:dyDescent="0.3">
      <c r="I274" s="18"/>
    </row>
    <row r="275" spans="9:9" x14ac:dyDescent="0.3">
      <c r="I275" s="18"/>
    </row>
    <row r="276" spans="9:9" x14ac:dyDescent="0.3">
      <c r="I276" s="18"/>
    </row>
    <row r="277" spans="9:9" x14ac:dyDescent="0.3">
      <c r="I277" s="18"/>
    </row>
    <row r="278" spans="9:9" x14ac:dyDescent="0.3">
      <c r="I278" s="18"/>
    </row>
    <row r="279" spans="9:9" x14ac:dyDescent="0.3">
      <c r="I279" s="18"/>
    </row>
    <row r="280" spans="9:9" x14ac:dyDescent="0.3">
      <c r="I280" s="18"/>
    </row>
    <row r="281" spans="9:9" x14ac:dyDescent="0.3">
      <c r="I281" s="18"/>
    </row>
    <row r="282" spans="9:9" x14ac:dyDescent="0.3">
      <c r="I282" s="18"/>
    </row>
    <row r="283" spans="9:9" x14ac:dyDescent="0.3">
      <c r="I283" s="18"/>
    </row>
    <row r="284" spans="9:9" x14ac:dyDescent="0.3">
      <c r="I284" s="18"/>
    </row>
    <row r="285" spans="9:9" x14ac:dyDescent="0.3">
      <c r="I285" s="18"/>
    </row>
    <row r="286" spans="9:9" x14ac:dyDescent="0.3">
      <c r="I286" s="18"/>
    </row>
    <row r="287" spans="9:9" x14ac:dyDescent="0.3">
      <c r="I287" s="18"/>
    </row>
    <row r="288" spans="9:9" x14ac:dyDescent="0.3">
      <c r="I288" s="18"/>
    </row>
    <row r="289" spans="9:9" x14ac:dyDescent="0.3">
      <c r="I289" s="18"/>
    </row>
    <row r="290" spans="9:9" x14ac:dyDescent="0.3">
      <c r="I290" s="18"/>
    </row>
    <row r="291" spans="9:9" x14ac:dyDescent="0.3">
      <c r="I291" s="18"/>
    </row>
    <row r="292" spans="9:9" x14ac:dyDescent="0.3">
      <c r="I292" s="18"/>
    </row>
    <row r="293" spans="9:9" x14ac:dyDescent="0.3">
      <c r="I293" s="18"/>
    </row>
    <row r="294" spans="9:9" x14ac:dyDescent="0.3">
      <c r="I294" s="18"/>
    </row>
    <row r="295" spans="9:9" x14ac:dyDescent="0.3">
      <c r="I295" s="18"/>
    </row>
    <row r="296" spans="9:9" x14ac:dyDescent="0.3">
      <c r="I296" s="18"/>
    </row>
    <row r="297" spans="9:9" x14ac:dyDescent="0.3">
      <c r="I297" s="18"/>
    </row>
    <row r="298" spans="9:9" x14ac:dyDescent="0.3">
      <c r="I298" s="18"/>
    </row>
    <row r="299" spans="9:9" x14ac:dyDescent="0.3">
      <c r="I299" s="18"/>
    </row>
    <row r="300" spans="9:9" x14ac:dyDescent="0.3">
      <c r="I300" s="18"/>
    </row>
    <row r="301" spans="9:9" x14ac:dyDescent="0.3">
      <c r="I301" s="18"/>
    </row>
    <row r="302" spans="9:9" x14ac:dyDescent="0.3">
      <c r="I302" s="18"/>
    </row>
    <row r="303" spans="9:9" x14ac:dyDescent="0.3">
      <c r="I303" s="18"/>
    </row>
    <row r="304" spans="9:9" x14ac:dyDescent="0.3">
      <c r="I304" s="18"/>
    </row>
    <row r="305" spans="9:9" x14ac:dyDescent="0.3">
      <c r="I305" s="18"/>
    </row>
    <row r="306" spans="9:9" x14ac:dyDescent="0.3">
      <c r="I306" s="18"/>
    </row>
    <row r="307" spans="9:9" x14ac:dyDescent="0.3">
      <c r="I307" s="18"/>
    </row>
    <row r="308" spans="9:9" x14ac:dyDescent="0.3">
      <c r="I308" s="18"/>
    </row>
    <row r="309" spans="9:9" x14ac:dyDescent="0.3">
      <c r="I309" s="18"/>
    </row>
    <row r="310" spans="9:9" x14ac:dyDescent="0.3">
      <c r="I310" s="18"/>
    </row>
    <row r="311" spans="9:9" x14ac:dyDescent="0.3">
      <c r="I311" s="18"/>
    </row>
    <row r="312" spans="9:9" x14ac:dyDescent="0.3">
      <c r="I312" s="18"/>
    </row>
    <row r="313" spans="9:9" x14ac:dyDescent="0.3">
      <c r="I313" s="18"/>
    </row>
    <row r="314" spans="9:9" x14ac:dyDescent="0.3">
      <c r="I314" s="18"/>
    </row>
    <row r="315" spans="9:9" x14ac:dyDescent="0.3">
      <c r="I315" s="18"/>
    </row>
    <row r="316" spans="9:9" x14ac:dyDescent="0.3">
      <c r="I316" s="18"/>
    </row>
    <row r="317" spans="9:9" x14ac:dyDescent="0.3">
      <c r="I317" s="18"/>
    </row>
    <row r="318" spans="9:9" x14ac:dyDescent="0.3">
      <c r="I318" s="18"/>
    </row>
    <row r="319" spans="9:9" x14ac:dyDescent="0.3">
      <c r="I319" s="18"/>
    </row>
    <row r="320" spans="9:9" x14ac:dyDescent="0.3">
      <c r="I320" s="18"/>
    </row>
    <row r="321" spans="9:9" x14ac:dyDescent="0.3">
      <c r="I321" s="18"/>
    </row>
    <row r="322" spans="9:9" x14ac:dyDescent="0.3">
      <c r="I322" s="18"/>
    </row>
    <row r="323" spans="9:9" x14ac:dyDescent="0.3">
      <c r="I323" s="18"/>
    </row>
    <row r="324" spans="9:9" x14ac:dyDescent="0.3">
      <c r="I324" s="18"/>
    </row>
    <row r="325" spans="9:9" x14ac:dyDescent="0.3">
      <c r="I325" s="18"/>
    </row>
    <row r="326" spans="9:9" x14ac:dyDescent="0.3">
      <c r="I326" s="18"/>
    </row>
    <row r="327" spans="9:9" x14ac:dyDescent="0.3">
      <c r="I327" s="18"/>
    </row>
    <row r="328" spans="9:9" x14ac:dyDescent="0.3">
      <c r="I328" s="18"/>
    </row>
    <row r="329" spans="9:9" x14ac:dyDescent="0.3">
      <c r="I329" s="18"/>
    </row>
    <row r="330" spans="9:9" x14ac:dyDescent="0.3">
      <c r="I330" s="18"/>
    </row>
    <row r="331" spans="9:9" x14ac:dyDescent="0.3">
      <c r="I331" s="18"/>
    </row>
    <row r="332" spans="9:9" x14ac:dyDescent="0.3">
      <c r="I332" s="18"/>
    </row>
    <row r="333" spans="9:9" x14ac:dyDescent="0.3">
      <c r="I333" s="18"/>
    </row>
    <row r="334" spans="9:9" x14ac:dyDescent="0.3">
      <c r="I334" s="18"/>
    </row>
    <row r="335" spans="9:9" x14ac:dyDescent="0.3">
      <c r="I335" s="18"/>
    </row>
    <row r="336" spans="9:9" x14ac:dyDescent="0.3">
      <c r="I336" s="18"/>
    </row>
    <row r="337" spans="9:9" x14ac:dyDescent="0.3">
      <c r="I337" s="18"/>
    </row>
    <row r="338" spans="9:9" x14ac:dyDescent="0.3">
      <c r="I338" s="18"/>
    </row>
    <row r="339" spans="9:9" x14ac:dyDescent="0.3">
      <c r="I339" s="18"/>
    </row>
    <row r="340" spans="9:9" x14ac:dyDescent="0.3">
      <c r="I340" s="18"/>
    </row>
    <row r="341" spans="9:9" x14ac:dyDescent="0.3">
      <c r="I341" s="18"/>
    </row>
    <row r="342" spans="9:9" x14ac:dyDescent="0.3">
      <c r="I342" s="1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77B1-C2FF-4797-BF70-345847B84B16}">
  <sheetPr codeName="Sheet6"/>
  <dimension ref="A1:Q342"/>
  <sheetViews>
    <sheetView rightToLeft="1" zoomScale="113" zoomScaleNormal="113" workbookViewId="0">
      <pane ySplit="13" topLeftCell="A14" activePane="bottomLeft" state="frozen"/>
      <selection pane="bottomLeft" activeCell="J7" sqref="J7"/>
    </sheetView>
  </sheetViews>
  <sheetFormatPr defaultRowHeight="15.6" x14ac:dyDescent="0.3"/>
  <cols>
    <col min="1" max="1" width="12" style="2" bestFit="1" customWidth="1"/>
    <col min="2" max="2" width="5.109375" style="2" bestFit="1" customWidth="1"/>
    <col min="3" max="3" width="7.6640625" style="2" bestFit="1" customWidth="1"/>
    <col min="4" max="4" width="9.109375" style="2" bestFit="1" customWidth="1"/>
    <col min="5" max="5" width="5.109375" style="2" bestFit="1" customWidth="1"/>
    <col min="6" max="6" width="12.88671875" style="2" bestFit="1" customWidth="1"/>
    <col min="7" max="7" width="4.5546875" style="2" customWidth="1"/>
    <col min="8" max="8" width="19.88671875" style="8" customWidth="1"/>
    <col min="9" max="9" width="14.6640625" style="7" bestFit="1" customWidth="1"/>
    <col min="10" max="10" width="8.5546875" style="11" bestFit="1" customWidth="1"/>
    <col min="11" max="11" width="3.77734375" style="6" customWidth="1"/>
    <col min="12" max="12" width="11.44140625" style="2" customWidth="1"/>
    <col min="13" max="13" width="5.109375" style="2" bestFit="1" customWidth="1"/>
    <col min="14" max="14" width="11.5546875" style="2" bestFit="1" customWidth="1"/>
    <col min="15" max="15" width="10.21875" style="2" customWidth="1"/>
    <col min="16" max="16" width="7.77734375" style="2" customWidth="1"/>
    <col min="17" max="17" width="18.44140625" style="2" bestFit="1" customWidth="1"/>
    <col min="18" max="16384" width="8.88671875" style="2"/>
  </cols>
  <sheetData>
    <row r="1" spans="1:17" x14ac:dyDescent="0.3">
      <c r="A1" s="2" t="s">
        <v>29</v>
      </c>
      <c r="H1" s="8" t="s">
        <v>38</v>
      </c>
      <c r="L1" s="2" t="s">
        <v>33</v>
      </c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B3" s="2">
        <v>5</v>
      </c>
      <c r="C3" s="21">
        <f>A3*B3</f>
        <v>5</v>
      </c>
      <c r="D3" s="17">
        <v>5</v>
      </c>
      <c r="E3" s="2">
        <v>5</v>
      </c>
      <c r="F3" s="23">
        <f>D3*E3</f>
        <v>25</v>
      </c>
      <c r="G3" s="5"/>
      <c r="H3" s="10"/>
      <c r="I3" s="20"/>
      <c r="J3" s="11">
        <v>65</v>
      </c>
      <c r="L3" s="15">
        <v>1</v>
      </c>
      <c r="M3" s="2">
        <v>1</v>
      </c>
      <c r="N3" s="21">
        <f>L3*M3</f>
        <v>1</v>
      </c>
      <c r="O3" s="17">
        <v>5</v>
      </c>
      <c r="P3" s="2">
        <v>23</v>
      </c>
      <c r="Q3" s="23">
        <f>O3*P3</f>
        <v>115</v>
      </c>
    </row>
    <row r="4" spans="1:17" x14ac:dyDescent="0.3">
      <c r="A4" s="15">
        <v>5</v>
      </c>
      <c r="B4" s="2">
        <v>20</v>
      </c>
      <c r="C4" s="21">
        <f t="shared" ref="C4:C8" si="0">A4*B4</f>
        <v>100</v>
      </c>
      <c r="D4" s="17">
        <v>10</v>
      </c>
      <c r="E4" s="2">
        <v>46</v>
      </c>
      <c r="F4" s="23">
        <f t="shared" ref="F4:F7" si="1">D4*E4</f>
        <v>460</v>
      </c>
      <c r="G4" s="5"/>
      <c r="H4" s="10"/>
      <c r="I4" s="20">
        <v>100</v>
      </c>
      <c r="J4" s="11">
        <v>10</v>
      </c>
      <c r="L4" s="15">
        <v>5</v>
      </c>
      <c r="M4" s="2">
        <v>17</v>
      </c>
      <c r="N4" s="21">
        <f t="shared" ref="N4:N8" si="2">L4*M4</f>
        <v>85</v>
      </c>
      <c r="O4" s="17">
        <v>10</v>
      </c>
      <c r="P4" s="2">
        <v>20</v>
      </c>
      <c r="Q4" s="23">
        <f t="shared" ref="Q4:Q7" si="3">O4*P4</f>
        <v>200</v>
      </c>
    </row>
    <row r="5" spans="1:17" x14ac:dyDescent="0.3">
      <c r="A5" s="15">
        <v>10</v>
      </c>
      <c r="B5" s="2">
        <v>25</v>
      </c>
      <c r="C5" s="21">
        <f t="shared" si="0"/>
        <v>250</v>
      </c>
      <c r="D5" s="17">
        <v>20</v>
      </c>
      <c r="E5" s="2">
        <v>18</v>
      </c>
      <c r="F5" s="23">
        <f t="shared" si="1"/>
        <v>360</v>
      </c>
      <c r="G5" s="5"/>
      <c r="H5" s="10"/>
      <c r="I5" s="20">
        <v>450</v>
      </c>
      <c r="L5" s="15">
        <v>10</v>
      </c>
      <c r="M5" s="2">
        <v>26</v>
      </c>
      <c r="N5" s="21">
        <f t="shared" si="2"/>
        <v>260</v>
      </c>
      <c r="O5" s="17">
        <v>20</v>
      </c>
      <c r="P5" s="2">
        <v>9</v>
      </c>
      <c r="Q5" s="23">
        <f t="shared" si="3"/>
        <v>180</v>
      </c>
    </row>
    <row r="6" spans="1:17" x14ac:dyDescent="0.3">
      <c r="A6" s="15">
        <v>20</v>
      </c>
      <c r="C6" s="21">
        <f t="shared" si="0"/>
        <v>0</v>
      </c>
      <c r="D6" s="17">
        <v>50</v>
      </c>
      <c r="E6" s="2">
        <v>8</v>
      </c>
      <c r="F6" s="23">
        <f t="shared" si="1"/>
        <v>400</v>
      </c>
      <c r="G6" s="5"/>
      <c r="H6" s="10"/>
      <c r="I6" s="20">
        <v>-600</v>
      </c>
      <c r="J6" s="11">
        <v>10</v>
      </c>
      <c r="L6" s="15">
        <v>20</v>
      </c>
      <c r="M6" s="2">
        <v>4</v>
      </c>
      <c r="N6" s="21">
        <f t="shared" si="2"/>
        <v>80</v>
      </c>
      <c r="O6" s="17">
        <v>50</v>
      </c>
      <c r="P6" s="2">
        <v>8</v>
      </c>
      <c r="Q6" s="23">
        <f t="shared" si="3"/>
        <v>400</v>
      </c>
    </row>
    <row r="7" spans="1:17" x14ac:dyDescent="0.3">
      <c r="A7" s="15">
        <v>50</v>
      </c>
      <c r="C7" s="21">
        <f t="shared" si="0"/>
        <v>0</v>
      </c>
      <c r="D7" s="17">
        <v>100</v>
      </c>
      <c r="E7" s="2">
        <v>33</v>
      </c>
      <c r="F7" s="23">
        <f t="shared" si="1"/>
        <v>3300</v>
      </c>
      <c r="G7" s="5"/>
      <c r="H7" s="10"/>
      <c r="I7" s="20"/>
      <c r="L7" s="15">
        <v>50</v>
      </c>
      <c r="N7" s="21">
        <f t="shared" si="2"/>
        <v>0</v>
      </c>
      <c r="O7" s="17">
        <v>100</v>
      </c>
      <c r="P7" s="2">
        <v>84</v>
      </c>
      <c r="Q7" s="23">
        <f t="shared" si="3"/>
        <v>8400</v>
      </c>
    </row>
    <row r="8" spans="1:17" x14ac:dyDescent="0.3">
      <c r="A8" s="15">
        <v>100</v>
      </c>
      <c r="B8" s="2">
        <v>2</v>
      </c>
      <c r="C8" s="21">
        <f t="shared" si="0"/>
        <v>200</v>
      </c>
      <c r="D8" s="1" t="s">
        <v>1</v>
      </c>
      <c r="E8" s="1"/>
      <c r="F8" s="19">
        <f>SUM(F3:F7)</f>
        <v>4545</v>
      </c>
      <c r="G8" s="5"/>
      <c r="H8" s="10"/>
      <c r="I8" s="20"/>
      <c r="L8" s="15">
        <v>100</v>
      </c>
      <c r="M8" s="2">
        <v>13</v>
      </c>
      <c r="N8" s="21">
        <f t="shared" si="2"/>
        <v>1300</v>
      </c>
      <c r="O8" s="1" t="s">
        <v>1</v>
      </c>
      <c r="P8" s="1"/>
      <c r="Q8" s="19">
        <f>SUM(Q3:Q7)</f>
        <v>9295</v>
      </c>
    </row>
    <row r="9" spans="1:17" x14ac:dyDescent="0.3">
      <c r="A9" s="1" t="s">
        <v>1</v>
      </c>
      <c r="B9" s="1"/>
      <c r="C9" s="22">
        <f>SUM(C3:C8)</f>
        <v>555</v>
      </c>
      <c r="H9" s="10"/>
      <c r="I9" s="20"/>
      <c r="L9" s="1" t="s">
        <v>1</v>
      </c>
      <c r="M9" s="1"/>
      <c r="N9" s="22">
        <f>SUM(N3:N8)</f>
        <v>1726</v>
      </c>
      <c r="Q9" s="20"/>
    </row>
    <row r="10" spans="1:17" x14ac:dyDescent="0.3">
      <c r="H10" s="10"/>
      <c r="I10" s="20"/>
      <c r="N10" s="27"/>
      <c r="O10" s="1" t="s">
        <v>40</v>
      </c>
      <c r="P10" s="1"/>
      <c r="Q10" s="24">
        <f>SUM(Table13456[اللبناني])</f>
        <v>-50</v>
      </c>
    </row>
    <row r="11" spans="1:17" x14ac:dyDescent="0.3">
      <c r="H11" s="10"/>
      <c r="I11" s="20"/>
      <c r="L11" s="1" t="s">
        <v>39</v>
      </c>
      <c r="M11" s="1"/>
      <c r="N11" s="12">
        <f>SUM(Table13456[الدولار])</f>
        <v>85</v>
      </c>
      <c r="Q11" s="20"/>
    </row>
    <row r="12" spans="1:17" x14ac:dyDescent="0.3">
      <c r="H12" s="10"/>
      <c r="I12" s="20"/>
      <c r="N12" s="27"/>
      <c r="O12" s="1" t="s">
        <v>27</v>
      </c>
      <c r="P12" s="1"/>
      <c r="Q12" s="24">
        <f>Q8-Q10-F8</f>
        <v>4800</v>
      </c>
    </row>
    <row r="13" spans="1:17" x14ac:dyDescent="0.3">
      <c r="C13" s="14"/>
      <c r="D13" s="14"/>
      <c r="F13" s="14"/>
      <c r="H13" s="10"/>
      <c r="I13" s="20"/>
      <c r="L13" s="1" t="s">
        <v>27</v>
      </c>
      <c r="M13" s="1"/>
      <c r="N13" s="12">
        <f>N9-N11-C9</f>
        <v>1086</v>
      </c>
    </row>
    <row r="14" spans="1:17" x14ac:dyDescent="0.3">
      <c r="C14" s="14"/>
      <c r="D14" s="14"/>
      <c r="F14" s="14"/>
      <c r="H14" s="10"/>
      <c r="I14" s="18"/>
    </row>
    <row r="15" spans="1:17" x14ac:dyDescent="0.3">
      <c r="C15" s="14"/>
      <c r="D15" s="14"/>
      <c r="F15" s="14"/>
      <c r="H15" s="10"/>
      <c r="I15" s="18"/>
    </row>
    <row r="16" spans="1:17" x14ac:dyDescent="0.3">
      <c r="C16" s="14"/>
      <c r="D16" s="14"/>
      <c r="F16" s="14"/>
      <c r="H16" s="10"/>
      <c r="I16" s="18"/>
    </row>
    <row r="17" spans="3:9" x14ac:dyDescent="0.3">
      <c r="C17" s="14"/>
      <c r="D17" s="14"/>
      <c r="F17" s="14"/>
      <c r="H17" s="10"/>
      <c r="I17" s="20"/>
    </row>
    <row r="18" spans="3:9" x14ac:dyDescent="0.3">
      <c r="C18" s="14"/>
      <c r="F18" s="14"/>
      <c r="H18" s="10"/>
      <c r="I18" s="20"/>
    </row>
    <row r="19" spans="3:9" x14ac:dyDescent="0.3">
      <c r="C19" s="14"/>
      <c r="H19" s="10"/>
      <c r="I19" s="20"/>
    </row>
    <row r="20" spans="3:9" x14ac:dyDescent="0.3">
      <c r="F20" s="6"/>
      <c r="H20" s="10"/>
      <c r="I20" s="20"/>
    </row>
    <row r="21" spans="3:9" x14ac:dyDescent="0.3">
      <c r="C21" s="6"/>
      <c r="H21" s="10"/>
      <c r="I21" s="20"/>
    </row>
    <row r="22" spans="3:9" x14ac:dyDescent="0.3">
      <c r="F22" s="6"/>
      <c r="H22" s="10"/>
      <c r="I22" s="20"/>
    </row>
    <row r="23" spans="3:9" x14ac:dyDescent="0.3">
      <c r="C23" s="6"/>
      <c r="H23" s="10"/>
      <c r="I23" s="20"/>
    </row>
    <row r="24" spans="3:9" x14ac:dyDescent="0.3">
      <c r="H24" s="10"/>
      <c r="I24" s="20"/>
    </row>
    <row r="25" spans="3:9" x14ac:dyDescent="0.3">
      <c r="H25" s="10"/>
      <c r="I25" s="20"/>
    </row>
    <row r="26" spans="3:9" x14ac:dyDescent="0.3">
      <c r="H26" s="10"/>
      <c r="I26" s="20"/>
    </row>
    <row r="27" spans="3:9" x14ac:dyDescent="0.3">
      <c r="H27" s="10"/>
      <c r="I27" s="18"/>
    </row>
    <row r="28" spans="3:9" x14ac:dyDescent="0.3">
      <c r="I28" s="18"/>
    </row>
    <row r="29" spans="3:9" x14ac:dyDescent="0.3">
      <c r="I29" s="18"/>
    </row>
    <row r="30" spans="3:9" x14ac:dyDescent="0.3">
      <c r="I30" s="18"/>
    </row>
    <row r="31" spans="3:9" x14ac:dyDescent="0.3">
      <c r="I31" s="18"/>
    </row>
    <row r="32" spans="3:9" x14ac:dyDescent="0.3">
      <c r="I32" s="18"/>
    </row>
    <row r="33" spans="9:9" x14ac:dyDescent="0.3">
      <c r="I33" s="18"/>
    </row>
    <row r="34" spans="9:9" x14ac:dyDescent="0.3">
      <c r="I34" s="18"/>
    </row>
    <row r="35" spans="9:9" x14ac:dyDescent="0.3">
      <c r="I35" s="18"/>
    </row>
    <row r="36" spans="9:9" x14ac:dyDescent="0.3">
      <c r="I36" s="18"/>
    </row>
    <row r="37" spans="9:9" x14ac:dyDescent="0.3">
      <c r="I37" s="18"/>
    </row>
    <row r="38" spans="9:9" x14ac:dyDescent="0.3">
      <c r="I38" s="18"/>
    </row>
    <row r="39" spans="9:9" x14ac:dyDescent="0.3">
      <c r="I39" s="18"/>
    </row>
    <row r="40" spans="9:9" x14ac:dyDescent="0.3">
      <c r="I40" s="18"/>
    </row>
    <row r="41" spans="9:9" x14ac:dyDescent="0.3">
      <c r="I41" s="18"/>
    </row>
    <row r="42" spans="9:9" x14ac:dyDescent="0.3">
      <c r="I42" s="18"/>
    </row>
    <row r="43" spans="9:9" x14ac:dyDescent="0.3">
      <c r="I43" s="18"/>
    </row>
    <row r="44" spans="9:9" x14ac:dyDescent="0.3">
      <c r="I44" s="18"/>
    </row>
    <row r="45" spans="9:9" x14ac:dyDescent="0.3">
      <c r="I45" s="18"/>
    </row>
    <row r="46" spans="9:9" x14ac:dyDescent="0.3">
      <c r="I46" s="18"/>
    </row>
    <row r="47" spans="9:9" x14ac:dyDescent="0.3">
      <c r="I47" s="18"/>
    </row>
    <row r="48" spans="9:9" x14ac:dyDescent="0.3">
      <c r="I48" s="18"/>
    </row>
    <row r="49" spans="9:9" x14ac:dyDescent="0.3">
      <c r="I49" s="18"/>
    </row>
    <row r="50" spans="9:9" x14ac:dyDescent="0.3">
      <c r="I50" s="18"/>
    </row>
    <row r="51" spans="9:9" x14ac:dyDescent="0.3">
      <c r="I51" s="18"/>
    </row>
    <row r="52" spans="9:9" x14ac:dyDescent="0.3">
      <c r="I52" s="18"/>
    </row>
    <row r="53" spans="9:9" x14ac:dyDescent="0.3">
      <c r="I53" s="18"/>
    </row>
    <row r="54" spans="9:9" x14ac:dyDescent="0.3">
      <c r="I54" s="18"/>
    </row>
    <row r="55" spans="9:9" x14ac:dyDescent="0.3">
      <c r="I55" s="18"/>
    </row>
    <row r="56" spans="9:9" x14ac:dyDescent="0.3">
      <c r="I56" s="18"/>
    </row>
    <row r="57" spans="9:9" x14ac:dyDescent="0.3">
      <c r="I57" s="18"/>
    </row>
    <row r="58" spans="9:9" x14ac:dyDescent="0.3">
      <c r="I58" s="18"/>
    </row>
    <row r="59" spans="9:9" x14ac:dyDescent="0.3">
      <c r="I59" s="18"/>
    </row>
    <row r="60" spans="9:9" x14ac:dyDescent="0.3">
      <c r="I60" s="18"/>
    </row>
    <row r="61" spans="9:9" x14ac:dyDescent="0.3">
      <c r="I61" s="18"/>
    </row>
    <row r="62" spans="9:9" x14ac:dyDescent="0.3">
      <c r="I62" s="18"/>
    </row>
    <row r="63" spans="9:9" x14ac:dyDescent="0.3">
      <c r="I63" s="18"/>
    </row>
    <row r="64" spans="9:9" x14ac:dyDescent="0.3">
      <c r="I64" s="18"/>
    </row>
    <row r="65" spans="9:9" x14ac:dyDescent="0.3">
      <c r="I65" s="18"/>
    </row>
    <row r="66" spans="9:9" x14ac:dyDescent="0.3">
      <c r="I66" s="18"/>
    </row>
    <row r="67" spans="9:9" x14ac:dyDescent="0.3">
      <c r="I67" s="18"/>
    </row>
    <row r="68" spans="9:9" x14ac:dyDescent="0.3">
      <c r="I68" s="18"/>
    </row>
    <row r="69" spans="9:9" x14ac:dyDescent="0.3">
      <c r="I69" s="18"/>
    </row>
    <row r="70" spans="9:9" x14ac:dyDescent="0.3">
      <c r="I70" s="18"/>
    </row>
    <row r="71" spans="9:9" x14ac:dyDescent="0.3">
      <c r="I71" s="18"/>
    </row>
    <row r="72" spans="9:9" x14ac:dyDescent="0.3">
      <c r="I72" s="18"/>
    </row>
    <row r="73" spans="9:9" x14ac:dyDescent="0.3">
      <c r="I73" s="18"/>
    </row>
    <row r="74" spans="9:9" x14ac:dyDescent="0.3">
      <c r="I74" s="18"/>
    </row>
    <row r="75" spans="9:9" x14ac:dyDescent="0.3">
      <c r="I75" s="18"/>
    </row>
    <row r="76" spans="9:9" x14ac:dyDescent="0.3">
      <c r="I76" s="18"/>
    </row>
    <row r="77" spans="9:9" x14ac:dyDescent="0.3">
      <c r="I77" s="18"/>
    </row>
    <row r="78" spans="9:9" x14ac:dyDescent="0.3">
      <c r="I78" s="18"/>
    </row>
    <row r="79" spans="9:9" x14ac:dyDescent="0.3">
      <c r="I79" s="18"/>
    </row>
    <row r="80" spans="9:9" x14ac:dyDescent="0.3">
      <c r="I80" s="18"/>
    </row>
    <row r="81" spans="9:9" x14ac:dyDescent="0.3">
      <c r="I81" s="18"/>
    </row>
    <row r="82" spans="9:9" x14ac:dyDescent="0.3">
      <c r="I82" s="18"/>
    </row>
    <row r="83" spans="9:9" x14ac:dyDescent="0.3">
      <c r="I83" s="18"/>
    </row>
    <row r="84" spans="9:9" x14ac:dyDescent="0.3">
      <c r="I84" s="18"/>
    </row>
    <row r="85" spans="9:9" x14ac:dyDescent="0.3">
      <c r="I85" s="18"/>
    </row>
    <row r="86" spans="9:9" x14ac:dyDescent="0.3">
      <c r="I86" s="18"/>
    </row>
    <row r="87" spans="9:9" x14ac:dyDescent="0.3">
      <c r="I87" s="18"/>
    </row>
    <row r="88" spans="9:9" x14ac:dyDescent="0.3">
      <c r="I88" s="18"/>
    </row>
    <row r="89" spans="9:9" x14ac:dyDescent="0.3">
      <c r="I89" s="18"/>
    </row>
    <row r="90" spans="9:9" x14ac:dyDescent="0.3">
      <c r="I90" s="18"/>
    </row>
    <row r="91" spans="9:9" x14ac:dyDescent="0.3">
      <c r="I91" s="18"/>
    </row>
    <row r="92" spans="9:9" x14ac:dyDescent="0.3">
      <c r="I92" s="18"/>
    </row>
    <row r="93" spans="9:9" x14ac:dyDescent="0.3">
      <c r="I93" s="18"/>
    </row>
    <row r="94" spans="9:9" x14ac:dyDescent="0.3">
      <c r="I94" s="18"/>
    </row>
    <row r="95" spans="9:9" x14ac:dyDescent="0.3">
      <c r="I95" s="18"/>
    </row>
    <row r="96" spans="9:9" x14ac:dyDescent="0.3">
      <c r="I96" s="18"/>
    </row>
    <row r="97" spans="9:9" x14ac:dyDescent="0.3">
      <c r="I97" s="18"/>
    </row>
    <row r="98" spans="9:9" x14ac:dyDescent="0.3">
      <c r="I98" s="18"/>
    </row>
    <row r="99" spans="9:9" x14ac:dyDescent="0.3">
      <c r="I99" s="18"/>
    </row>
    <row r="100" spans="9:9" x14ac:dyDescent="0.3">
      <c r="I100" s="18"/>
    </row>
    <row r="101" spans="9:9" x14ac:dyDescent="0.3">
      <c r="I101" s="18"/>
    </row>
    <row r="102" spans="9:9" x14ac:dyDescent="0.3">
      <c r="I102" s="18"/>
    </row>
    <row r="103" spans="9:9" x14ac:dyDescent="0.3">
      <c r="I103" s="18"/>
    </row>
    <row r="104" spans="9:9" x14ac:dyDescent="0.3">
      <c r="I104" s="18"/>
    </row>
    <row r="105" spans="9:9" x14ac:dyDescent="0.3">
      <c r="I105" s="18"/>
    </row>
    <row r="106" spans="9:9" x14ac:dyDescent="0.3">
      <c r="I106" s="18"/>
    </row>
    <row r="107" spans="9:9" x14ac:dyDescent="0.3">
      <c r="I107" s="18"/>
    </row>
    <row r="108" spans="9:9" x14ac:dyDescent="0.3">
      <c r="I108" s="18"/>
    </row>
    <row r="109" spans="9:9" x14ac:dyDescent="0.3">
      <c r="I109" s="18"/>
    </row>
    <row r="110" spans="9:9" x14ac:dyDescent="0.3">
      <c r="I110" s="18"/>
    </row>
    <row r="111" spans="9:9" x14ac:dyDescent="0.3">
      <c r="I111" s="18"/>
    </row>
    <row r="112" spans="9:9" x14ac:dyDescent="0.3">
      <c r="I112" s="18"/>
    </row>
    <row r="113" spans="9:9" x14ac:dyDescent="0.3">
      <c r="I113" s="18"/>
    </row>
    <row r="114" spans="9:9" x14ac:dyDescent="0.3">
      <c r="I114" s="18"/>
    </row>
    <row r="115" spans="9:9" x14ac:dyDescent="0.3">
      <c r="I115" s="18"/>
    </row>
    <row r="116" spans="9:9" x14ac:dyDescent="0.3">
      <c r="I116" s="18"/>
    </row>
    <row r="117" spans="9:9" x14ac:dyDescent="0.3">
      <c r="I117" s="18"/>
    </row>
    <row r="118" spans="9:9" x14ac:dyDescent="0.3">
      <c r="I118" s="18"/>
    </row>
    <row r="119" spans="9:9" x14ac:dyDescent="0.3">
      <c r="I119" s="18"/>
    </row>
    <row r="120" spans="9:9" x14ac:dyDescent="0.3">
      <c r="I120" s="18"/>
    </row>
    <row r="121" spans="9:9" x14ac:dyDescent="0.3">
      <c r="I121" s="18"/>
    </row>
    <row r="122" spans="9:9" x14ac:dyDescent="0.3">
      <c r="I122" s="18"/>
    </row>
    <row r="123" spans="9:9" x14ac:dyDescent="0.3">
      <c r="I123" s="18"/>
    </row>
    <row r="124" spans="9:9" x14ac:dyDescent="0.3">
      <c r="I124" s="18"/>
    </row>
    <row r="125" spans="9:9" x14ac:dyDescent="0.3">
      <c r="I125" s="18"/>
    </row>
    <row r="126" spans="9:9" x14ac:dyDescent="0.3">
      <c r="I126" s="18"/>
    </row>
    <row r="127" spans="9:9" x14ac:dyDescent="0.3">
      <c r="I127" s="18"/>
    </row>
    <row r="128" spans="9:9" x14ac:dyDescent="0.3">
      <c r="I128" s="18"/>
    </row>
    <row r="129" spans="9:9" x14ac:dyDescent="0.3">
      <c r="I129" s="18"/>
    </row>
    <row r="130" spans="9:9" x14ac:dyDescent="0.3">
      <c r="I130" s="18"/>
    </row>
    <row r="131" spans="9:9" x14ac:dyDescent="0.3">
      <c r="I131" s="18"/>
    </row>
    <row r="132" spans="9:9" x14ac:dyDescent="0.3">
      <c r="I132" s="18"/>
    </row>
    <row r="133" spans="9:9" x14ac:dyDescent="0.3">
      <c r="I133" s="18"/>
    </row>
    <row r="134" spans="9:9" x14ac:dyDescent="0.3">
      <c r="I134" s="18"/>
    </row>
    <row r="135" spans="9:9" x14ac:dyDescent="0.3">
      <c r="I135" s="18"/>
    </row>
    <row r="136" spans="9:9" x14ac:dyDescent="0.3">
      <c r="I136" s="18"/>
    </row>
    <row r="137" spans="9:9" x14ac:dyDescent="0.3">
      <c r="I137" s="18"/>
    </row>
    <row r="138" spans="9:9" x14ac:dyDescent="0.3">
      <c r="I138" s="18"/>
    </row>
    <row r="139" spans="9:9" x14ac:dyDescent="0.3">
      <c r="I139" s="18"/>
    </row>
    <row r="140" spans="9:9" x14ac:dyDescent="0.3">
      <c r="I140" s="18"/>
    </row>
    <row r="141" spans="9:9" x14ac:dyDescent="0.3">
      <c r="I141" s="18"/>
    </row>
    <row r="142" spans="9:9" x14ac:dyDescent="0.3">
      <c r="I142" s="18"/>
    </row>
    <row r="143" spans="9:9" x14ac:dyDescent="0.3">
      <c r="I143" s="18"/>
    </row>
    <row r="144" spans="9:9" x14ac:dyDescent="0.3">
      <c r="I144" s="18"/>
    </row>
    <row r="145" spans="9:9" x14ac:dyDescent="0.3">
      <c r="I145" s="18"/>
    </row>
    <row r="146" spans="9:9" x14ac:dyDescent="0.3">
      <c r="I146" s="18"/>
    </row>
    <row r="147" spans="9:9" x14ac:dyDescent="0.3">
      <c r="I147" s="18"/>
    </row>
    <row r="148" spans="9:9" x14ac:dyDescent="0.3">
      <c r="I148" s="18"/>
    </row>
    <row r="149" spans="9:9" x14ac:dyDescent="0.3">
      <c r="I149" s="18"/>
    </row>
    <row r="150" spans="9:9" x14ac:dyDescent="0.3">
      <c r="I150" s="18"/>
    </row>
    <row r="151" spans="9:9" x14ac:dyDescent="0.3">
      <c r="I151" s="18"/>
    </row>
    <row r="152" spans="9:9" x14ac:dyDescent="0.3">
      <c r="I152" s="18"/>
    </row>
    <row r="153" spans="9:9" x14ac:dyDescent="0.3">
      <c r="I153" s="18"/>
    </row>
    <row r="154" spans="9:9" x14ac:dyDescent="0.3">
      <c r="I154" s="18"/>
    </row>
    <row r="155" spans="9:9" x14ac:dyDescent="0.3">
      <c r="I155" s="18"/>
    </row>
    <row r="156" spans="9:9" x14ac:dyDescent="0.3">
      <c r="I156" s="18"/>
    </row>
    <row r="157" spans="9:9" x14ac:dyDescent="0.3">
      <c r="I157" s="18"/>
    </row>
    <row r="158" spans="9:9" x14ac:dyDescent="0.3">
      <c r="I158" s="18"/>
    </row>
    <row r="159" spans="9:9" x14ac:dyDescent="0.3">
      <c r="I159" s="18"/>
    </row>
    <row r="160" spans="9:9" x14ac:dyDescent="0.3">
      <c r="I160" s="18"/>
    </row>
    <row r="161" spans="9:9" x14ac:dyDescent="0.3">
      <c r="I161" s="18"/>
    </row>
    <row r="162" spans="9:9" x14ac:dyDescent="0.3">
      <c r="I162" s="18"/>
    </row>
    <row r="163" spans="9:9" x14ac:dyDescent="0.3">
      <c r="I163" s="18"/>
    </row>
    <row r="164" spans="9:9" x14ac:dyDescent="0.3">
      <c r="I164" s="18"/>
    </row>
    <row r="165" spans="9:9" x14ac:dyDescent="0.3">
      <c r="I165" s="18"/>
    </row>
    <row r="166" spans="9:9" x14ac:dyDescent="0.3">
      <c r="I166" s="18"/>
    </row>
    <row r="167" spans="9:9" x14ac:dyDescent="0.3">
      <c r="I167" s="18"/>
    </row>
    <row r="168" spans="9:9" x14ac:dyDescent="0.3">
      <c r="I168" s="18"/>
    </row>
    <row r="169" spans="9:9" x14ac:dyDescent="0.3">
      <c r="I169" s="18"/>
    </row>
    <row r="170" spans="9:9" x14ac:dyDescent="0.3">
      <c r="I170" s="18"/>
    </row>
    <row r="171" spans="9:9" x14ac:dyDescent="0.3">
      <c r="I171" s="18"/>
    </row>
    <row r="172" spans="9:9" x14ac:dyDescent="0.3">
      <c r="I172" s="18"/>
    </row>
    <row r="173" spans="9:9" x14ac:dyDescent="0.3">
      <c r="I173" s="18"/>
    </row>
    <row r="174" spans="9:9" x14ac:dyDescent="0.3">
      <c r="I174" s="18"/>
    </row>
    <row r="175" spans="9:9" x14ac:dyDescent="0.3">
      <c r="I175" s="18"/>
    </row>
    <row r="176" spans="9:9" x14ac:dyDescent="0.3">
      <c r="I176" s="18"/>
    </row>
    <row r="177" spans="9:9" x14ac:dyDescent="0.3">
      <c r="I177" s="18"/>
    </row>
    <row r="178" spans="9:9" x14ac:dyDescent="0.3">
      <c r="I178" s="18"/>
    </row>
    <row r="179" spans="9:9" x14ac:dyDescent="0.3">
      <c r="I179" s="18"/>
    </row>
    <row r="180" spans="9:9" x14ac:dyDescent="0.3">
      <c r="I180" s="18"/>
    </row>
    <row r="181" spans="9:9" x14ac:dyDescent="0.3">
      <c r="I181" s="18"/>
    </row>
    <row r="182" spans="9:9" x14ac:dyDescent="0.3">
      <c r="I182" s="18"/>
    </row>
    <row r="183" spans="9:9" x14ac:dyDescent="0.3">
      <c r="I183" s="18"/>
    </row>
    <row r="184" spans="9:9" x14ac:dyDescent="0.3">
      <c r="I184" s="18"/>
    </row>
    <row r="185" spans="9:9" x14ac:dyDescent="0.3">
      <c r="I185" s="18"/>
    </row>
    <row r="186" spans="9:9" x14ac:dyDescent="0.3">
      <c r="I186" s="18"/>
    </row>
    <row r="187" spans="9:9" x14ac:dyDescent="0.3">
      <c r="I187" s="18"/>
    </row>
    <row r="188" spans="9:9" x14ac:dyDescent="0.3">
      <c r="I188" s="18"/>
    </row>
    <row r="189" spans="9:9" x14ac:dyDescent="0.3">
      <c r="I189" s="18"/>
    </row>
    <row r="190" spans="9:9" x14ac:dyDescent="0.3">
      <c r="I190" s="18"/>
    </row>
    <row r="191" spans="9:9" x14ac:dyDescent="0.3">
      <c r="I191" s="18"/>
    </row>
    <row r="192" spans="9:9" x14ac:dyDescent="0.3">
      <c r="I192" s="18"/>
    </row>
    <row r="193" spans="9:9" x14ac:dyDescent="0.3">
      <c r="I193" s="18"/>
    </row>
    <row r="194" spans="9:9" x14ac:dyDescent="0.3">
      <c r="I194" s="18"/>
    </row>
    <row r="195" spans="9:9" x14ac:dyDescent="0.3">
      <c r="I195" s="18"/>
    </row>
    <row r="196" spans="9:9" x14ac:dyDescent="0.3">
      <c r="I196" s="18"/>
    </row>
    <row r="197" spans="9:9" x14ac:dyDescent="0.3">
      <c r="I197" s="18"/>
    </row>
    <row r="198" spans="9:9" x14ac:dyDescent="0.3">
      <c r="I198" s="18"/>
    </row>
    <row r="199" spans="9:9" x14ac:dyDescent="0.3">
      <c r="I199" s="18"/>
    </row>
    <row r="200" spans="9:9" x14ac:dyDescent="0.3">
      <c r="I200" s="18"/>
    </row>
    <row r="201" spans="9:9" x14ac:dyDescent="0.3">
      <c r="I201" s="18"/>
    </row>
    <row r="202" spans="9:9" x14ac:dyDescent="0.3">
      <c r="I202" s="18"/>
    </row>
    <row r="203" spans="9:9" x14ac:dyDescent="0.3">
      <c r="I203" s="18"/>
    </row>
    <row r="204" spans="9:9" x14ac:dyDescent="0.3">
      <c r="I204" s="18"/>
    </row>
    <row r="205" spans="9:9" x14ac:dyDescent="0.3">
      <c r="I205" s="18"/>
    </row>
    <row r="206" spans="9:9" x14ac:dyDescent="0.3">
      <c r="I206" s="18"/>
    </row>
    <row r="207" spans="9:9" x14ac:dyDescent="0.3">
      <c r="I207" s="18"/>
    </row>
    <row r="208" spans="9:9" x14ac:dyDescent="0.3">
      <c r="I208" s="18"/>
    </row>
    <row r="209" spans="9:9" x14ac:dyDescent="0.3">
      <c r="I209" s="18"/>
    </row>
    <row r="210" spans="9:9" x14ac:dyDescent="0.3">
      <c r="I210" s="18"/>
    </row>
    <row r="211" spans="9:9" x14ac:dyDescent="0.3">
      <c r="I211" s="18"/>
    </row>
    <row r="212" spans="9:9" x14ac:dyDescent="0.3">
      <c r="I212" s="18"/>
    </row>
    <row r="213" spans="9:9" x14ac:dyDescent="0.3">
      <c r="I213" s="18"/>
    </row>
    <row r="214" spans="9:9" x14ac:dyDescent="0.3">
      <c r="I214" s="18"/>
    </row>
    <row r="215" spans="9:9" x14ac:dyDescent="0.3">
      <c r="I215" s="18"/>
    </row>
    <row r="216" spans="9:9" x14ac:dyDescent="0.3">
      <c r="I216" s="18"/>
    </row>
    <row r="217" spans="9:9" x14ac:dyDescent="0.3">
      <c r="I217" s="18"/>
    </row>
    <row r="218" spans="9:9" x14ac:dyDescent="0.3">
      <c r="I218" s="18"/>
    </row>
    <row r="219" spans="9:9" x14ac:dyDescent="0.3">
      <c r="I219" s="18"/>
    </row>
    <row r="220" spans="9:9" x14ac:dyDescent="0.3">
      <c r="I220" s="18"/>
    </row>
    <row r="221" spans="9:9" x14ac:dyDescent="0.3">
      <c r="I221" s="18"/>
    </row>
    <row r="222" spans="9:9" x14ac:dyDescent="0.3">
      <c r="I222" s="18"/>
    </row>
    <row r="223" spans="9:9" x14ac:dyDescent="0.3">
      <c r="I223" s="18"/>
    </row>
    <row r="224" spans="9:9" x14ac:dyDescent="0.3">
      <c r="I224" s="18"/>
    </row>
    <row r="225" spans="9:9" x14ac:dyDescent="0.3">
      <c r="I225" s="18"/>
    </row>
    <row r="226" spans="9:9" x14ac:dyDescent="0.3">
      <c r="I226" s="18"/>
    </row>
    <row r="227" spans="9:9" x14ac:dyDescent="0.3">
      <c r="I227" s="18"/>
    </row>
    <row r="228" spans="9:9" x14ac:dyDescent="0.3">
      <c r="I228" s="18"/>
    </row>
    <row r="229" spans="9:9" x14ac:dyDescent="0.3">
      <c r="I229" s="18"/>
    </row>
    <row r="230" spans="9:9" x14ac:dyDescent="0.3">
      <c r="I230" s="18"/>
    </row>
    <row r="231" spans="9:9" x14ac:dyDescent="0.3">
      <c r="I231" s="18"/>
    </row>
    <row r="232" spans="9:9" x14ac:dyDescent="0.3">
      <c r="I232" s="18"/>
    </row>
    <row r="233" spans="9:9" x14ac:dyDescent="0.3">
      <c r="I233" s="18"/>
    </row>
    <row r="234" spans="9:9" x14ac:dyDescent="0.3">
      <c r="I234" s="18"/>
    </row>
    <row r="235" spans="9:9" x14ac:dyDescent="0.3">
      <c r="I235" s="18"/>
    </row>
    <row r="236" spans="9:9" x14ac:dyDescent="0.3">
      <c r="I236" s="18"/>
    </row>
    <row r="237" spans="9:9" x14ac:dyDescent="0.3">
      <c r="I237" s="18"/>
    </row>
    <row r="238" spans="9:9" x14ac:dyDescent="0.3">
      <c r="I238" s="18"/>
    </row>
    <row r="239" spans="9:9" x14ac:dyDescent="0.3">
      <c r="I239" s="18"/>
    </row>
    <row r="240" spans="9:9" x14ac:dyDescent="0.3">
      <c r="I240" s="18"/>
    </row>
    <row r="241" spans="9:9" x14ac:dyDescent="0.3">
      <c r="I241" s="18"/>
    </row>
    <row r="242" spans="9:9" x14ac:dyDescent="0.3">
      <c r="I242" s="18"/>
    </row>
    <row r="243" spans="9:9" x14ac:dyDescent="0.3">
      <c r="I243" s="18"/>
    </row>
    <row r="244" spans="9:9" x14ac:dyDescent="0.3">
      <c r="I244" s="18"/>
    </row>
    <row r="245" spans="9:9" x14ac:dyDescent="0.3">
      <c r="I245" s="18"/>
    </row>
    <row r="246" spans="9:9" x14ac:dyDescent="0.3">
      <c r="I246" s="18"/>
    </row>
    <row r="247" spans="9:9" x14ac:dyDescent="0.3">
      <c r="I247" s="18"/>
    </row>
    <row r="248" spans="9:9" x14ac:dyDescent="0.3">
      <c r="I248" s="18"/>
    </row>
    <row r="249" spans="9:9" x14ac:dyDescent="0.3">
      <c r="I249" s="18"/>
    </row>
    <row r="250" spans="9:9" x14ac:dyDescent="0.3">
      <c r="I250" s="18"/>
    </row>
    <row r="251" spans="9:9" x14ac:dyDescent="0.3">
      <c r="I251" s="18"/>
    </row>
    <row r="252" spans="9:9" x14ac:dyDescent="0.3">
      <c r="I252" s="18"/>
    </row>
    <row r="253" spans="9:9" x14ac:dyDescent="0.3">
      <c r="I253" s="18"/>
    </row>
    <row r="254" spans="9:9" x14ac:dyDescent="0.3">
      <c r="I254" s="18"/>
    </row>
    <row r="255" spans="9:9" x14ac:dyDescent="0.3">
      <c r="I255" s="18"/>
    </row>
    <row r="256" spans="9:9" x14ac:dyDescent="0.3">
      <c r="I256" s="18"/>
    </row>
    <row r="257" spans="9:9" x14ac:dyDescent="0.3">
      <c r="I257" s="18"/>
    </row>
    <row r="258" spans="9:9" x14ac:dyDescent="0.3">
      <c r="I258" s="18"/>
    </row>
    <row r="259" spans="9:9" x14ac:dyDescent="0.3">
      <c r="I259" s="18"/>
    </row>
    <row r="260" spans="9:9" x14ac:dyDescent="0.3">
      <c r="I260" s="18"/>
    </row>
    <row r="261" spans="9:9" x14ac:dyDescent="0.3">
      <c r="I261" s="18"/>
    </row>
    <row r="262" spans="9:9" x14ac:dyDescent="0.3">
      <c r="I262" s="18"/>
    </row>
    <row r="263" spans="9:9" x14ac:dyDescent="0.3">
      <c r="I263" s="18"/>
    </row>
    <row r="264" spans="9:9" x14ac:dyDescent="0.3">
      <c r="I264" s="18"/>
    </row>
    <row r="265" spans="9:9" x14ac:dyDescent="0.3">
      <c r="I265" s="18"/>
    </row>
    <row r="266" spans="9:9" x14ac:dyDescent="0.3">
      <c r="I266" s="18"/>
    </row>
    <row r="267" spans="9:9" x14ac:dyDescent="0.3">
      <c r="I267" s="18"/>
    </row>
    <row r="268" spans="9:9" x14ac:dyDescent="0.3">
      <c r="I268" s="18"/>
    </row>
    <row r="269" spans="9:9" x14ac:dyDescent="0.3">
      <c r="I269" s="18"/>
    </row>
    <row r="270" spans="9:9" x14ac:dyDescent="0.3">
      <c r="I270" s="18"/>
    </row>
    <row r="271" spans="9:9" x14ac:dyDescent="0.3">
      <c r="I271" s="18"/>
    </row>
    <row r="272" spans="9:9" x14ac:dyDescent="0.3">
      <c r="I272" s="18"/>
    </row>
    <row r="273" spans="9:9" x14ac:dyDescent="0.3">
      <c r="I273" s="18"/>
    </row>
    <row r="274" spans="9:9" x14ac:dyDescent="0.3">
      <c r="I274" s="18"/>
    </row>
    <row r="275" spans="9:9" x14ac:dyDescent="0.3">
      <c r="I275" s="18"/>
    </row>
    <row r="276" spans="9:9" x14ac:dyDescent="0.3">
      <c r="I276" s="18"/>
    </row>
    <row r="277" spans="9:9" x14ac:dyDescent="0.3">
      <c r="I277" s="18"/>
    </row>
    <row r="278" spans="9:9" x14ac:dyDescent="0.3">
      <c r="I278" s="18"/>
    </row>
    <row r="279" spans="9:9" x14ac:dyDescent="0.3">
      <c r="I279" s="18"/>
    </row>
    <row r="280" spans="9:9" x14ac:dyDescent="0.3">
      <c r="I280" s="18"/>
    </row>
    <row r="281" spans="9:9" x14ac:dyDescent="0.3">
      <c r="I281" s="18"/>
    </row>
    <row r="282" spans="9:9" x14ac:dyDescent="0.3">
      <c r="I282" s="18"/>
    </row>
    <row r="283" spans="9:9" x14ac:dyDescent="0.3">
      <c r="I283" s="18"/>
    </row>
    <row r="284" spans="9:9" x14ac:dyDescent="0.3">
      <c r="I284" s="18"/>
    </row>
    <row r="285" spans="9:9" x14ac:dyDescent="0.3">
      <c r="I285" s="18"/>
    </row>
    <row r="286" spans="9:9" x14ac:dyDescent="0.3">
      <c r="I286" s="18"/>
    </row>
    <row r="287" spans="9:9" x14ac:dyDescent="0.3">
      <c r="I287" s="18"/>
    </row>
    <row r="288" spans="9:9" x14ac:dyDescent="0.3">
      <c r="I288" s="18"/>
    </row>
    <row r="289" spans="9:9" x14ac:dyDescent="0.3">
      <c r="I289" s="18"/>
    </row>
    <row r="290" spans="9:9" x14ac:dyDescent="0.3">
      <c r="I290" s="18"/>
    </row>
    <row r="291" spans="9:9" x14ac:dyDescent="0.3">
      <c r="I291" s="18"/>
    </row>
    <row r="292" spans="9:9" x14ac:dyDescent="0.3">
      <c r="I292" s="18"/>
    </row>
    <row r="293" spans="9:9" x14ac:dyDescent="0.3">
      <c r="I293" s="18"/>
    </row>
    <row r="294" spans="9:9" x14ac:dyDescent="0.3">
      <c r="I294" s="18"/>
    </row>
    <row r="295" spans="9:9" x14ac:dyDescent="0.3">
      <c r="I295" s="18"/>
    </row>
    <row r="296" spans="9:9" x14ac:dyDescent="0.3">
      <c r="I296" s="18"/>
    </row>
    <row r="297" spans="9:9" x14ac:dyDescent="0.3">
      <c r="I297" s="18"/>
    </row>
    <row r="298" spans="9:9" x14ac:dyDescent="0.3">
      <c r="I298" s="18"/>
    </row>
    <row r="299" spans="9:9" x14ac:dyDescent="0.3">
      <c r="I299" s="18"/>
    </row>
    <row r="300" spans="9:9" x14ac:dyDescent="0.3">
      <c r="I300" s="18"/>
    </row>
    <row r="301" spans="9:9" x14ac:dyDescent="0.3">
      <c r="I301" s="18"/>
    </row>
    <row r="302" spans="9:9" x14ac:dyDescent="0.3">
      <c r="I302" s="18"/>
    </row>
    <row r="303" spans="9:9" x14ac:dyDescent="0.3">
      <c r="I303" s="18"/>
    </row>
    <row r="304" spans="9:9" x14ac:dyDescent="0.3">
      <c r="I304" s="18"/>
    </row>
    <row r="305" spans="9:9" x14ac:dyDescent="0.3">
      <c r="I305" s="18"/>
    </row>
    <row r="306" spans="9:9" x14ac:dyDescent="0.3">
      <c r="I306" s="18"/>
    </row>
    <row r="307" spans="9:9" x14ac:dyDescent="0.3">
      <c r="I307" s="18"/>
    </row>
    <row r="308" spans="9:9" x14ac:dyDescent="0.3">
      <c r="I308" s="18"/>
    </row>
    <row r="309" spans="9:9" x14ac:dyDescent="0.3">
      <c r="I309" s="18"/>
    </row>
    <row r="310" spans="9:9" x14ac:dyDescent="0.3">
      <c r="I310" s="18"/>
    </row>
    <row r="311" spans="9:9" x14ac:dyDescent="0.3">
      <c r="I311" s="18"/>
    </row>
    <row r="312" spans="9:9" x14ac:dyDescent="0.3">
      <c r="I312" s="18"/>
    </row>
    <row r="313" spans="9:9" x14ac:dyDescent="0.3">
      <c r="I313" s="18"/>
    </row>
    <row r="314" spans="9:9" x14ac:dyDescent="0.3">
      <c r="I314" s="18"/>
    </row>
    <row r="315" spans="9:9" x14ac:dyDescent="0.3">
      <c r="I315" s="18"/>
    </row>
    <row r="316" spans="9:9" x14ac:dyDescent="0.3">
      <c r="I316" s="18"/>
    </row>
    <row r="317" spans="9:9" x14ac:dyDescent="0.3">
      <c r="I317" s="18"/>
    </row>
    <row r="318" spans="9:9" x14ac:dyDescent="0.3">
      <c r="I318" s="18"/>
    </row>
    <row r="319" spans="9:9" x14ac:dyDescent="0.3">
      <c r="I319" s="18"/>
    </row>
    <row r="320" spans="9:9" x14ac:dyDescent="0.3">
      <c r="I320" s="18"/>
    </row>
    <row r="321" spans="9:9" x14ac:dyDescent="0.3">
      <c r="I321" s="18"/>
    </row>
    <row r="322" spans="9:9" x14ac:dyDescent="0.3">
      <c r="I322" s="18"/>
    </row>
    <row r="323" spans="9:9" x14ac:dyDescent="0.3">
      <c r="I323" s="18"/>
    </row>
    <row r="324" spans="9:9" x14ac:dyDescent="0.3">
      <c r="I324" s="18"/>
    </row>
    <row r="325" spans="9:9" x14ac:dyDescent="0.3">
      <c r="I325" s="18"/>
    </row>
    <row r="326" spans="9:9" x14ac:dyDescent="0.3">
      <c r="I326" s="18"/>
    </row>
    <row r="327" spans="9:9" x14ac:dyDescent="0.3">
      <c r="I327" s="18"/>
    </row>
    <row r="328" spans="9:9" x14ac:dyDescent="0.3">
      <c r="I328" s="18"/>
    </row>
    <row r="329" spans="9:9" x14ac:dyDescent="0.3">
      <c r="I329" s="18"/>
    </row>
    <row r="330" spans="9:9" x14ac:dyDescent="0.3">
      <c r="I330" s="18"/>
    </row>
    <row r="331" spans="9:9" x14ac:dyDescent="0.3">
      <c r="I331" s="18"/>
    </row>
    <row r="332" spans="9:9" x14ac:dyDescent="0.3">
      <c r="I332" s="18"/>
    </row>
    <row r="333" spans="9:9" x14ac:dyDescent="0.3">
      <c r="I333" s="18"/>
    </row>
    <row r="334" spans="9:9" x14ac:dyDescent="0.3">
      <c r="I334" s="18"/>
    </row>
    <row r="335" spans="9:9" x14ac:dyDescent="0.3">
      <c r="I335" s="18"/>
    </row>
    <row r="336" spans="9:9" x14ac:dyDescent="0.3">
      <c r="I336" s="18"/>
    </row>
    <row r="337" spans="9:9" x14ac:dyDescent="0.3">
      <c r="I337" s="18"/>
    </row>
    <row r="338" spans="9:9" x14ac:dyDescent="0.3">
      <c r="I338" s="18"/>
    </row>
    <row r="339" spans="9:9" x14ac:dyDescent="0.3">
      <c r="I339" s="18"/>
    </row>
    <row r="340" spans="9:9" x14ac:dyDescent="0.3">
      <c r="I340" s="18"/>
    </row>
    <row r="341" spans="9:9" x14ac:dyDescent="0.3">
      <c r="I341" s="18"/>
    </row>
    <row r="342" spans="9:9" x14ac:dyDescent="0.3">
      <c r="I342" s="1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942B-997C-4E3F-8118-62A87BD6E5E7}">
  <sheetPr codeName="Sheet7"/>
  <dimension ref="A1:Q342"/>
  <sheetViews>
    <sheetView rightToLeft="1" zoomScale="113" zoomScaleNormal="113" workbookViewId="0">
      <pane ySplit="13" topLeftCell="A14" activePane="bottomLeft" state="frozen"/>
      <selection pane="bottomLeft" activeCell="H7" sqref="H7"/>
    </sheetView>
  </sheetViews>
  <sheetFormatPr defaultRowHeight="15.6" x14ac:dyDescent="0.3"/>
  <cols>
    <col min="1" max="1" width="12" style="2" bestFit="1" customWidth="1"/>
    <col min="2" max="2" width="5.109375" style="2" bestFit="1" customWidth="1"/>
    <col min="3" max="3" width="7.6640625" style="2" bestFit="1" customWidth="1"/>
    <col min="4" max="4" width="9.109375" style="2" bestFit="1" customWidth="1"/>
    <col min="5" max="5" width="5.109375" style="2" bestFit="1" customWidth="1"/>
    <col min="6" max="6" width="12.88671875" style="2" bestFit="1" customWidth="1"/>
    <col min="7" max="7" width="4.5546875" style="2" customWidth="1"/>
    <col min="8" max="8" width="19.88671875" style="8" customWidth="1"/>
    <col min="9" max="9" width="14.6640625" style="7" bestFit="1" customWidth="1"/>
    <col min="10" max="10" width="8.5546875" style="11" bestFit="1" customWidth="1"/>
    <col min="11" max="11" width="3.77734375" style="6" customWidth="1"/>
    <col min="12" max="12" width="11.44140625" style="2" customWidth="1"/>
    <col min="13" max="13" width="5.109375" style="2" bestFit="1" customWidth="1"/>
    <col min="14" max="14" width="11.5546875" style="2" bestFit="1" customWidth="1"/>
    <col min="15" max="15" width="10.21875" style="2" customWidth="1"/>
    <col min="16" max="16" width="7.77734375" style="2" customWidth="1"/>
    <col min="17" max="17" width="18.44140625" style="2" bestFit="1" customWidth="1"/>
    <col min="18" max="16384" width="8.88671875" style="2"/>
  </cols>
  <sheetData>
    <row r="1" spans="1:17" x14ac:dyDescent="0.3">
      <c r="A1" s="2" t="s">
        <v>29</v>
      </c>
      <c r="H1" s="8" t="s">
        <v>38</v>
      </c>
      <c r="L1" s="2" t="s">
        <v>33</v>
      </c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B3" s="2">
        <v>6</v>
      </c>
      <c r="C3" s="21">
        <f>A3*B3</f>
        <v>6</v>
      </c>
      <c r="D3" s="17">
        <v>5</v>
      </c>
      <c r="E3" s="2">
        <v>28</v>
      </c>
      <c r="F3" s="23">
        <f>D3*E3</f>
        <v>140</v>
      </c>
      <c r="G3" s="5"/>
      <c r="H3" s="10" t="s">
        <v>81</v>
      </c>
      <c r="I3" s="20">
        <v>-90</v>
      </c>
      <c r="J3" s="11">
        <v>40</v>
      </c>
      <c r="L3" s="15">
        <v>1</v>
      </c>
      <c r="N3" s="21">
        <f>L3*M3</f>
        <v>0</v>
      </c>
      <c r="O3" s="17">
        <v>5</v>
      </c>
      <c r="Q3" s="23">
        <f>O3*P3</f>
        <v>0</v>
      </c>
    </row>
    <row r="4" spans="1:17" x14ac:dyDescent="0.3">
      <c r="A4" s="15">
        <v>5</v>
      </c>
      <c r="B4" s="2">
        <v>15</v>
      </c>
      <c r="C4" s="21">
        <f t="shared" ref="C4:C8" si="0">A4*B4</f>
        <v>75</v>
      </c>
      <c r="D4" s="17">
        <v>10</v>
      </c>
      <c r="E4" s="2">
        <v>17</v>
      </c>
      <c r="F4" s="23">
        <f t="shared" ref="F4:F7" si="1">D4*E4</f>
        <v>170</v>
      </c>
      <c r="G4" s="5"/>
      <c r="H4" s="10" t="s">
        <v>80</v>
      </c>
      <c r="I4" s="20"/>
      <c r="J4" s="11">
        <v>747</v>
      </c>
      <c r="L4" s="15">
        <v>5</v>
      </c>
      <c r="N4" s="21">
        <f t="shared" ref="N4:N8" si="2">L4*M4</f>
        <v>0</v>
      </c>
      <c r="O4" s="17">
        <v>10</v>
      </c>
      <c r="Q4" s="23">
        <f t="shared" ref="Q4:Q7" si="3">O4*P4</f>
        <v>0</v>
      </c>
    </row>
    <row r="5" spans="1:17" x14ac:dyDescent="0.3">
      <c r="A5" s="15">
        <v>10</v>
      </c>
      <c r="B5" s="2">
        <v>14</v>
      </c>
      <c r="C5" s="21">
        <f t="shared" si="0"/>
        <v>140</v>
      </c>
      <c r="D5" s="17">
        <v>20</v>
      </c>
      <c r="E5" s="2">
        <v>10</v>
      </c>
      <c r="F5" s="23">
        <f t="shared" si="1"/>
        <v>200</v>
      </c>
      <c r="G5" s="5"/>
      <c r="H5" s="10"/>
      <c r="I5" s="20">
        <v>100</v>
      </c>
      <c r="L5" s="15">
        <v>10</v>
      </c>
      <c r="N5" s="21">
        <f t="shared" si="2"/>
        <v>0</v>
      </c>
      <c r="O5" s="17">
        <v>20</v>
      </c>
      <c r="Q5" s="23">
        <f t="shared" si="3"/>
        <v>0</v>
      </c>
    </row>
    <row r="6" spans="1:17" x14ac:dyDescent="0.3">
      <c r="A6" s="15">
        <v>20</v>
      </c>
      <c r="B6" s="2">
        <v>1</v>
      </c>
      <c r="C6" s="21">
        <f t="shared" si="0"/>
        <v>20</v>
      </c>
      <c r="D6" s="17">
        <v>50</v>
      </c>
      <c r="E6" s="2">
        <v>10</v>
      </c>
      <c r="F6" s="23">
        <f t="shared" si="1"/>
        <v>500</v>
      </c>
      <c r="G6" s="5"/>
      <c r="H6" s="10" t="s">
        <v>23</v>
      </c>
      <c r="I6" s="20">
        <v>-150</v>
      </c>
      <c r="J6" s="11">
        <v>5</v>
      </c>
      <c r="L6" s="15">
        <v>20</v>
      </c>
      <c r="N6" s="21">
        <f t="shared" si="2"/>
        <v>0</v>
      </c>
      <c r="O6" s="17">
        <v>50</v>
      </c>
      <c r="Q6" s="23">
        <f t="shared" si="3"/>
        <v>0</v>
      </c>
    </row>
    <row r="7" spans="1:17" x14ac:dyDescent="0.3">
      <c r="A7" s="15">
        <v>50</v>
      </c>
      <c r="B7" s="2">
        <v>4</v>
      </c>
      <c r="C7" s="21">
        <f t="shared" si="0"/>
        <v>200</v>
      </c>
      <c r="D7" s="17">
        <v>100</v>
      </c>
      <c r="E7" s="2">
        <v>29</v>
      </c>
      <c r="F7" s="23">
        <f t="shared" si="1"/>
        <v>2900</v>
      </c>
      <c r="G7" s="5"/>
      <c r="H7" s="10" t="s">
        <v>79</v>
      </c>
      <c r="I7" s="20"/>
      <c r="J7" s="11">
        <v>-40</v>
      </c>
      <c r="L7" s="15">
        <v>50</v>
      </c>
      <c r="N7" s="21">
        <f t="shared" si="2"/>
        <v>0</v>
      </c>
      <c r="O7" s="17">
        <v>100</v>
      </c>
      <c r="Q7" s="23">
        <f t="shared" si="3"/>
        <v>0</v>
      </c>
    </row>
    <row r="8" spans="1:17" x14ac:dyDescent="0.3">
      <c r="A8" s="15">
        <v>100</v>
      </c>
      <c r="C8" s="21">
        <f t="shared" si="0"/>
        <v>0</v>
      </c>
      <c r="D8" s="1" t="s">
        <v>1</v>
      </c>
      <c r="E8" s="1"/>
      <c r="F8" s="19">
        <f>SUM(F3:F7)</f>
        <v>3910</v>
      </c>
      <c r="G8" s="5"/>
      <c r="H8" s="10" t="s">
        <v>78</v>
      </c>
      <c r="I8" s="20">
        <v>-2000</v>
      </c>
      <c r="L8" s="15">
        <v>100</v>
      </c>
      <c r="N8" s="21">
        <f t="shared" si="2"/>
        <v>0</v>
      </c>
      <c r="O8" s="1" t="s">
        <v>1</v>
      </c>
      <c r="P8" s="1"/>
      <c r="Q8" s="19">
        <f>SUM(Q3:Q7)</f>
        <v>0</v>
      </c>
    </row>
    <row r="9" spans="1:17" x14ac:dyDescent="0.3">
      <c r="A9" s="1" t="s">
        <v>1</v>
      </c>
      <c r="B9" s="1"/>
      <c r="C9" s="22">
        <f>SUM(C3:C8)</f>
        <v>441</v>
      </c>
      <c r="H9" s="10" t="s">
        <v>11</v>
      </c>
      <c r="I9" s="20">
        <v>45</v>
      </c>
      <c r="J9" s="11">
        <v>3</v>
      </c>
      <c r="L9" s="1" t="s">
        <v>1</v>
      </c>
      <c r="M9" s="1"/>
      <c r="N9" s="22">
        <f>SUM(N3:N8)</f>
        <v>0</v>
      </c>
      <c r="Q9" s="20"/>
    </row>
    <row r="10" spans="1:17" x14ac:dyDescent="0.3">
      <c r="H10" s="10" t="s">
        <v>77</v>
      </c>
      <c r="I10" s="20">
        <v>-50</v>
      </c>
      <c r="J10" s="11">
        <v>16</v>
      </c>
      <c r="N10" s="27"/>
      <c r="O10" s="1" t="s">
        <v>40</v>
      </c>
      <c r="P10" s="1"/>
      <c r="Q10" s="24">
        <f>SUM(Table134567[اللبناني])</f>
        <v>-2145</v>
      </c>
    </row>
    <row r="11" spans="1:17" x14ac:dyDescent="0.3">
      <c r="H11" s="10"/>
      <c r="I11" s="20"/>
      <c r="L11" s="1" t="s">
        <v>39</v>
      </c>
      <c r="M11" s="1"/>
      <c r="N11" s="12">
        <f>SUM(Table134567[الدولار])</f>
        <v>771</v>
      </c>
      <c r="Q11" s="20"/>
    </row>
    <row r="12" spans="1:17" x14ac:dyDescent="0.3">
      <c r="H12" s="10"/>
      <c r="I12" s="20"/>
      <c r="N12" s="27"/>
      <c r="O12" s="1" t="s">
        <v>27</v>
      </c>
      <c r="P12" s="1"/>
      <c r="Q12" s="24">
        <f>Q8-Q10-F8</f>
        <v>-1765</v>
      </c>
    </row>
    <row r="13" spans="1:17" x14ac:dyDescent="0.3">
      <c r="C13" s="14"/>
      <c r="D13" s="14"/>
      <c r="F13" s="14"/>
      <c r="H13" s="10"/>
      <c r="I13" s="20"/>
      <c r="L13" s="1" t="s">
        <v>27</v>
      </c>
      <c r="M13" s="1"/>
      <c r="N13" s="12">
        <f>N9-N11-C9</f>
        <v>-1212</v>
      </c>
    </row>
    <row r="14" spans="1:17" x14ac:dyDescent="0.3">
      <c r="C14" s="14"/>
      <c r="D14" s="14"/>
      <c r="F14" s="14"/>
      <c r="H14" s="10"/>
      <c r="I14" s="18"/>
    </row>
    <row r="15" spans="1:17" x14ac:dyDescent="0.3">
      <c r="C15" s="14"/>
      <c r="D15" s="14"/>
      <c r="F15" s="14"/>
      <c r="H15" s="10"/>
      <c r="I15" s="18"/>
    </row>
    <row r="16" spans="1:17" x14ac:dyDescent="0.3">
      <c r="C16" s="14"/>
      <c r="D16" s="14"/>
      <c r="F16" s="14"/>
      <c r="H16" s="10"/>
      <c r="I16" s="18"/>
    </row>
    <row r="17" spans="3:9" x14ac:dyDescent="0.3">
      <c r="C17" s="14"/>
      <c r="D17" s="14"/>
      <c r="F17" s="14"/>
      <c r="H17" s="10"/>
      <c r="I17" s="20"/>
    </row>
    <row r="18" spans="3:9" x14ac:dyDescent="0.3">
      <c r="C18" s="14"/>
      <c r="F18" s="14"/>
      <c r="H18" s="10"/>
      <c r="I18" s="20"/>
    </row>
    <row r="19" spans="3:9" x14ac:dyDescent="0.3">
      <c r="C19" s="14"/>
      <c r="H19" s="10"/>
      <c r="I19" s="20"/>
    </row>
    <row r="20" spans="3:9" x14ac:dyDescent="0.3">
      <c r="F20" s="6"/>
      <c r="H20" s="10"/>
      <c r="I20" s="20"/>
    </row>
    <row r="21" spans="3:9" x14ac:dyDescent="0.3">
      <c r="C21" s="6"/>
      <c r="H21" s="10"/>
      <c r="I21" s="20"/>
    </row>
    <row r="22" spans="3:9" x14ac:dyDescent="0.3">
      <c r="F22" s="6"/>
      <c r="H22" s="10"/>
      <c r="I22" s="20"/>
    </row>
    <row r="23" spans="3:9" x14ac:dyDescent="0.3">
      <c r="C23" s="6"/>
      <c r="H23" s="10"/>
      <c r="I23" s="20"/>
    </row>
    <row r="24" spans="3:9" x14ac:dyDescent="0.3">
      <c r="H24" s="10"/>
      <c r="I24" s="20"/>
    </row>
    <row r="25" spans="3:9" x14ac:dyDescent="0.3">
      <c r="H25" s="10"/>
      <c r="I25" s="20"/>
    </row>
    <row r="26" spans="3:9" x14ac:dyDescent="0.3">
      <c r="H26" s="10"/>
      <c r="I26" s="20"/>
    </row>
    <row r="27" spans="3:9" x14ac:dyDescent="0.3">
      <c r="H27" s="10"/>
      <c r="I27" s="18"/>
    </row>
    <row r="28" spans="3:9" x14ac:dyDescent="0.3">
      <c r="I28" s="18"/>
    </row>
    <row r="29" spans="3:9" x14ac:dyDescent="0.3">
      <c r="I29" s="18"/>
    </row>
    <row r="30" spans="3:9" x14ac:dyDescent="0.3">
      <c r="I30" s="18"/>
    </row>
    <row r="31" spans="3:9" x14ac:dyDescent="0.3">
      <c r="I31" s="18"/>
    </row>
    <row r="32" spans="3:9" x14ac:dyDescent="0.3">
      <c r="I32" s="18"/>
    </row>
    <row r="33" spans="9:9" x14ac:dyDescent="0.3">
      <c r="I33" s="18"/>
    </row>
    <row r="34" spans="9:9" x14ac:dyDescent="0.3">
      <c r="I34" s="18"/>
    </row>
    <row r="35" spans="9:9" x14ac:dyDescent="0.3">
      <c r="I35" s="18"/>
    </row>
    <row r="36" spans="9:9" x14ac:dyDescent="0.3">
      <c r="I36" s="18"/>
    </row>
    <row r="37" spans="9:9" x14ac:dyDescent="0.3">
      <c r="I37" s="18"/>
    </row>
    <row r="38" spans="9:9" x14ac:dyDescent="0.3">
      <c r="I38" s="18"/>
    </row>
    <row r="39" spans="9:9" x14ac:dyDescent="0.3">
      <c r="I39" s="18"/>
    </row>
    <row r="40" spans="9:9" x14ac:dyDescent="0.3">
      <c r="I40" s="18"/>
    </row>
    <row r="41" spans="9:9" x14ac:dyDescent="0.3">
      <c r="I41" s="18"/>
    </row>
    <row r="42" spans="9:9" x14ac:dyDescent="0.3">
      <c r="I42" s="18"/>
    </row>
    <row r="43" spans="9:9" x14ac:dyDescent="0.3">
      <c r="I43" s="18"/>
    </row>
    <row r="44" spans="9:9" x14ac:dyDescent="0.3">
      <c r="I44" s="18"/>
    </row>
    <row r="45" spans="9:9" x14ac:dyDescent="0.3">
      <c r="I45" s="18"/>
    </row>
    <row r="46" spans="9:9" x14ac:dyDescent="0.3">
      <c r="I46" s="18"/>
    </row>
    <row r="47" spans="9:9" x14ac:dyDescent="0.3">
      <c r="I47" s="18"/>
    </row>
    <row r="48" spans="9:9" x14ac:dyDescent="0.3">
      <c r="I48" s="18"/>
    </row>
    <row r="49" spans="9:9" x14ac:dyDescent="0.3">
      <c r="I49" s="18"/>
    </row>
    <row r="50" spans="9:9" x14ac:dyDescent="0.3">
      <c r="I50" s="18"/>
    </row>
    <row r="51" spans="9:9" x14ac:dyDescent="0.3">
      <c r="I51" s="18"/>
    </row>
    <row r="52" spans="9:9" x14ac:dyDescent="0.3">
      <c r="I52" s="18"/>
    </row>
    <row r="53" spans="9:9" x14ac:dyDescent="0.3">
      <c r="I53" s="18"/>
    </row>
    <row r="54" spans="9:9" x14ac:dyDescent="0.3">
      <c r="I54" s="18"/>
    </row>
    <row r="55" spans="9:9" x14ac:dyDescent="0.3">
      <c r="I55" s="18"/>
    </row>
    <row r="56" spans="9:9" x14ac:dyDescent="0.3">
      <c r="I56" s="18"/>
    </row>
    <row r="57" spans="9:9" x14ac:dyDescent="0.3">
      <c r="I57" s="18"/>
    </row>
    <row r="58" spans="9:9" x14ac:dyDescent="0.3">
      <c r="I58" s="18"/>
    </row>
    <row r="59" spans="9:9" x14ac:dyDescent="0.3">
      <c r="I59" s="18"/>
    </row>
    <row r="60" spans="9:9" x14ac:dyDescent="0.3">
      <c r="I60" s="18"/>
    </row>
    <row r="61" spans="9:9" x14ac:dyDescent="0.3">
      <c r="I61" s="18"/>
    </row>
    <row r="62" spans="9:9" x14ac:dyDescent="0.3">
      <c r="I62" s="18"/>
    </row>
    <row r="63" spans="9:9" x14ac:dyDescent="0.3">
      <c r="I63" s="18"/>
    </row>
    <row r="64" spans="9:9" x14ac:dyDescent="0.3">
      <c r="I64" s="18"/>
    </row>
    <row r="65" spans="9:9" x14ac:dyDescent="0.3">
      <c r="I65" s="18"/>
    </row>
    <row r="66" spans="9:9" x14ac:dyDescent="0.3">
      <c r="I66" s="18"/>
    </row>
    <row r="67" spans="9:9" x14ac:dyDescent="0.3">
      <c r="I67" s="18"/>
    </row>
    <row r="68" spans="9:9" x14ac:dyDescent="0.3">
      <c r="I68" s="18"/>
    </row>
    <row r="69" spans="9:9" x14ac:dyDescent="0.3">
      <c r="I69" s="18"/>
    </row>
    <row r="70" spans="9:9" x14ac:dyDescent="0.3">
      <c r="I70" s="18"/>
    </row>
    <row r="71" spans="9:9" x14ac:dyDescent="0.3">
      <c r="I71" s="18"/>
    </row>
    <row r="72" spans="9:9" x14ac:dyDescent="0.3">
      <c r="I72" s="18"/>
    </row>
    <row r="73" spans="9:9" x14ac:dyDescent="0.3">
      <c r="I73" s="18"/>
    </row>
    <row r="74" spans="9:9" x14ac:dyDescent="0.3">
      <c r="I74" s="18"/>
    </row>
    <row r="75" spans="9:9" x14ac:dyDescent="0.3">
      <c r="I75" s="18"/>
    </row>
    <row r="76" spans="9:9" x14ac:dyDescent="0.3">
      <c r="I76" s="18"/>
    </row>
    <row r="77" spans="9:9" x14ac:dyDescent="0.3">
      <c r="I77" s="18"/>
    </row>
    <row r="78" spans="9:9" x14ac:dyDescent="0.3">
      <c r="I78" s="18"/>
    </row>
    <row r="79" spans="9:9" x14ac:dyDescent="0.3">
      <c r="I79" s="18"/>
    </row>
    <row r="80" spans="9:9" x14ac:dyDescent="0.3">
      <c r="I80" s="18"/>
    </row>
    <row r="81" spans="9:9" x14ac:dyDescent="0.3">
      <c r="I81" s="18"/>
    </row>
    <row r="82" spans="9:9" x14ac:dyDescent="0.3">
      <c r="I82" s="18"/>
    </row>
    <row r="83" spans="9:9" x14ac:dyDescent="0.3">
      <c r="I83" s="18"/>
    </row>
    <row r="84" spans="9:9" x14ac:dyDescent="0.3">
      <c r="I84" s="18"/>
    </row>
    <row r="85" spans="9:9" x14ac:dyDescent="0.3">
      <c r="I85" s="18"/>
    </row>
    <row r="86" spans="9:9" x14ac:dyDescent="0.3">
      <c r="I86" s="18"/>
    </row>
    <row r="87" spans="9:9" x14ac:dyDescent="0.3">
      <c r="I87" s="18"/>
    </row>
    <row r="88" spans="9:9" x14ac:dyDescent="0.3">
      <c r="I88" s="18"/>
    </row>
    <row r="89" spans="9:9" x14ac:dyDescent="0.3">
      <c r="I89" s="18"/>
    </row>
    <row r="90" spans="9:9" x14ac:dyDescent="0.3">
      <c r="I90" s="18"/>
    </row>
    <row r="91" spans="9:9" x14ac:dyDescent="0.3">
      <c r="I91" s="18"/>
    </row>
    <row r="92" spans="9:9" x14ac:dyDescent="0.3">
      <c r="I92" s="18"/>
    </row>
    <row r="93" spans="9:9" x14ac:dyDescent="0.3">
      <c r="I93" s="18"/>
    </row>
    <row r="94" spans="9:9" x14ac:dyDescent="0.3">
      <c r="I94" s="18"/>
    </row>
    <row r="95" spans="9:9" x14ac:dyDescent="0.3">
      <c r="I95" s="18"/>
    </row>
    <row r="96" spans="9:9" x14ac:dyDescent="0.3">
      <c r="I96" s="18"/>
    </row>
    <row r="97" spans="9:9" x14ac:dyDescent="0.3">
      <c r="I97" s="18"/>
    </row>
    <row r="98" spans="9:9" x14ac:dyDescent="0.3">
      <c r="I98" s="18"/>
    </row>
    <row r="99" spans="9:9" x14ac:dyDescent="0.3">
      <c r="I99" s="18"/>
    </row>
    <row r="100" spans="9:9" x14ac:dyDescent="0.3">
      <c r="I100" s="18"/>
    </row>
    <row r="101" spans="9:9" x14ac:dyDescent="0.3">
      <c r="I101" s="18"/>
    </row>
    <row r="102" spans="9:9" x14ac:dyDescent="0.3">
      <c r="I102" s="18"/>
    </row>
    <row r="103" spans="9:9" x14ac:dyDescent="0.3">
      <c r="I103" s="18"/>
    </row>
    <row r="104" spans="9:9" x14ac:dyDescent="0.3">
      <c r="I104" s="18"/>
    </row>
    <row r="105" spans="9:9" x14ac:dyDescent="0.3">
      <c r="I105" s="18"/>
    </row>
    <row r="106" spans="9:9" x14ac:dyDescent="0.3">
      <c r="I106" s="18"/>
    </row>
    <row r="107" spans="9:9" x14ac:dyDescent="0.3">
      <c r="I107" s="18"/>
    </row>
    <row r="108" spans="9:9" x14ac:dyDescent="0.3">
      <c r="I108" s="18"/>
    </row>
    <row r="109" spans="9:9" x14ac:dyDescent="0.3">
      <c r="I109" s="18"/>
    </row>
    <row r="110" spans="9:9" x14ac:dyDescent="0.3">
      <c r="I110" s="18"/>
    </row>
    <row r="111" spans="9:9" x14ac:dyDescent="0.3">
      <c r="I111" s="18"/>
    </row>
    <row r="112" spans="9:9" x14ac:dyDescent="0.3">
      <c r="I112" s="18"/>
    </row>
    <row r="113" spans="9:9" x14ac:dyDescent="0.3">
      <c r="I113" s="18"/>
    </row>
    <row r="114" spans="9:9" x14ac:dyDescent="0.3">
      <c r="I114" s="18"/>
    </row>
    <row r="115" spans="9:9" x14ac:dyDescent="0.3">
      <c r="I115" s="18"/>
    </row>
    <row r="116" spans="9:9" x14ac:dyDescent="0.3">
      <c r="I116" s="18"/>
    </row>
    <row r="117" spans="9:9" x14ac:dyDescent="0.3">
      <c r="I117" s="18"/>
    </row>
    <row r="118" spans="9:9" x14ac:dyDescent="0.3">
      <c r="I118" s="18"/>
    </row>
    <row r="119" spans="9:9" x14ac:dyDescent="0.3">
      <c r="I119" s="18"/>
    </row>
    <row r="120" spans="9:9" x14ac:dyDescent="0.3">
      <c r="I120" s="18"/>
    </row>
    <row r="121" spans="9:9" x14ac:dyDescent="0.3">
      <c r="I121" s="18"/>
    </row>
    <row r="122" spans="9:9" x14ac:dyDescent="0.3">
      <c r="I122" s="18"/>
    </row>
    <row r="123" spans="9:9" x14ac:dyDescent="0.3">
      <c r="I123" s="18"/>
    </row>
    <row r="124" spans="9:9" x14ac:dyDescent="0.3">
      <c r="I124" s="18"/>
    </row>
    <row r="125" spans="9:9" x14ac:dyDescent="0.3">
      <c r="I125" s="18"/>
    </row>
    <row r="126" spans="9:9" x14ac:dyDescent="0.3">
      <c r="I126" s="18"/>
    </row>
    <row r="127" spans="9:9" x14ac:dyDescent="0.3">
      <c r="I127" s="18"/>
    </row>
    <row r="128" spans="9:9" x14ac:dyDescent="0.3">
      <c r="I128" s="18"/>
    </row>
    <row r="129" spans="9:9" x14ac:dyDescent="0.3">
      <c r="I129" s="18"/>
    </row>
    <row r="130" spans="9:9" x14ac:dyDescent="0.3">
      <c r="I130" s="18"/>
    </row>
    <row r="131" spans="9:9" x14ac:dyDescent="0.3">
      <c r="I131" s="18"/>
    </row>
    <row r="132" spans="9:9" x14ac:dyDescent="0.3">
      <c r="I132" s="18"/>
    </row>
    <row r="133" spans="9:9" x14ac:dyDescent="0.3">
      <c r="I133" s="18"/>
    </row>
    <row r="134" spans="9:9" x14ac:dyDescent="0.3">
      <c r="I134" s="18"/>
    </row>
    <row r="135" spans="9:9" x14ac:dyDescent="0.3">
      <c r="I135" s="18"/>
    </row>
    <row r="136" spans="9:9" x14ac:dyDescent="0.3">
      <c r="I136" s="18"/>
    </row>
    <row r="137" spans="9:9" x14ac:dyDescent="0.3">
      <c r="I137" s="18"/>
    </row>
    <row r="138" spans="9:9" x14ac:dyDescent="0.3">
      <c r="I138" s="18"/>
    </row>
    <row r="139" spans="9:9" x14ac:dyDescent="0.3">
      <c r="I139" s="18"/>
    </row>
    <row r="140" spans="9:9" x14ac:dyDescent="0.3">
      <c r="I140" s="18"/>
    </row>
    <row r="141" spans="9:9" x14ac:dyDescent="0.3">
      <c r="I141" s="18"/>
    </row>
    <row r="142" spans="9:9" x14ac:dyDescent="0.3">
      <c r="I142" s="18"/>
    </row>
    <row r="143" spans="9:9" x14ac:dyDescent="0.3">
      <c r="I143" s="18"/>
    </row>
    <row r="144" spans="9:9" x14ac:dyDescent="0.3">
      <c r="I144" s="18"/>
    </row>
    <row r="145" spans="9:9" x14ac:dyDescent="0.3">
      <c r="I145" s="18"/>
    </row>
    <row r="146" spans="9:9" x14ac:dyDescent="0.3">
      <c r="I146" s="18"/>
    </row>
    <row r="147" spans="9:9" x14ac:dyDescent="0.3">
      <c r="I147" s="18"/>
    </row>
    <row r="148" spans="9:9" x14ac:dyDescent="0.3">
      <c r="I148" s="18"/>
    </row>
    <row r="149" spans="9:9" x14ac:dyDescent="0.3">
      <c r="I149" s="18"/>
    </row>
    <row r="150" spans="9:9" x14ac:dyDescent="0.3">
      <c r="I150" s="18"/>
    </row>
    <row r="151" spans="9:9" x14ac:dyDescent="0.3">
      <c r="I151" s="18"/>
    </row>
    <row r="152" spans="9:9" x14ac:dyDescent="0.3">
      <c r="I152" s="18"/>
    </row>
    <row r="153" spans="9:9" x14ac:dyDescent="0.3">
      <c r="I153" s="18"/>
    </row>
    <row r="154" spans="9:9" x14ac:dyDescent="0.3">
      <c r="I154" s="18"/>
    </row>
    <row r="155" spans="9:9" x14ac:dyDescent="0.3">
      <c r="I155" s="18"/>
    </row>
    <row r="156" spans="9:9" x14ac:dyDescent="0.3">
      <c r="I156" s="18"/>
    </row>
    <row r="157" spans="9:9" x14ac:dyDescent="0.3">
      <c r="I157" s="18"/>
    </row>
    <row r="158" spans="9:9" x14ac:dyDescent="0.3">
      <c r="I158" s="18"/>
    </row>
    <row r="159" spans="9:9" x14ac:dyDescent="0.3">
      <c r="I159" s="18"/>
    </row>
    <row r="160" spans="9:9" x14ac:dyDescent="0.3">
      <c r="I160" s="18"/>
    </row>
    <row r="161" spans="9:9" x14ac:dyDescent="0.3">
      <c r="I161" s="18"/>
    </row>
    <row r="162" spans="9:9" x14ac:dyDescent="0.3">
      <c r="I162" s="18"/>
    </row>
    <row r="163" spans="9:9" x14ac:dyDescent="0.3">
      <c r="I163" s="18"/>
    </row>
    <row r="164" spans="9:9" x14ac:dyDescent="0.3">
      <c r="I164" s="18"/>
    </row>
    <row r="165" spans="9:9" x14ac:dyDescent="0.3">
      <c r="I165" s="18"/>
    </row>
    <row r="166" spans="9:9" x14ac:dyDescent="0.3">
      <c r="I166" s="18"/>
    </row>
    <row r="167" spans="9:9" x14ac:dyDescent="0.3">
      <c r="I167" s="18"/>
    </row>
    <row r="168" spans="9:9" x14ac:dyDescent="0.3">
      <c r="I168" s="18"/>
    </row>
    <row r="169" spans="9:9" x14ac:dyDescent="0.3">
      <c r="I169" s="18"/>
    </row>
    <row r="170" spans="9:9" x14ac:dyDescent="0.3">
      <c r="I170" s="18"/>
    </row>
    <row r="171" spans="9:9" x14ac:dyDescent="0.3">
      <c r="I171" s="18"/>
    </row>
    <row r="172" spans="9:9" x14ac:dyDescent="0.3">
      <c r="I172" s="18"/>
    </row>
    <row r="173" spans="9:9" x14ac:dyDescent="0.3">
      <c r="I173" s="18"/>
    </row>
    <row r="174" spans="9:9" x14ac:dyDescent="0.3">
      <c r="I174" s="18"/>
    </row>
    <row r="175" spans="9:9" x14ac:dyDescent="0.3">
      <c r="I175" s="18"/>
    </row>
    <row r="176" spans="9:9" x14ac:dyDescent="0.3">
      <c r="I176" s="18"/>
    </row>
    <row r="177" spans="9:9" x14ac:dyDescent="0.3">
      <c r="I177" s="18"/>
    </row>
    <row r="178" spans="9:9" x14ac:dyDescent="0.3">
      <c r="I178" s="18"/>
    </row>
    <row r="179" spans="9:9" x14ac:dyDescent="0.3">
      <c r="I179" s="18"/>
    </row>
    <row r="180" spans="9:9" x14ac:dyDescent="0.3">
      <c r="I180" s="18"/>
    </row>
    <row r="181" spans="9:9" x14ac:dyDescent="0.3">
      <c r="I181" s="18"/>
    </row>
    <row r="182" spans="9:9" x14ac:dyDescent="0.3">
      <c r="I182" s="18"/>
    </row>
    <row r="183" spans="9:9" x14ac:dyDescent="0.3">
      <c r="I183" s="18"/>
    </row>
    <row r="184" spans="9:9" x14ac:dyDescent="0.3">
      <c r="I184" s="18"/>
    </row>
    <row r="185" spans="9:9" x14ac:dyDescent="0.3">
      <c r="I185" s="18"/>
    </row>
    <row r="186" spans="9:9" x14ac:dyDescent="0.3">
      <c r="I186" s="18"/>
    </row>
    <row r="187" spans="9:9" x14ac:dyDescent="0.3">
      <c r="I187" s="18"/>
    </row>
    <row r="188" spans="9:9" x14ac:dyDescent="0.3">
      <c r="I188" s="18"/>
    </row>
    <row r="189" spans="9:9" x14ac:dyDescent="0.3">
      <c r="I189" s="18"/>
    </row>
    <row r="190" spans="9:9" x14ac:dyDescent="0.3">
      <c r="I190" s="18"/>
    </row>
    <row r="191" spans="9:9" x14ac:dyDescent="0.3">
      <c r="I191" s="18"/>
    </row>
    <row r="192" spans="9:9" x14ac:dyDescent="0.3">
      <c r="I192" s="18"/>
    </row>
    <row r="193" spans="9:9" x14ac:dyDescent="0.3">
      <c r="I193" s="18"/>
    </row>
    <row r="194" spans="9:9" x14ac:dyDescent="0.3">
      <c r="I194" s="18"/>
    </row>
    <row r="195" spans="9:9" x14ac:dyDescent="0.3">
      <c r="I195" s="18"/>
    </row>
    <row r="196" spans="9:9" x14ac:dyDescent="0.3">
      <c r="I196" s="18"/>
    </row>
    <row r="197" spans="9:9" x14ac:dyDescent="0.3">
      <c r="I197" s="18"/>
    </row>
    <row r="198" spans="9:9" x14ac:dyDescent="0.3">
      <c r="I198" s="18"/>
    </row>
    <row r="199" spans="9:9" x14ac:dyDescent="0.3">
      <c r="I199" s="18"/>
    </row>
    <row r="200" spans="9:9" x14ac:dyDescent="0.3">
      <c r="I200" s="18"/>
    </row>
    <row r="201" spans="9:9" x14ac:dyDescent="0.3">
      <c r="I201" s="18"/>
    </row>
    <row r="202" spans="9:9" x14ac:dyDescent="0.3">
      <c r="I202" s="18"/>
    </row>
    <row r="203" spans="9:9" x14ac:dyDescent="0.3">
      <c r="I203" s="18"/>
    </row>
    <row r="204" spans="9:9" x14ac:dyDescent="0.3">
      <c r="I204" s="18"/>
    </row>
    <row r="205" spans="9:9" x14ac:dyDescent="0.3">
      <c r="I205" s="18"/>
    </row>
    <row r="206" spans="9:9" x14ac:dyDescent="0.3">
      <c r="I206" s="18"/>
    </row>
    <row r="207" spans="9:9" x14ac:dyDescent="0.3">
      <c r="I207" s="18"/>
    </row>
    <row r="208" spans="9:9" x14ac:dyDescent="0.3">
      <c r="I208" s="18"/>
    </row>
    <row r="209" spans="9:9" x14ac:dyDescent="0.3">
      <c r="I209" s="18"/>
    </row>
    <row r="210" spans="9:9" x14ac:dyDescent="0.3">
      <c r="I210" s="18"/>
    </row>
    <row r="211" spans="9:9" x14ac:dyDescent="0.3">
      <c r="I211" s="18"/>
    </row>
    <row r="212" spans="9:9" x14ac:dyDescent="0.3">
      <c r="I212" s="18"/>
    </row>
    <row r="213" spans="9:9" x14ac:dyDescent="0.3">
      <c r="I213" s="18"/>
    </row>
    <row r="214" spans="9:9" x14ac:dyDescent="0.3">
      <c r="I214" s="18"/>
    </row>
    <row r="215" spans="9:9" x14ac:dyDescent="0.3">
      <c r="I215" s="18"/>
    </row>
    <row r="216" spans="9:9" x14ac:dyDescent="0.3">
      <c r="I216" s="18"/>
    </row>
    <row r="217" spans="9:9" x14ac:dyDescent="0.3">
      <c r="I217" s="18"/>
    </row>
    <row r="218" spans="9:9" x14ac:dyDescent="0.3">
      <c r="I218" s="18"/>
    </row>
    <row r="219" spans="9:9" x14ac:dyDescent="0.3">
      <c r="I219" s="18"/>
    </row>
    <row r="220" spans="9:9" x14ac:dyDescent="0.3">
      <c r="I220" s="18"/>
    </row>
    <row r="221" spans="9:9" x14ac:dyDescent="0.3">
      <c r="I221" s="18"/>
    </row>
    <row r="222" spans="9:9" x14ac:dyDescent="0.3">
      <c r="I222" s="18"/>
    </row>
    <row r="223" spans="9:9" x14ac:dyDescent="0.3">
      <c r="I223" s="18"/>
    </row>
    <row r="224" spans="9:9" x14ac:dyDescent="0.3">
      <c r="I224" s="18"/>
    </row>
    <row r="225" spans="9:9" x14ac:dyDescent="0.3">
      <c r="I225" s="18"/>
    </row>
    <row r="226" spans="9:9" x14ac:dyDescent="0.3">
      <c r="I226" s="18"/>
    </row>
    <row r="227" spans="9:9" x14ac:dyDescent="0.3">
      <c r="I227" s="18"/>
    </row>
    <row r="228" spans="9:9" x14ac:dyDescent="0.3">
      <c r="I228" s="18"/>
    </row>
    <row r="229" spans="9:9" x14ac:dyDescent="0.3">
      <c r="I229" s="18"/>
    </row>
    <row r="230" spans="9:9" x14ac:dyDescent="0.3">
      <c r="I230" s="18"/>
    </row>
    <row r="231" spans="9:9" x14ac:dyDescent="0.3">
      <c r="I231" s="18"/>
    </row>
    <row r="232" spans="9:9" x14ac:dyDescent="0.3">
      <c r="I232" s="18"/>
    </row>
    <row r="233" spans="9:9" x14ac:dyDescent="0.3">
      <c r="I233" s="18"/>
    </row>
    <row r="234" spans="9:9" x14ac:dyDescent="0.3">
      <c r="I234" s="18"/>
    </row>
    <row r="235" spans="9:9" x14ac:dyDescent="0.3">
      <c r="I235" s="18"/>
    </row>
    <row r="236" spans="9:9" x14ac:dyDescent="0.3">
      <c r="I236" s="18"/>
    </row>
    <row r="237" spans="9:9" x14ac:dyDescent="0.3">
      <c r="I237" s="18"/>
    </row>
    <row r="238" spans="9:9" x14ac:dyDescent="0.3">
      <c r="I238" s="18"/>
    </row>
    <row r="239" spans="9:9" x14ac:dyDescent="0.3">
      <c r="I239" s="18"/>
    </row>
    <row r="240" spans="9:9" x14ac:dyDescent="0.3">
      <c r="I240" s="18"/>
    </row>
    <row r="241" spans="9:9" x14ac:dyDescent="0.3">
      <c r="I241" s="18"/>
    </row>
    <row r="242" spans="9:9" x14ac:dyDescent="0.3">
      <c r="I242" s="18"/>
    </row>
    <row r="243" spans="9:9" x14ac:dyDescent="0.3">
      <c r="I243" s="18"/>
    </row>
    <row r="244" spans="9:9" x14ac:dyDescent="0.3">
      <c r="I244" s="18"/>
    </row>
    <row r="245" spans="9:9" x14ac:dyDescent="0.3">
      <c r="I245" s="18"/>
    </row>
    <row r="246" spans="9:9" x14ac:dyDescent="0.3">
      <c r="I246" s="18"/>
    </row>
    <row r="247" spans="9:9" x14ac:dyDescent="0.3">
      <c r="I247" s="18"/>
    </row>
    <row r="248" spans="9:9" x14ac:dyDescent="0.3">
      <c r="I248" s="18"/>
    </row>
    <row r="249" spans="9:9" x14ac:dyDescent="0.3">
      <c r="I249" s="18"/>
    </row>
    <row r="250" spans="9:9" x14ac:dyDescent="0.3">
      <c r="I250" s="18"/>
    </row>
    <row r="251" spans="9:9" x14ac:dyDescent="0.3">
      <c r="I251" s="18"/>
    </row>
    <row r="252" spans="9:9" x14ac:dyDescent="0.3">
      <c r="I252" s="18"/>
    </row>
    <row r="253" spans="9:9" x14ac:dyDescent="0.3">
      <c r="I253" s="18"/>
    </row>
    <row r="254" spans="9:9" x14ac:dyDescent="0.3">
      <c r="I254" s="18"/>
    </row>
    <row r="255" spans="9:9" x14ac:dyDescent="0.3">
      <c r="I255" s="18"/>
    </row>
    <row r="256" spans="9:9" x14ac:dyDescent="0.3">
      <c r="I256" s="18"/>
    </row>
    <row r="257" spans="9:9" x14ac:dyDescent="0.3">
      <c r="I257" s="18"/>
    </row>
    <row r="258" spans="9:9" x14ac:dyDescent="0.3">
      <c r="I258" s="18"/>
    </row>
    <row r="259" spans="9:9" x14ac:dyDescent="0.3">
      <c r="I259" s="18"/>
    </row>
    <row r="260" spans="9:9" x14ac:dyDescent="0.3">
      <c r="I260" s="18"/>
    </row>
    <row r="261" spans="9:9" x14ac:dyDescent="0.3">
      <c r="I261" s="18"/>
    </row>
    <row r="262" spans="9:9" x14ac:dyDescent="0.3">
      <c r="I262" s="18"/>
    </row>
    <row r="263" spans="9:9" x14ac:dyDescent="0.3">
      <c r="I263" s="18"/>
    </row>
    <row r="264" spans="9:9" x14ac:dyDescent="0.3">
      <c r="I264" s="18"/>
    </row>
    <row r="265" spans="9:9" x14ac:dyDescent="0.3">
      <c r="I265" s="18"/>
    </row>
    <row r="266" spans="9:9" x14ac:dyDescent="0.3">
      <c r="I266" s="18"/>
    </row>
    <row r="267" spans="9:9" x14ac:dyDescent="0.3">
      <c r="I267" s="18"/>
    </row>
    <row r="268" spans="9:9" x14ac:dyDescent="0.3">
      <c r="I268" s="18"/>
    </row>
    <row r="269" spans="9:9" x14ac:dyDescent="0.3">
      <c r="I269" s="18"/>
    </row>
    <row r="270" spans="9:9" x14ac:dyDescent="0.3">
      <c r="I270" s="18"/>
    </row>
    <row r="271" spans="9:9" x14ac:dyDescent="0.3">
      <c r="I271" s="18"/>
    </row>
    <row r="272" spans="9:9" x14ac:dyDescent="0.3">
      <c r="I272" s="18"/>
    </row>
    <row r="273" spans="9:9" x14ac:dyDescent="0.3">
      <c r="I273" s="18"/>
    </row>
    <row r="274" spans="9:9" x14ac:dyDescent="0.3">
      <c r="I274" s="18"/>
    </row>
    <row r="275" spans="9:9" x14ac:dyDescent="0.3">
      <c r="I275" s="18"/>
    </row>
    <row r="276" spans="9:9" x14ac:dyDescent="0.3">
      <c r="I276" s="18"/>
    </row>
    <row r="277" spans="9:9" x14ac:dyDescent="0.3">
      <c r="I277" s="18"/>
    </row>
    <row r="278" spans="9:9" x14ac:dyDescent="0.3">
      <c r="I278" s="18"/>
    </row>
    <row r="279" spans="9:9" x14ac:dyDescent="0.3">
      <c r="I279" s="18"/>
    </row>
    <row r="280" spans="9:9" x14ac:dyDescent="0.3">
      <c r="I280" s="18"/>
    </row>
    <row r="281" spans="9:9" x14ac:dyDescent="0.3">
      <c r="I281" s="18"/>
    </row>
    <row r="282" spans="9:9" x14ac:dyDescent="0.3">
      <c r="I282" s="18"/>
    </row>
    <row r="283" spans="9:9" x14ac:dyDescent="0.3">
      <c r="I283" s="18"/>
    </row>
    <row r="284" spans="9:9" x14ac:dyDescent="0.3">
      <c r="I284" s="18"/>
    </row>
    <row r="285" spans="9:9" x14ac:dyDescent="0.3">
      <c r="I285" s="18"/>
    </row>
    <row r="286" spans="9:9" x14ac:dyDescent="0.3">
      <c r="I286" s="18"/>
    </row>
    <row r="287" spans="9:9" x14ac:dyDescent="0.3">
      <c r="I287" s="18"/>
    </row>
    <row r="288" spans="9:9" x14ac:dyDescent="0.3">
      <c r="I288" s="18"/>
    </row>
    <row r="289" spans="9:9" x14ac:dyDescent="0.3">
      <c r="I289" s="18"/>
    </row>
    <row r="290" spans="9:9" x14ac:dyDescent="0.3">
      <c r="I290" s="18"/>
    </row>
    <row r="291" spans="9:9" x14ac:dyDescent="0.3">
      <c r="I291" s="18"/>
    </row>
    <row r="292" spans="9:9" x14ac:dyDescent="0.3">
      <c r="I292" s="18"/>
    </row>
    <row r="293" spans="9:9" x14ac:dyDescent="0.3">
      <c r="I293" s="18"/>
    </row>
    <row r="294" spans="9:9" x14ac:dyDescent="0.3">
      <c r="I294" s="18"/>
    </row>
    <row r="295" spans="9:9" x14ac:dyDescent="0.3">
      <c r="I295" s="18"/>
    </row>
    <row r="296" spans="9:9" x14ac:dyDescent="0.3">
      <c r="I296" s="18"/>
    </row>
    <row r="297" spans="9:9" x14ac:dyDescent="0.3">
      <c r="I297" s="18"/>
    </row>
    <row r="298" spans="9:9" x14ac:dyDescent="0.3">
      <c r="I298" s="18"/>
    </row>
    <row r="299" spans="9:9" x14ac:dyDescent="0.3">
      <c r="I299" s="18"/>
    </row>
    <row r="300" spans="9:9" x14ac:dyDescent="0.3">
      <c r="I300" s="18"/>
    </row>
    <row r="301" spans="9:9" x14ac:dyDescent="0.3">
      <c r="I301" s="18"/>
    </row>
    <row r="302" spans="9:9" x14ac:dyDescent="0.3">
      <c r="I302" s="18"/>
    </row>
    <row r="303" spans="9:9" x14ac:dyDescent="0.3">
      <c r="I303" s="18"/>
    </row>
    <row r="304" spans="9:9" x14ac:dyDescent="0.3">
      <c r="I304" s="18"/>
    </row>
    <row r="305" spans="9:9" x14ac:dyDescent="0.3">
      <c r="I305" s="18"/>
    </row>
    <row r="306" spans="9:9" x14ac:dyDescent="0.3">
      <c r="I306" s="18"/>
    </row>
    <row r="307" spans="9:9" x14ac:dyDescent="0.3">
      <c r="I307" s="18"/>
    </row>
    <row r="308" spans="9:9" x14ac:dyDescent="0.3">
      <c r="I308" s="18"/>
    </row>
    <row r="309" spans="9:9" x14ac:dyDescent="0.3">
      <c r="I309" s="18"/>
    </row>
    <row r="310" spans="9:9" x14ac:dyDescent="0.3">
      <c r="I310" s="18"/>
    </row>
    <row r="311" spans="9:9" x14ac:dyDescent="0.3">
      <c r="I311" s="18"/>
    </row>
    <row r="312" spans="9:9" x14ac:dyDescent="0.3">
      <c r="I312" s="18"/>
    </row>
    <row r="313" spans="9:9" x14ac:dyDescent="0.3">
      <c r="I313" s="18"/>
    </row>
    <row r="314" spans="9:9" x14ac:dyDescent="0.3">
      <c r="I314" s="18"/>
    </row>
    <row r="315" spans="9:9" x14ac:dyDescent="0.3">
      <c r="I315" s="18"/>
    </row>
    <row r="316" spans="9:9" x14ac:dyDescent="0.3">
      <c r="I316" s="18"/>
    </row>
    <row r="317" spans="9:9" x14ac:dyDescent="0.3">
      <c r="I317" s="18"/>
    </row>
    <row r="318" spans="9:9" x14ac:dyDescent="0.3">
      <c r="I318" s="18"/>
    </row>
    <row r="319" spans="9:9" x14ac:dyDescent="0.3">
      <c r="I319" s="18"/>
    </row>
    <row r="320" spans="9:9" x14ac:dyDescent="0.3">
      <c r="I320" s="18"/>
    </row>
    <row r="321" spans="9:9" x14ac:dyDescent="0.3">
      <c r="I321" s="18"/>
    </row>
    <row r="322" spans="9:9" x14ac:dyDescent="0.3">
      <c r="I322" s="18"/>
    </row>
    <row r="323" spans="9:9" x14ac:dyDescent="0.3">
      <c r="I323" s="18"/>
    </row>
    <row r="324" spans="9:9" x14ac:dyDescent="0.3">
      <c r="I324" s="18"/>
    </row>
    <row r="325" spans="9:9" x14ac:dyDescent="0.3">
      <c r="I325" s="18"/>
    </row>
    <row r="326" spans="9:9" x14ac:dyDescent="0.3">
      <c r="I326" s="18"/>
    </row>
    <row r="327" spans="9:9" x14ac:dyDescent="0.3">
      <c r="I327" s="18"/>
    </row>
    <row r="328" spans="9:9" x14ac:dyDescent="0.3">
      <c r="I328" s="18"/>
    </row>
    <row r="329" spans="9:9" x14ac:dyDescent="0.3">
      <c r="I329" s="18"/>
    </row>
    <row r="330" spans="9:9" x14ac:dyDescent="0.3">
      <c r="I330" s="18"/>
    </row>
    <row r="331" spans="9:9" x14ac:dyDescent="0.3">
      <c r="I331" s="18"/>
    </row>
    <row r="332" spans="9:9" x14ac:dyDescent="0.3">
      <c r="I332" s="18"/>
    </row>
    <row r="333" spans="9:9" x14ac:dyDescent="0.3">
      <c r="I333" s="18"/>
    </row>
    <row r="334" spans="9:9" x14ac:dyDescent="0.3">
      <c r="I334" s="18"/>
    </row>
    <row r="335" spans="9:9" x14ac:dyDescent="0.3">
      <c r="I335" s="18"/>
    </row>
    <row r="336" spans="9:9" x14ac:dyDescent="0.3">
      <c r="I336" s="18"/>
    </row>
    <row r="337" spans="9:9" x14ac:dyDescent="0.3">
      <c r="I337" s="18"/>
    </row>
    <row r="338" spans="9:9" x14ac:dyDescent="0.3">
      <c r="I338" s="18"/>
    </row>
    <row r="339" spans="9:9" x14ac:dyDescent="0.3">
      <c r="I339" s="18"/>
    </row>
    <row r="340" spans="9:9" x14ac:dyDescent="0.3">
      <c r="I340" s="18"/>
    </row>
    <row r="341" spans="9:9" x14ac:dyDescent="0.3">
      <c r="I341" s="18"/>
    </row>
    <row r="342" spans="9:9" x14ac:dyDescent="0.3">
      <c r="I342" s="1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202B-50BD-4224-93FB-46EC58326D44}">
  <sheetPr codeName="Sheet8"/>
  <dimension ref="A1:Q342"/>
  <sheetViews>
    <sheetView rightToLeft="1" zoomScale="113" zoomScaleNormal="113" workbookViewId="0">
      <pane ySplit="13" topLeftCell="A59" activePane="bottomLeft" state="frozen"/>
      <selection pane="bottomLeft" activeCell="I66" sqref="I66"/>
    </sheetView>
  </sheetViews>
  <sheetFormatPr defaultRowHeight="15.6" x14ac:dyDescent="0.3"/>
  <cols>
    <col min="1" max="1" width="12" style="2" bestFit="1" customWidth="1"/>
    <col min="2" max="2" width="5.109375" style="2" bestFit="1" customWidth="1"/>
    <col min="3" max="3" width="7.6640625" style="2" bestFit="1" customWidth="1"/>
    <col min="4" max="4" width="9.109375" style="2" bestFit="1" customWidth="1"/>
    <col min="5" max="5" width="5.109375" style="2" bestFit="1" customWidth="1"/>
    <col min="6" max="6" width="12.88671875" style="2" bestFit="1" customWidth="1"/>
    <col min="7" max="7" width="4.5546875" style="2" customWidth="1"/>
    <col min="8" max="8" width="19.88671875" style="8" customWidth="1"/>
    <col min="9" max="9" width="14.6640625" style="7" bestFit="1" customWidth="1"/>
    <col min="10" max="10" width="8.5546875" style="11" bestFit="1" customWidth="1"/>
    <col min="11" max="11" width="3.77734375" style="6" customWidth="1"/>
    <col min="12" max="12" width="11.44140625" style="2" customWidth="1"/>
    <col min="13" max="13" width="5.109375" style="2" bestFit="1" customWidth="1"/>
    <col min="14" max="14" width="11.5546875" style="2" bestFit="1" customWidth="1"/>
    <col min="15" max="15" width="10.21875" style="2" customWidth="1"/>
    <col min="16" max="16" width="7.77734375" style="2" customWidth="1"/>
    <col min="17" max="17" width="18.44140625" style="2" bestFit="1" customWidth="1"/>
    <col min="18" max="16384" width="8.88671875" style="2"/>
  </cols>
  <sheetData>
    <row r="1" spans="1:17" x14ac:dyDescent="0.3">
      <c r="A1" s="2" t="s">
        <v>29</v>
      </c>
      <c r="H1" s="8" t="s">
        <v>38</v>
      </c>
      <c r="L1" s="2" t="s">
        <v>33</v>
      </c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B3" s="2">
        <v>3</v>
      </c>
      <c r="C3" s="21">
        <f>A3*B3</f>
        <v>3</v>
      </c>
      <c r="D3" s="17">
        <v>5</v>
      </c>
      <c r="E3" s="2">
        <v>31</v>
      </c>
      <c r="F3" s="23">
        <f>D3*E3</f>
        <v>155</v>
      </c>
      <c r="G3" s="5"/>
      <c r="H3" s="10"/>
      <c r="I3" s="20"/>
      <c r="J3" s="11">
        <v>217</v>
      </c>
      <c r="L3" s="15">
        <v>1</v>
      </c>
      <c r="N3" s="21">
        <f>L3*M3</f>
        <v>0</v>
      </c>
      <c r="O3" s="17">
        <v>5</v>
      </c>
      <c r="P3" s="2">
        <v>26</v>
      </c>
      <c r="Q3" s="23">
        <f>O3*P3</f>
        <v>130</v>
      </c>
    </row>
    <row r="4" spans="1:17" x14ac:dyDescent="0.3">
      <c r="A4" s="15">
        <v>5</v>
      </c>
      <c r="B4" s="2">
        <v>9</v>
      </c>
      <c r="C4" s="21">
        <f t="shared" ref="C4:C8" si="0">A4*B4</f>
        <v>45</v>
      </c>
      <c r="D4" s="17">
        <v>10</v>
      </c>
      <c r="E4" s="2">
        <v>26</v>
      </c>
      <c r="F4" s="23">
        <f t="shared" ref="F4:F7" si="1">D4*E4</f>
        <v>260</v>
      </c>
      <c r="G4" s="5"/>
      <c r="H4" s="10"/>
      <c r="I4" s="20"/>
      <c r="J4" s="11">
        <v>70</v>
      </c>
      <c r="L4" s="15">
        <v>5</v>
      </c>
      <c r="M4" s="2">
        <v>7</v>
      </c>
      <c r="N4" s="21">
        <f t="shared" ref="N4:N8" si="2">L4*M4</f>
        <v>35</v>
      </c>
      <c r="O4" s="17">
        <v>10</v>
      </c>
      <c r="P4" s="2">
        <v>15</v>
      </c>
      <c r="Q4" s="23">
        <f t="shared" ref="Q4:Q7" si="3">O4*P4</f>
        <v>150</v>
      </c>
    </row>
    <row r="5" spans="1:17" x14ac:dyDescent="0.3">
      <c r="A5" s="15">
        <v>10</v>
      </c>
      <c r="B5" s="2">
        <v>36</v>
      </c>
      <c r="C5" s="21">
        <f t="shared" si="0"/>
        <v>360</v>
      </c>
      <c r="D5" s="17">
        <v>20</v>
      </c>
      <c r="E5" s="2">
        <v>13</v>
      </c>
      <c r="F5" s="23">
        <f t="shared" si="1"/>
        <v>260</v>
      </c>
      <c r="G5" s="5"/>
      <c r="H5" s="10"/>
      <c r="I5" s="20">
        <v>400</v>
      </c>
      <c r="L5" s="15">
        <v>10</v>
      </c>
      <c r="M5" s="2">
        <v>45</v>
      </c>
      <c r="N5" s="21">
        <f t="shared" si="2"/>
        <v>450</v>
      </c>
      <c r="O5" s="17">
        <v>20</v>
      </c>
      <c r="P5" s="2">
        <v>17</v>
      </c>
      <c r="Q5" s="23">
        <f t="shared" si="3"/>
        <v>340</v>
      </c>
    </row>
    <row r="6" spans="1:17" x14ac:dyDescent="0.3">
      <c r="A6" s="15">
        <v>20</v>
      </c>
      <c r="B6" s="2">
        <v>2</v>
      </c>
      <c r="C6" s="21">
        <f t="shared" si="0"/>
        <v>40</v>
      </c>
      <c r="D6" s="17">
        <v>50</v>
      </c>
      <c r="E6" s="2">
        <v>12</v>
      </c>
      <c r="F6" s="23">
        <f t="shared" si="1"/>
        <v>600</v>
      </c>
      <c r="G6" s="5"/>
      <c r="H6" s="10"/>
      <c r="I6" s="20">
        <v>270</v>
      </c>
      <c r="L6" s="15">
        <v>20</v>
      </c>
      <c r="M6" s="2">
        <v>2</v>
      </c>
      <c r="N6" s="21">
        <f t="shared" si="2"/>
        <v>40</v>
      </c>
      <c r="O6" s="17">
        <v>50</v>
      </c>
      <c r="P6" s="2">
        <v>11</v>
      </c>
      <c r="Q6" s="23">
        <f t="shared" si="3"/>
        <v>550</v>
      </c>
    </row>
    <row r="7" spans="1:17" x14ac:dyDescent="0.3">
      <c r="A7" s="15">
        <v>50</v>
      </c>
      <c r="B7" s="2">
        <v>3</v>
      </c>
      <c r="C7" s="21">
        <f t="shared" si="0"/>
        <v>150</v>
      </c>
      <c r="D7" s="17">
        <v>100</v>
      </c>
      <c r="E7" s="2">
        <v>33</v>
      </c>
      <c r="F7" s="23">
        <f t="shared" si="1"/>
        <v>3300</v>
      </c>
      <c r="G7" s="5"/>
      <c r="H7" s="10"/>
      <c r="I7" s="20">
        <v>600</v>
      </c>
      <c r="J7" s="11">
        <v>300</v>
      </c>
      <c r="L7" s="15">
        <v>50</v>
      </c>
      <c r="M7" s="2">
        <v>4</v>
      </c>
      <c r="N7" s="21">
        <f t="shared" si="2"/>
        <v>200</v>
      </c>
      <c r="O7" s="17">
        <v>100</v>
      </c>
      <c r="P7" s="2">
        <v>70</v>
      </c>
      <c r="Q7" s="23">
        <f t="shared" si="3"/>
        <v>7000</v>
      </c>
    </row>
    <row r="8" spans="1:17" x14ac:dyDescent="0.3">
      <c r="A8" s="15">
        <v>100</v>
      </c>
      <c r="B8" s="2">
        <v>1</v>
      </c>
      <c r="C8" s="21">
        <f t="shared" si="0"/>
        <v>100</v>
      </c>
      <c r="D8" s="1" t="s">
        <v>1</v>
      </c>
      <c r="E8" s="1"/>
      <c r="F8" s="19">
        <f>SUM(F3:F7)</f>
        <v>4575</v>
      </c>
      <c r="G8" s="5"/>
      <c r="H8" s="10"/>
      <c r="I8" s="20"/>
      <c r="J8" s="11">
        <v>500</v>
      </c>
      <c r="L8" s="15">
        <v>100</v>
      </c>
      <c r="M8" s="2">
        <v>15</v>
      </c>
      <c r="N8" s="21">
        <f t="shared" si="2"/>
        <v>1500</v>
      </c>
      <c r="O8" s="1" t="s">
        <v>1</v>
      </c>
      <c r="P8" s="1"/>
      <c r="Q8" s="19">
        <f>SUM(Q3:Q7)</f>
        <v>8170</v>
      </c>
    </row>
    <row r="9" spans="1:17" x14ac:dyDescent="0.3">
      <c r="A9" s="1" t="s">
        <v>1</v>
      </c>
      <c r="B9" s="1"/>
      <c r="C9" s="22">
        <f>SUM(C3:C8)</f>
        <v>698</v>
      </c>
      <c r="H9" s="10"/>
      <c r="I9" s="20">
        <v>100</v>
      </c>
      <c r="L9" s="1" t="s">
        <v>1</v>
      </c>
      <c r="M9" s="1"/>
      <c r="N9" s="22">
        <f>SUM(N3:N8)</f>
        <v>2225</v>
      </c>
      <c r="Q9" s="20"/>
    </row>
    <row r="10" spans="1:17" x14ac:dyDescent="0.3">
      <c r="H10" s="10"/>
      <c r="I10" s="20">
        <v>700</v>
      </c>
      <c r="N10" s="27"/>
      <c r="O10" s="1" t="s">
        <v>40</v>
      </c>
      <c r="P10" s="1"/>
      <c r="Q10" s="24">
        <f>SUM(Table1345678[اللبناني])</f>
        <v>3715</v>
      </c>
    </row>
    <row r="11" spans="1:17" x14ac:dyDescent="0.3">
      <c r="H11" s="10"/>
      <c r="I11" s="20"/>
      <c r="J11" s="11">
        <v>69</v>
      </c>
      <c r="L11" s="1" t="s">
        <v>39</v>
      </c>
      <c r="M11" s="1"/>
      <c r="N11" s="12">
        <f>SUM(Table1345678[الدولار])</f>
        <v>1526</v>
      </c>
      <c r="Q11" s="20"/>
    </row>
    <row r="12" spans="1:17" x14ac:dyDescent="0.3">
      <c r="H12" s="10"/>
      <c r="I12" s="20"/>
      <c r="J12" s="11">
        <v>5</v>
      </c>
      <c r="N12" s="27"/>
      <c r="O12" s="1" t="s">
        <v>27</v>
      </c>
      <c r="P12" s="1"/>
      <c r="Q12" s="24">
        <f>Q8-Q10-F8</f>
        <v>-120</v>
      </c>
    </row>
    <row r="13" spans="1:17" x14ac:dyDescent="0.3">
      <c r="C13" s="14"/>
      <c r="D13" s="14"/>
      <c r="F13" s="14"/>
      <c r="H13" s="10"/>
      <c r="I13" s="20"/>
      <c r="J13" s="11">
        <v>20</v>
      </c>
      <c r="L13" s="1" t="s">
        <v>27</v>
      </c>
      <c r="M13" s="1"/>
      <c r="N13" s="12">
        <f>N9-N11-C9</f>
        <v>1</v>
      </c>
    </row>
    <row r="14" spans="1:17" x14ac:dyDescent="0.3">
      <c r="C14" s="14"/>
      <c r="D14" s="14"/>
      <c r="F14" s="14"/>
      <c r="H14" s="10"/>
      <c r="I14" s="18">
        <v>-100</v>
      </c>
    </row>
    <row r="15" spans="1:17" x14ac:dyDescent="0.3">
      <c r="C15" s="14"/>
      <c r="D15" s="14"/>
      <c r="F15" s="14"/>
      <c r="H15" s="10"/>
      <c r="I15" s="18"/>
      <c r="J15" s="11">
        <v>10</v>
      </c>
    </row>
    <row r="16" spans="1:17" x14ac:dyDescent="0.3">
      <c r="C16" s="14"/>
      <c r="D16" s="14"/>
      <c r="F16" s="14"/>
      <c r="H16" s="10"/>
      <c r="I16" s="18">
        <v>-225</v>
      </c>
      <c r="J16" s="11">
        <v>5</v>
      </c>
    </row>
    <row r="17" spans="3:11" s="11" customFormat="1" x14ac:dyDescent="0.3">
      <c r="C17" s="14"/>
      <c r="D17" s="14"/>
      <c r="E17" s="2"/>
      <c r="F17" s="14"/>
      <c r="G17" s="2"/>
      <c r="H17" s="10"/>
      <c r="I17" s="20"/>
      <c r="J17" s="11">
        <v>23</v>
      </c>
      <c r="K17" s="6"/>
    </row>
    <row r="18" spans="3:11" s="11" customFormat="1" x14ac:dyDescent="0.3">
      <c r="C18" s="14"/>
      <c r="D18" s="2"/>
      <c r="E18" s="2"/>
      <c r="F18" s="14"/>
      <c r="G18" s="2"/>
      <c r="H18" s="10"/>
      <c r="I18" s="20"/>
      <c r="J18" s="11">
        <v>54</v>
      </c>
      <c r="K18" s="6"/>
    </row>
    <row r="19" spans="3:11" s="11" customFormat="1" x14ac:dyDescent="0.3">
      <c r="C19" s="14"/>
      <c r="D19" s="2"/>
      <c r="E19" s="2"/>
      <c r="F19" s="2"/>
      <c r="G19" s="2"/>
      <c r="H19" s="10"/>
      <c r="I19" s="20"/>
      <c r="J19" s="11">
        <v>3</v>
      </c>
      <c r="K19" s="6"/>
    </row>
    <row r="20" spans="3:11" s="11" customFormat="1" x14ac:dyDescent="0.3">
      <c r="C20" s="2"/>
      <c r="D20" s="2"/>
      <c r="E20" s="2"/>
      <c r="F20" s="6"/>
      <c r="G20" s="2"/>
      <c r="H20" s="10"/>
      <c r="I20" s="20"/>
      <c r="J20" s="11">
        <v>65</v>
      </c>
      <c r="K20" s="6"/>
    </row>
    <row r="21" spans="3:11" s="11" customFormat="1" x14ac:dyDescent="0.3">
      <c r="C21" s="6"/>
      <c r="D21" s="2"/>
      <c r="E21" s="2"/>
      <c r="F21" s="2"/>
      <c r="G21" s="2"/>
      <c r="H21" s="10"/>
      <c r="I21" s="20">
        <v>-200</v>
      </c>
      <c r="J21" s="11">
        <v>15</v>
      </c>
      <c r="K21" s="6"/>
    </row>
    <row r="22" spans="3:11" s="11" customFormat="1" x14ac:dyDescent="0.3">
      <c r="C22" s="2"/>
      <c r="D22" s="2"/>
      <c r="E22" s="2"/>
      <c r="F22" s="6"/>
      <c r="G22" s="2"/>
      <c r="H22" s="10"/>
      <c r="I22" s="20">
        <v>-200</v>
      </c>
      <c r="K22" s="6"/>
    </row>
    <row r="23" spans="3:11" s="11" customFormat="1" x14ac:dyDescent="0.3">
      <c r="C23" s="6"/>
      <c r="D23" s="2"/>
      <c r="E23" s="2"/>
      <c r="F23" s="2"/>
      <c r="G23" s="2"/>
      <c r="H23" s="10"/>
      <c r="I23" s="20">
        <v>300</v>
      </c>
      <c r="K23" s="6"/>
    </row>
    <row r="24" spans="3:11" s="11" customFormat="1" x14ac:dyDescent="0.3">
      <c r="C24" s="2"/>
      <c r="D24" s="2"/>
      <c r="E24" s="2"/>
      <c r="F24" s="2"/>
      <c r="G24" s="2"/>
      <c r="H24" s="10"/>
      <c r="I24" s="20"/>
      <c r="J24" s="11">
        <v>700</v>
      </c>
      <c r="K24" s="6"/>
    </row>
    <row r="25" spans="3:11" s="11" customFormat="1" x14ac:dyDescent="0.3">
      <c r="C25" s="2"/>
      <c r="D25" s="2"/>
      <c r="E25" s="2"/>
      <c r="F25" s="2"/>
      <c r="G25" s="2"/>
      <c r="H25" s="10"/>
      <c r="I25" s="20">
        <v>225</v>
      </c>
      <c r="K25" s="6"/>
    </row>
    <row r="26" spans="3:11" s="11" customFormat="1" x14ac:dyDescent="0.3">
      <c r="C26" s="2"/>
      <c r="D26" s="2"/>
      <c r="E26" s="2"/>
      <c r="F26" s="2"/>
      <c r="G26" s="2"/>
      <c r="H26" s="10"/>
      <c r="I26" s="20"/>
      <c r="J26" s="11">
        <v>110</v>
      </c>
      <c r="K26" s="6"/>
    </row>
    <row r="27" spans="3:11" s="11" customFormat="1" x14ac:dyDescent="0.3">
      <c r="C27" s="2"/>
      <c r="D27" s="2"/>
      <c r="E27" s="2"/>
      <c r="F27" s="2"/>
      <c r="G27" s="2"/>
      <c r="H27" s="10"/>
      <c r="I27" s="18">
        <v>30</v>
      </c>
      <c r="K27" s="6"/>
    </row>
    <row r="28" spans="3:11" s="11" customFormat="1" x14ac:dyDescent="0.3">
      <c r="C28" s="2"/>
      <c r="D28" s="2"/>
      <c r="E28" s="2"/>
      <c r="F28" s="2"/>
      <c r="G28" s="2"/>
      <c r="H28" s="8"/>
      <c r="I28" s="18">
        <v>180</v>
      </c>
      <c r="K28" s="6"/>
    </row>
    <row r="29" spans="3:11" s="11" customFormat="1" x14ac:dyDescent="0.3">
      <c r="C29" s="2"/>
      <c r="D29" s="2"/>
      <c r="E29" s="2"/>
      <c r="F29" s="2"/>
      <c r="G29" s="2"/>
      <c r="H29" s="8"/>
      <c r="I29" s="18"/>
      <c r="J29" s="11">
        <v>-40</v>
      </c>
      <c r="K29" s="6"/>
    </row>
    <row r="30" spans="3:11" s="11" customFormat="1" x14ac:dyDescent="0.3">
      <c r="C30" s="2"/>
      <c r="D30" s="2"/>
      <c r="E30" s="2"/>
      <c r="F30" s="2"/>
      <c r="G30" s="2"/>
      <c r="H30" s="8"/>
      <c r="I30" s="18">
        <v>-225</v>
      </c>
      <c r="J30" s="11">
        <v>10</v>
      </c>
      <c r="K30" s="6"/>
    </row>
    <row r="31" spans="3:11" s="11" customFormat="1" x14ac:dyDescent="0.3">
      <c r="C31" s="2"/>
      <c r="D31" s="2"/>
      <c r="E31" s="2"/>
      <c r="F31" s="2"/>
      <c r="G31" s="2"/>
      <c r="H31" s="8"/>
      <c r="I31" s="18">
        <v>-270</v>
      </c>
      <c r="J31" s="11">
        <v>10</v>
      </c>
      <c r="K31" s="6"/>
    </row>
    <row r="32" spans="3:11" s="11" customFormat="1" x14ac:dyDescent="0.3">
      <c r="C32" s="2"/>
      <c r="D32" s="2"/>
      <c r="E32" s="2"/>
      <c r="F32" s="2"/>
      <c r="G32" s="2"/>
      <c r="H32" s="8"/>
      <c r="I32" s="18"/>
      <c r="J32" s="11">
        <v>40</v>
      </c>
      <c r="K32" s="6"/>
    </row>
    <row r="33" spans="8:11" s="11" customFormat="1" x14ac:dyDescent="0.3">
      <c r="H33" s="8"/>
      <c r="I33" s="18">
        <v>-350</v>
      </c>
      <c r="J33" s="11">
        <v>-20</v>
      </c>
      <c r="K33" s="6"/>
    </row>
    <row r="34" spans="8:11" s="11" customFormat="1" x14ac:dyDescent="0.3">
      <c r="H34" s="8"/>
      <c r="I34" s="18"/>
      <c r="J34" s="11">
        <v>5</v>
      </c>
      <c r="K34" s="6"/>
    </row>
    <row r="35" spans="8:11" s="11" customFormat="1" x14ac:dyDescent="0.3">
      <c r="H35" s="8"/>
      <c r="I35" s="18">
        <v>400</v>
      </c>
      <c r="K35" s="6"/>
    </row>
    <row r="36" spans="8:11" s="11" customFormat="1" x14ac:dyDescent="0.3">
      <c r="H36" s="8"/>
      <c r="I36" s="18"/>
      <c r="J36" s="11">
        <v>10</v>
      </c>
      <c r="K36" s="6"/>
    </row>
    <row r="37" spans="8:11" s="11" customFormat="1" x14ac:dyDescent="0.3">
      <c r="H37" s="8"/>
      <c r="I37" s="18"/>
      <c r="J37" s="11">
        <v>-590</v>
      </c>
      <c r="K37" s="6"/>
    </row>
    <row r="38" spans="8:11" s="11" customFormat="1" x14ac:dyDescent="0.3">
      <c r="H38" s="8"/>
      <c r="I38" s="18"/>
      <c r="J38" s="11">
        <v>200</v>
      </c>
      <c r="K38" s="6"/>
    </row>
    <row r="39" spans="8:11" s="11" customFormat="1" x14ac:dyDescent="0.3">
      <c r="H39" s="8"/>
      <c r="I39" s="18">
        <v>-120</v>
      </c>
      <c r="J39" s="11">
        <v>10</v>
      </c>
      <c r="K39" s="6"/>
    </row>
    <row r="40" spans="8:11" s="11" customFormat="1" x14ac:dyDescent="0.3">
      <c r="H40" s="8"/>
      <c r="I40" s="18"/>
      <c r="J40" s="11">
        <v>10</v>
      </c>
      <c r="K40" s="6"/>
    </row>
    <row r="41" spans="8:11" s="11" customFormat="1" x14ac:dyDescent="0.3">
      <c r="H41" s="8"/>
      <c r="I41" s="18">
        <v>-225</v>
      </c>
      <c r="K41" s="6"/>
    </row>
    <row r="42" spans="8:11" s="11" customFormat="1" x14ac:dyDescent="0.3">
      <c r="H42" s="8"/>
      <c r="I42" s="18"/>
      <c r="J42" s="11">
        <v>30</v>
      </c>
      <c r="K42" s="6"/>
    </row>
    <row r="43" spans="8:11" s="11" customFormat="1" x14ac:dyDescent="0.3">
      <c r="H43" s="8"/>
      <c r="I43" s="18">
        <v>-350</v>
      </c>
      <c r="K43" s="6"/>
    </row>
    <row r="44" spans="8:11" s="11" customFormat="1" x14ac:dyDescent="0.3">
      <c r="H44" s="8"/>
      <c r="I44" s="18">
        <v>50</v>
      </c>
      <c r="K44" s="6"/>
    </row>
    <row r="45" spans="8:11" s="11" customFormat="1" x14ac:dyDescent="0.3">
      <c r="H45" s="8"/>
      <c r="I45" s="18"/>
      <c r="J45" s="11">
        <v>5</v>
      </c>
      <c r="K45" s="6"/>
    </row>
    <row r="46" spans="8:11" s="11" customFormat="1" x14ac:dyDescent="0.3">
      <c r="H46" s="8"/>
      <c r="I46" s="18">
        <v>50</v>
      </c>
      <c r="K46" s="6"/>
    </row>
    <row r="47" spans="8:11" s="11" customFormat="1" x14ac:dyDescent="0.3">
      <c r="H47" s="8"/>
      <c r="I47" s="18"/>
      <c r="J47" s="11">
        <v>-550</v>
      </c>
      <c r="K47" s="6"/>
    </row>
    <row r="48" spans="8:11" s="11" customFormat="1" x14ac:dyDescent="0.3">
      <c r="H48" s="8"/>
      <c r="I48" s="18">
        <v>-315</v>
      </c>
      <c r="J48" s="11">
        <v>30</v>
      </c>
      <c r="K48" s="6"/>
    </row>
    <row r="49" spans="8:11" s="11" customFormat="1" x14ac:dyDescent="0.3">
      <c r="H49" s="8"/>
      <c r="I49" s="18">
        <v>-300</v>
      </c>
      <c r="K49" s="6"/>
    </row>
    <row r="50" spans="8:11" s="11" customFormat="1" x14ac:dyDescent="0.3">
      <c r="H50" s="8"/>
      <c r="I50" s="18">
        <v>50</v>
      </c>
      <c r="K50" s="6"/>
    </row>
    <row r="51" spans="8:11" s="11" customFormat="1" x14ac:dyDescent="0.3">
      <c r="H51" s="8"/>
      <c r="I51" s="18">
        <v>200</v>
      </c>
      <c r="K51" s="6"/>
    </row>
    <row r="52" spans="8:11" s="11" customFormat="1" x14ac:dyDescent="0.3">
      <c r="H52" s="8"/>
      <c r="I52" s="18">
        <v>120</v>
      </c>
      <c r="K52" s="6"/>
    </row>
    <row r="53" spans="8:11" s="11" customFormat="1" x14ac:dyDescent="0.3">
      <c r="H53" s="8"/>
      <c r="I53" s="18">
        <v>70</v>
      </c>
      <c r="K53" s="6"/>
    </row>
    <row r="54" spans="8:11" s="11" customFormat="1" x14ac:dyDescent="0.3">
      <c r="H54" s="8"/>
      <c r="I54" s="18"/>
      <c r="J54" s="11">
        <v>60</v>
      </c>
      <c r="K54" s="6"/>
    </row>
    <row r="55" spans="8:11" s="11" customFormat="1" x14ac:dyDescent="0.3">
      <c r="H55" s="8"/>
      <c r="I55" s="18">
        <v>-110</v>
      </c>
      <c r="J55" s="11">
        <v>5</v>
      </c>
      <c r="K55" s="6"/>
    </row>
    <row r="56" spans="8:11" s="11" customFormat="1" x14ac:dyDescent="0.3">
      <c r="H56" s="8"/>
      <c r="I56" s="18">
        <v>320</v>
      </c>
      <c r="J56" s="11">
        <v>4</v>
      </c>
      <c r="K56" s="6"/>
    </row>
    <row r="57" spans="8:11" s="11" customFormat="1" x14ac:dyDescent="0.3">
      <c r="H57" s="8"/>
      <c r="I57" s="18"/>
      <c r="J57" s="11">
        <v>4</v>
      </c>
      <c r="K57" s="6"/>
    </row>
    <row r="58" spans="8:11" s="11" customFormat="1" x14ac:dyDescent="0.3">
      <c r="H58" s="8"/>
      <c r="I58" s="18">
        <v>200</v>
      </c>
      <c r="K58" s="6"/>
    </row>
    <row r="59" spans="8:11" s="11" customFormat="1" x14ac:dyDescent="0.3">
      <c r="H59" s="8"/>
      <c r="I59" s="18">
        <v>-50</v>
      </c>
      <c r="J59" s="11">
        <v>3</v>
      </c>
      <c r="K59" s="6"/>
    </row>
    <row r="60" spans="8:11" s="11" customFormat="1" x14ac:dyDescent="0.3">
      <c r="H60" s="8"/>
      <c r="I60" s="18">
        <v>350</v>
      </c>
      <c r="K60" s="6"/>
    </row>
    <row r="61" spans="8:11" s="11" customFormat="1" x14ac:dyDescent="0.3">
      <c r="H61" s="8"/>
      <c r="I61" s="18"/>
      <c r="J61" s="11">
        <v>104</v>
      </c>
      <c r="K61" s="6"/>
    </row>
    <row r="62" spans="8:11" s="11" customFormat="1" x14ac:dyDescent="0.3">
      <c r="H62" s="8"/>
      <c r="I62" s="18">
        <v>350</v>
      </c>
      <c r="K62" s="6"/>
    </row>
    <row r="63" spans="8:11" s="11" customFormat="1" x14ac:dyDescent="0.3">
      <c r="H63" s="8"/>
      <c r="I63" s="18">
        <v>300</v>
      </c>
      <c r="K63" s="6"/>
    </row>
    <row r="64" spans="8:11" s="11" customFormat="1" x14ac:dyDescent="0.3">
      <c r="H64" s="8"/>
      <c r="I64" s="18">
        <v>600</v>
      </c>
      <c r="K64" s="6"/>
    </row>
    <row r="65" spans="8:11" s="11" customFormat="1" x14ac:dyDescent="0.3">
      <c r="H65" s="8"/>
      <c r="I65" s="18">
        <v>90</v>
      </c>
      <c r="J65" s="11">
        <v>20</v>
      </c>
      <c r="K65" s="6"/>
    </row>
    <row r="66" spans="8:11" s="11" customFormat="1" x14ac:dyDescent="0.3">
      <c r="H66" s="8"/>
      <c r="I66" s="18">
        <v>50</v>
      </c>
      <c r="K66" s="6"/>
    </row>
    <row r="67" spans="8:11" s="11" customFormat="1" x14ac:dyDescent="0.3">
      <c r="H67" s="8"/>
      <c r="I67" s="18">
        <v>750</v>
      </c>
      <c r="K67" s="6"/>
    </row>
    <row r="68" spans="8:11" s="11" customFormat="1" x14ac:dyDescent="0.3">
      <c r="H68" s="8"/>
      <c r="I68" s="18"/>
      <c r="K68" s="6"/>
    </row>
    <row r="69" spans="8:11" s="11" customFormat="1" x14ac:dyDescent="0.3">
      <c r="H69" s="8"/>
      <c r="I69" s="18"/>
      <c r="K69" s="6"/>
    </row>
    <row r="70" spans="8:11" s="11" customFormat="1" x14ac:dyDescent="0.3">
      <c r="H70" s="8"/>
      <c r="I70" s="18"/>
      <c r="K70" s="6"/>
    </row>
    <row r="71" spans="8:11" s="11" customFormat="1" x14ac:dyDescent="0.3">
      <c r="H71" s="8"/>
      <c r="I71" s="18"/>
      <c r="K71" s="6"/>
    </row>
    <row r="72" spans="8:11" s="11" customFormat="1" x14ac:dyDescent="0.3">
      <c r="H72" s="8"/>
      <c r="I72" s="18"/>
      <c r="K72" s="6"/>
    </row>
    <row r="73" spans="8:11" s="11" customFormat="1" x14ac:dyDescent="0.3">
      <c r="H73" s="8"/>
      <c r="I73" s="18"/>
      <c r="K73" s="6"/>
    </row>
    <row r="74" spans="8:11" s="11" customFormat="1" x14ac:dyDescent="0.3">
      <c r="H74" s="8"/>
      <c r="I74" s="18"/>
      <c r="K74" s="6"/>
    </row>
    <row r="75" spans="8:11" s="11" customFormat="1" x14ac:dyDescent="0.3">
      <c r="H75" s="8"/>
      <c r="I75" s="18"/>
      <c r="K75" s="6"/>
    </row>
    <row r="76" spans="8:11" s="11" customFormat="1" x14ac:dyDescent="0.3">
      <c r="H76" s="8"/>
      <c r="I76" s="18"/>
      <c r="K76" s="6"/>
    </row>
    <row r="77" spans="8:11" s="11" customFormat="1" x14ac:dyDescent="0.3">
      <c r="H77" s="8"/>
      <c r="I77" s="18"/>
      <c r="K77" s="6"/>
    </row>
    <row r="78" spans="8:11" s="11" customFormat="1" x14ac:dyDescent="0.3">
      <c r="H78" s="8"/>
      <c r="I78" s="18"/>
      <c r="K78" s="6"/>
    </row>
    <row r="79" spans="8:11" s="11" customFormat="1" x14ac:dyDescent="0.3">
      <c r="H79" s="8"/>
      <c r="I79" s="18"/>
      <c r="K79" s="6"/>
    </row>
    <row r="80" spans="8:11" s="11" customFormat="1" x14ac:dyDescent="0.3">
      <c r="H80" s="8"/>
      <c r="I80" s="18"/>
      <c r="K80" s="6"/>
    </row>
    <row r="81" spans="8:11" s="11" customFormat="1" x14ac:dyDescent="0.3">
      <c r="H81" s="8"/>
      <c r="I81" s="18"/>
      <c r="K81" s="6"/>
    </row>
    <row r="82" spans="8:11" s="11" customFormat="1" x14ac:dyDescent="0.3">
      <c r="H82" s="8"/>
      <c r="I82" s="18"/>
      <c r="K82" s="6"/>
    </row>
    <row r="83" spans="8:11" s="11" customFormat="1" x14ac:dyDescent="0.3">
      <c r="H83" s="8"/>
      <c r="I83" s="18"/>
      <c r="K83" s="6"/>
    </row>
    <row r="84" spans="8:11" s="11" customFormat="1" x14ac:dyDescent="0.3">
      <c r="H84" s="8"/>
      <c r="I84" s="18"/>
      <c r="K84" s="6"/>
    </row>
    <row r="85" spans="8:11" s="11" customFormat="1" x14ac:dyDescent="0.3">
      <c r="H85" s="8"/>
      <c r="I85" s="18"/>
      <c r="K85" s="6"/>
    </row>
    <row r="86" spans="8:11" s="11" customFormat="1" x14ac:dyDescent="0.3">
      <c r="H86" s="8"/>
      <c r="I86" s="18"/>
      <c r="K86" s="6"/>
    </row>
    <row r="87" spans="8:11" s="11" customFormat="1" x14ac:dyDescent="0.3">
      <c r="H87" s="8"/>
      <c r="I87" s="18"/>
      <c r="K87" s="6"/>
    </row>
    <row r="88" spans="8:11" s="11" customFormat="1" x14ac:dyDescent="0.3">
      <c r="H88" s="8"/>
      <c r="I88" s="18"/>
      <c r="K88" s="6"/>
    </row>
    <row r="89" spans="8:11" s="11" customFormat="1" x14ac:dyDescent="0.3">
      <c r="H89" s="8"/>
      <c r="I89" s="18"/>
      <c r="K89" s="6"/>
    </row>
    <row r="90" spans="8:11" s="11" customFormat="1" x14ac:dyDescent="0.3">
      <c r="H90" s="8"/>
      <c r="I90" s="18"/>
      <c r="K90" s="6"/>
    </row>
    <row r="91" spans="8:11" s="11" customFormat="1" x14ac:dyDescent="0.3">
      <c r="H91" s="8"/>
      <c r="I91" s="18"/>
      <c r="K91" s="6"/>
    </row>
    <row r="92" spans="8:11" s="11" customFormat="1" x14ac:dyDescent="0.3">
      <c r="H92" s="8"/>
      <c r="I92" s="18"/>
      <c r="K92" s="6"/>
    </row>
    <row r="93" spans="8:11" s="11" customFormat="1" x14ac:dyDescent="0.3">
      <c r="H93" s="8"/>
      <c r="I93" s="18"/>
      <c r="K93" s="6"/>
    </row>
    <row r="94" spans="8:11" s="11" customFormat="1" x14ac:dyDescent="0.3">
      <c r="H94" s="8"/>
      <c r="I94" s="18"/>
      <c r="K94" s="6"/>
    </row>
    <row r="95" spans="8:11" s="11" customFormat="1" x14ac:dyDescent="0.3">
      <c r="H95" s="8"/>
      <c r="I95" s="18"/>
      <c r="K95" s="6"/>
    </row>
    <row r="96" spans="8:11" s="11" customFormat="1" x14ac:dyDescent="0.3">
      <c r="H96" s="8"/>
      <c r="I96" s="18"/>
      <c r="K96" s="6"/>
    </row>
    <row r="97" spans="8:11" s="11" customFormat="1" x14ac:dyDescent="0.3">
      <c r="H97" s="8"/>
      <c r="I97" s="18"/>
      <c r="K97" s="6"/>
    </row>
    <row r="98" spans="8:11" s="11" customFormat="1" x14ac:dyDescent="0.3">
      <c r="H98" s="8"/>
      <c r="I98" s="18"/>
      <c r="K98" s="6"/>
    </row>
    <row r="99" spans="8:11" s="11" customFormat="1" x14ac:dyDescent="0.3">
      <c r="H99" s="8"/>
      <c r="I99" s="18"/>
      <c r="K99" s="6"/>
    </row>
    <row r="100" spans="8:11" s="11" customFormat="1" x14ac:dyDescent="0.3">
      <c r="H100" s="8"/>
      <c r="I100" s="18"/>
      <c r="K100" s="6"/>
    </row>
    <row r="101" spans="8:11" s="11" customFormat="1" x14ac:dyDescent="0.3">
      <c r="H101" s="8"/>
      <c r="I101" s="18"/>
      <c r="K101" s="6"/>
    </row>
    <row r="102" spans="8:11" s="11" customFormat="1" x14ac:dyDescent="0.3">
      <c r="H102" s="8"/>
      <c r="I102" s="18"/>
      <c r="K102" s="6"/>
    </row>
    <row r="103" spans="8:11" s="11" customFormat="1" x14ac:dyDescent="0.3">
      <c r="H103" s="8"/>
      <c r="I103" s="18"/>
      <c r="K103" s="6"/>
    </row>
    <row r="104" spans="8:11" s="11" customFormat="1" x14ac:dyDescent="0.3">
      <c r="H104" s="8"/>
      <c r="I104" s="18"/>
      <c r="K104" s="6"/>
    </row>
    <row r="105" spans="8:11" s="11" customFormat="1" x14ac:dyDescent="0.3">
      <c r="H105" s="8"/>
      <c r="I105" s="18"/>
      <c r="K105" s="6"/>
    </row>
    <row r="106" spans="8:11" s="11" customFormat="1" x14ac:dyDescent="0.3">
      <c r="H106" s="8"/>
      <c r="I106" s="18"/>
      <c r="K106" s="6"/>
    </row>
    <row r="107" spans="8:11" s="11" customFormat="1" x14ac:dyDescent="0.3">
      <c r="H107" s="8"/>
      <c r="I107" s="18"/>
      <c r="K107" s="6"/>
    </row>
    <row r="108" spans="8:11" s="11" customFormat="1" x14ac:dyDescent="0.3">
      <c r="H108" s="8"/>
      <c r="I108" s="18"/>
      <c r="K108" s="6"/>
    </row>
    <row r="109" spans="8:11" s="11" customFormat="1" x14ac:dyDescent="0.3">
      <c r="H109" s="8"/>
      <c r="I109" s="18"/>
      <c r="K109" s="6"/>
    </row>
    <row r="110" spans="8:11" s="11" customFormat="1" x14ac:dyDescent="0.3">
      <c r="H110" s="8"/>
      <c r="I110" s="18"/>
      <c r="K110" s="6"/>
    </row>
    <row r="111" spans="8:11" s="11" customFormat="1" x14ac:dyDescent="0.3">
      <c r="H111" s="8"/>
      <c r="I111" s="18"/>
      <c r="K111" s="6"/>
    </row>
    <row r="112" spans="8:11" s="11" customFormat="1" x14ac:dyDescent="0.3">
      <c r="H112" s="8"/>
      <c r="I112" s="18"/>
      <c r="K112" s="6"/>
    </row>
    <row r="113" spans="8:11" s="11" customFormat="1" x14ac:dyDescent="0.3">
      <c r="H113" s="8"/>
      <c r="I113" s="18"/>
      <c r="K113" s="6"/>
    </row>
    <row r="114" spans="8:11" s="11" customFormat="1" x14ac:dyDescent="0.3">
      <c r="H114" s="8"/>
      <c r="I114" s="18"/>
      <c r="K114" s="6"/>
    </row>
    <row r="115" spans="8:11" s="11" customFormat="1" x14ac:dyDescent="0.3">
      <c r="H115" s="8"/>
      <c r="I115" s="18"/>
      <c r="K115" s="6"/>
    </row>
    <row r="116" spans="8:11" s="11" customFormat="1" x14ac:dyDescent="0.3">
      <c r="H116" s="8"/>
      <c r="I116" s="18"/>
      <c r="K116" s="6"/>
    </row>
    <row r="117" spans="8:11" s="11" customFormat="1" x14ac:dyDescent="0.3">
      <c r="H117" s="8"/>
      <c r="I117" s="18"/>
      <c r="K117" s="6"/>
    </row>
    <row r="118" spans="8:11" s="11" customFormat="1" x14ac:dyDescent="0.3">
      <c r="H118" s="8"/>
      <c r="I118" s="18"/>
      <c r="K118" s="6"/>
    </row>
    <row r="119" spans="8:11" s="11" customFormat="1" x14ac:dyDescent="0.3">
      <c r="H119" s="8"/>
      <c r="I119" s="18"/>
      <c r="K119" s="6"/>
    </row>
    <row r="120" spans="8:11" s="11" customFormat="1" x14ac:dyDescent="0.3">
      <c r="H120" s="8"/>
      <c r="I120" s="18"/>
      <c r="K120" s="6"/>
    </row>
    <row r="121" spans="8:11" s="11" customFormat="1" x14ac:dyDescent="0.3">
      <c r="H121" s="8"/>
      <c r="I121" s="18"/>
      <c r="K121" s="6"/>
    </row>
    <row r="122" spans="8:11" s="11" customFormat="1" x14ac:dyDescent="0.3">
      <c r="H122" s="8"/>
      <c r="I122" s="18"/>
      <c r="K122" s="6"/>
    </row>
    <row r="123" spans="8:11" s="11" customFormat="1" x14ac:dyDescent="0.3">
      <c r="H123" s="8"/>
      <c r="I123" s="18"/>
      <c r="K123" s="6"/>
    </row>
    <row r="124" spans="8:11" s="11" customFormat="1" x14ac:dyDescent="0.3">
      <c r="H124" s="8"/>
      <c r="I124" s="18"/>
      <c r="K124" s="6"/>
    </row>
    <row r="125" spans="8:11" s="11" customFormat="1" x14ac:dyDescent="0.3">
      <c r="H125" s="8"/>
      <c r="I125" s="18"/>
      <c r="K125" s="6"/>
    </row>
    <row r="126" spans="8:11" s="11" customFormat="1" x14ac:dyDescent="0.3">
      <c r="H126" s="8"/>
      <c r="I126" s="18"/>
      <c r="K126" s="6"/>
    </row>
    <row r="127" spans="8:11" s="11" customFormat="1" x14ac:dyDescent="0.3">
      <c r="H127" s="8"/>
      <c r="I127" s="18"/>
      <c r="K127" s="6"/>
    </row>
    <row r="128" spans="8:11" s="11" customFormat="1" x14ac:dyDescent="0.3">
      <c r="H128" s="8"/>
      <c r="I128" s="18"/>
      <c r="K128" s="6"/>
    </row>
    <row r="129" spans="8:11" s="11" customFormat="1" x14ac:dyDescent="0.3">
      <c r="H129" s="8"/>
      <c r="I129" s="18"/>
      <c r="K129" s="6"/>
    </row>
    <row r="130" spans="8:11" s="11" customFormat="1" x14ac:dyDescent="0.3">
      <c r="H130" s="8"/>
      <c r="I130" s="18"/>
      <c r="K130" s="6"/>
    </row>
    <row r="131" spans="8:11" s="11" customFormat="1" x14ac:dyDescent="0.3">
      <c r="H131" s="8"/>
      <c r="I131" s="18"/>
      <c r="K131" s="6"/>
    </row>
    <row r="132" spans="8:11" s="11" customFormat="1" x14ac:dyDescent="0.3">
      <c r="H132" s="8"/>
      <c r="I132" s="18"/>
      <c r="K132" s="6"/>
    </row>
    <row r="133" spans="8:11" s="11" customFormat="1" x14ac:dyDescent="0.3">
      <c r="H133" s="8"/>
      <c r="I133" s="18"/>
      <c r="K133" s="6"/>
    </row>
    <row r="134" spans="8:11" s="11" customFormat="1" x14ac:dyDescent="0.3">
      <c r="H134" s="8"/>
      <c r="I134" s="18"/>
      <c r="K134" s="6"/>
    </row>
    <row r="135" spans="8:11" s="11" customFormat="1" x14ac:dyDescent="0.3">
      <c r="H135" s="8"/>
      <c r="I135" s="18"/>
      <c r="K135" s="6"/>
    </row>
    <row r="136" spans="8:11" s="11" customFormat="1" x14ac:dyDescent="0.3">
      <c r="H136" s="8"/>
      <c r="I136" s="18"/>
      <c r="K136" s="6"/>
    </row>
    <row r="137" spans="8:11" s="11" customFormat="1" x14ac:dyDescent="0.3">
      <c r="H137" s="8"/>
      <c r="I137" s="18"/>
      <c r="K137" s="6"/>
    </row>
    <row r="138" spans="8:11" s="11" customFormat="1" x14ac:dyDescent="0.3">
      <c r="H138" s="8"/>
      <c r="I138" s="18"/>
      <c r="K138" s="6"/>
    </row>
    <row r="139" spans="8:11" s="11" customFormat="1" x14ac:dyDescent="0.3">
      <c r="H139" s="8"/>
      <c r="I139" s="18"/>
      <c r="K139" s="6"/>
    </row>
    <row r="140" spans="8:11" s="11" customFormat="1" x14ac:dyDescent="0.3">
      <c r="H140" s="8"/>
      <c r="I140" s="18"/>
      <c r="K140" s="6"/>
    </row>
    <row r="141" spans="8:11" s="11" customFormat="1" x14ac:dyDescent="0.3">
      <c r="H141" s="8"/>
      <c r="I141" s="18"/>
      <c r="K141" s="6"/>
    </row>
    <row r="142" spans="8:11" s="11" customFormat="1" x14ac:dyDescent="0.3">
      <c r="H142" s="8"/>
      <c r="I142" s="18"/>
      <c r="K142" s="6"/>
    </row>
    <row r="143" spans="8:11" s="11" customFormat="1" x14ac:dyDescent="0.3">
      <c r="H143" s="8"/>
      <c r="I143" s="18"/>
      <c r="K143" s="6"/>
    </row>
    <row r="144" spans="8:11" s="11" customFormat="1" x14ac:dyDescent="0.3">
      <c r="H144" s="8"/>
      <c r="I144" s="18"/>
      <c r="K144" s="6"/>
    </row>
    <row r="145" spans="8:11" s="11" customFormat="1" x14ac:dyDescent="0.3">
      <c r="H145" s="8"/>
      <c r="I145" s="18"/>
      <c r="K145" s="6"/>
    </row>
    <row r="146" spans="8:11" s="11" customFormat="1" x14ac:dyDescent="0.3">
      <c r="H146" s="8"/>
      <c r="I146" s="18"/>
      <c r="K146" s="6"/>
    </row>
    <row r="147" spans="8:11" s="11" customFormat="1" x14ac:dyDescent="0.3">
      <c r="H147" s="8"/>
      <c r="I147" s="18"/>
      <c r="K147" s="6"/>
    </row>
    <row r="148" spans="8:11" s="11" customFormat="1" x14ac:dyDescent="0.3">
      <c r="H148" s="8"/>
      <c r="I148" s="18"/>
      <c r="K148" s="6"/>
    </row>
    <row r="149" spans="8:11" s="11" customFormat="1" x14ac:dyDescent="0.3">
      <c r="H149" s="8"/>
      <c r="I149" s="18"/>
      <c r="K149" s="6"/>
    </row>
    <row r="150" spans="8:11" s="11" customFormat="1" x14ac:dyDescent="0.3">
      <c r="H150" s="8"/>
      <c r="I150" s="18"/>
      <c r="K150" s="6"/>
    </row>
    <row r="151" spans="8:11" s="11" customFormat="1" x14ac:dyDescent="0.3">
      <c r="H151" s="8"/>
      <c r="I151" s="18"/>
      <c r="K151" s="6"/>
    </row>
    <row r="152" spans="8:11" s="11" customFormat="1" x14ac:dyDescent="0.3">
      <c r="H152" s="8"/>
      <c r="I152" s="18"/>
      <c r="K152" s="6"/>
    </row>
    <row r="153" spans="8:11" s="11" customFormat="1" x14ac:dyDescent="0.3">
      <c r="H153" s="8"/>
      <c r="I153" s="18"/>
      <c r="K153" s="6"/>
    </row>
    <row r="154" spans="8:11" s="11" customFormat="1" x14ac:dyDescent="0.3">
      <c r="H154" s="8"/>
      <c r="I154" s="18"/>
      <c r="K154" s="6"/>
    </row>
    <row r="155" spans="8:11" s="11" customFormat="1" x14ac:dyDescent="0.3">
      <c r="H155" s="8"/>
      <c r="I155" s="18"/>
      <c r="K155" s="6"/>
    </row>
    <row r="156" spans="8:11" s="11" customFormat="1" x14ac:dyDescent="0.3">
      <c r="H156" s="8"/>
      <c r="I156" s="18"/>
      <c r="K156" s="6"/>
    </row>
    <row r="157" spans="8:11" s="11" customFormat="1" x14ac:dyDescent="0.3">
      <c r="H157" s="8"/>
      <c r="I157" s="18"/>
      <c r="K157" s="6"/>
    </row>
    <row r="158" spans="8:11" s="11" customFormat="1" x14ac:dyDescent="0.3">
      <c r="H158" s="8"/>
      <c r="I158" s="18"/>
      <c r="K158" s="6"/>
    </row>
    <row r="159" spans="8:11" s="11" customFormat="1" x14ac:dyDescent="0.3">
      <c r="H159" s="8"/>
      <c r="I159" s="18"/>
      <c r="K159" s="6"/>
    </row>
    <row r="160" spans="8:11" s="11" customFormat="1" x14ac:dyDescent="0.3">
      <c r="H160" s="8"/>
      <c r="I160" s="18"/>
      <c r="K160" s="6"/>
    </row>
    <row r="161" spans="8:11" s="11" customFormat="1" x14ac:dyDescent="0.3">
      <c r="H161" s="8"/>
      <c r="I161" s="18"/>
      <c r="K161" s="6"/>
    </row>
    <row r="162" spans="8:11" s="11" customFormat="1" x14ac:dyDescent="0.3">
      <c r="H162" s="8"/>
      <c r="I162" s="18"/>
      <c r="K162" s="6"/>
    </row>
    <row r="163" spans="8:11" s="11" customFormat="1" x14ac:dyDescent="0.3">
      <c r="H163" s="8"/>
      <c r="I163" s="18"/>
      <c r="K163" s="6"/>
    </row>
    <row r="164" spans="8:11" s="11" customFormat="1" x14ac:dyDescent="0.3">
      <c r="H164" s="8"/>
      <c r="I164" s="18"/>
      <c r="K164" s="6"/>
    </row>
    <row r="165" spans="8:11" s="11" customFormat="1" x14ac:dyDescent="0.3">
      <c r="H165" s="8"/>
      <c r="I165" s="18"/>
      <c r="K165" s="6"/>
    </row>
    <row r="166" spans="8:11" s="11" customFormat="1" x14ac:dyDescent="0.3">
      <c r="H166" s="8"/>
      <c r="I166" s="18"/>
      <c r="K166" s="6"/>
    </row>
    <row r="167" spans="8:11" s="11" customFormat="1" x14ac:dyDescent="0.3">
      <c r="H167" s="8"/>
      <c r="I167" s="18"/>
      <c r="K167" s="6"/>
    </row>
    <row r="168" spans="8:11" s="11" customFormat="1" x14ac:dyDescent="0.3">
      <c r="H168" s="8"/>
      <c r="I168" s="18"/>
      <c r="K168" s="6"/>
    </row>
    <row r="169" spans="8:11" s="11" customFormat="1" x14ac:dyDescent="0.3">
      <c r="H169" s="8"/>
      <c r="I169" s="18"/>
      <c r="K169" s="6"/>
    </row>
    <row r="170" spans="8:11" s="11" customFormat="1" x14ac:dyDescent="0.3">
      <c r="H170" s="8"/>
      <c r="I170" s="18"/>
      <c r="K170" s="6"/>
    </row>
    <row r="171" spans="8:11" s="11" customFormat="1" x14ac:dyDescent="0.3">
      <c r="H171" s="8"/>
      <c r="I171" s="18"/>
      <c r="K171" s="6"/>
    </row>
    <row r="172" spans="8:11" s="11" customFormat="1" x14ac:dyDescent="0.3">
      <c r="H172" s="8"/>
      <c r="I172" s="18"/>
      <c r="K172" s="6"/>
    </row>
    <row r="173" spans="8:11" s="11" customFormat="1" x14ac:dyDescent="0.3">
      <c r="H173" s="8"/>
      <c r="I173" s="18"/>
      <c r="K173" s="6"/>
    </row>
    <row r="174" spans="8:11" s="11" customFormat="1" x14ac:dyDescent="0.3">
      <c r="H174" s="8"/>
      <c r="I174" s="18"/>
      <c r="K174" s="6"/>
    </row>
    <row r="175" spans="8:11" s="11" customFormat="1" x14ac:dyDescent="0.3">
      <c r="H175" s="8"/>
      <c r="I175" s="18"/>
      <c r="K175" s="6"/>
    </row>
    <row r="176" spans="8:11" s="11" customFormat="1" x14ac:dyDescent="0.3">
      <c r="H176" s="8"/>
      <c r="I176" s="18"/>
      <c r="K176" s="6"/>
    </row>
    <row r="177" spans="8:11" s="11" customFormat="1" x14ac:dyDescent="0.3">
      <c r="H177" s="8"/>
      <c r="I177" s="18"/>
      <c r="K177" s="6"/>
    </row>
    <row r="178" spans="8:11" s="11" customFormat="1" x14ac:dyDescent="0.3">
      <c r="H178" s="8"/>
      <c r="I178" s="18"/>
      <c r="K178" s="6"/>
    </row>
    <row r="179" spans="8:11" s="11" customFormat="1" x14ac:dyDescent="0.3">
      <c r="H179" s="8"/>
      <c r="I179" s="18"/>
      <c r="K179" s="6"/>
    </row>
    <row r="180" spans="8:11" s="11" customFormat="1" x14ac:dyDescent="0.3">
      <c r="H180" s="8"/>
      <c r="I180" s="18"/>
      <c r="K180" s="6"/>
    </row>
    <row r="181" spans="8:11" s="11" customFormat="1" x14ac:dyDescent="0.3">
      <c r="H181" s="8"/>
      <c r="I181" s="18"/>
      <c r="K181" s="6"/>
    </row>
    <row r="182" spans="8:11" s="11" customFormat="1" x14ac:dyDescent="0.3">
      <c r="H182" s="8"/>
      <c r="I182" s="18"/>
      <c r="K182" s="6"/>
    </row>
    <row r="183" spans="8:11" s="11" customFormat="1" x14ac:dyDescent="0.3">
      <c r="H183" s="8"/>
      <c r="I183" s="18"/>
      <c r="K183" s="6"/>
    </row>
    <row r="184" spans="8:11" s="11" customFormat="1" x14ac:dyDescent="0.3">
      <c r="H184" s="8"/>
      <c r="I184" s="18"/>
      <c r="K184" s="6"/>
    </row>
    <row r="185" spans="8:11" s="11" customFormat="1" x14ac:dyDescent="0.3">
      <c r="H185" s="8"/>
      <c r="I185" s="18"/>
      <c r="K185" s="6"/>
    </row>
    <row r="186" spans="8:11" s="11" customFormat="1" x14ac:dyDescent="0.3">
      <c r="H186" s="8"/>
      <c r="I186" s="18"/>
      <c r="K186" s="6"/>
    </row>
    <row r="187" spans="8:11" s="11" customFormat="1" x14ac:dyDescent="0.3">
      <c r="H187" s="8"/>
      <c r="I187" s="18"/>
      <c r="K187" s="6"/>
    </row>
    <row r="188" spans="8:11" s="11" customFormat="1" x14ac:dyDescent="0.3">
      <c r="H188" s="8"/>
      <c r="I188" s="18"/>
      <c r="K188" s="6"/>
    </row>
    <row r="189" spans="8:11" s="11" customFormat="1" x14ac:dyDescent="0.3">
      <c r="H189" s="8"/>
      <c r="I189" s="18"/>
      <c r="K189" s="6"/>
    </row>
    <row r="190" spans="8:11" s="11" customFormat="1" x14ac:dyDescent="0.3">
      <c r="H190" s="8"/>
      <c r="I190" s="18"/>
      <c r="K190" s="6"/>
    </row>
    <row r="191" spans="8:11" s="11" customFormat="1" x14ac:dyDescent="0.3">
      <c r="H191" s="8"/>
      <c r="I191" s="18"/>
      <c r="K191" s="6"/>
    </row>
    <row r="192" spans="8:11" s="11" customFormat="1" x14ac:dyDescent="0.3">
      <c r="H192" s="8"/>
      <c r="I192" s="18"/>
      <c r="K192" s="6"/>
    </row>
    <row r="193" spans="8:11" s="11" customFormat="1" x14ac:dyDescent="0.3">
      <c r="H193" s="8"/>
      <c r="I193" s="18"/>
      <c r="K193" s="6"/>
    </row>
    <row r="194" spans="8:11" s="11" customFormat="1" x14ac:dyDescent="0.3">
      <c r="H194" s="8"/>
      <c r="I194" s="18"/>
      <c r="K194" s="6"/>
    </row>
    <row r="195" spans="8:11" s="11" customFormat="1" x14ac:dyDescent="0.3">
      <c r="H195" s="8"/>
      <c r="I195" s="18"/>
      <c r="K195" s="6"/>
    </row>
    <row r="196" spans="8:11" s="11" customFormat="1" x14ac:dyDescent="0.3">
      <c r="H196" s="8"/>
      <c r="I196" s="18"/>
      <c r="K196" s="6"/>
    </row>
    <row r="197" spans="8:11" s="11" customFormat="1" x14ac:dyDescent="0.3">
      <c r="H197" s="8"/>
      <c r="I197" s="18"/>
      <c r="K197" s="6"/>
    </row>
    <row r="198" spans="8:11" s="11" customFormat="1" x14ac:dyDescent="0.3">
      <c r="H198" s="8"/>
      <c r="I198" s="18"/>
      <c r="K198" s="6"/>
    </row>
    <row r="199" spans="8:11" s="11" customFormat="1" x14ac:dyDescent="0.3">
      <c r="H199" s="8"/>
      <c r="I199" s="18"/>
      <c r="K199" s="6"/>
    </row>
    <row r="200" spans="8:11" s="11" customFormat="1" x14ac:dyDescent="0.3">
      <c r="H200" s="8"/>
      <c r="I200" s="18"/>
      <c r="K200" s="6"/>
    </row>
    <row r="201" spans="8:11" s="11" customFormat="1" x14ac:dyDescent="0.3">
      <c r="H201" s="8"/>
      <c r="I201" s="18"/>
      <c r="K201" s="6"/>
    </row>
    <row r="202" spans="8:11" s="11" customFormat="1" x14ac:dyDescent="0.3">
      <c r="H202" s="8"/>
      <c r="I202" s="18"/>
      <c r="K202" s="6"/>
    </row>
    <row r="203" spans="8:11" s="11" customFormat="1" x14ac:dyDescent="0.3">
      <c r="H203" s="8"/>
      <c r="I203" s="18"/>
      <c r="K203" s="6"/>
    </row>
    <row r="204" spans="8:11" s="11" customFormat="1" x14ac:dyDescent="0.3">
      <c r="H204" s="8"/>
      <c r="I204" s="18"/>
      <c r="K204" s="6"/>
    </row>
    <row r="205" spans="8:11" s="11" customFormat="1" x14ac:dyDescent="0.3">
      <c r="H205" s="8"/>
      <c r="I205" s="18"/>
      <c r="K205" s="6"/>
    </row>
    <row r="206" spans="8:11" s="11" customFormat="1" x14ac:dyDescent="0.3">
      <c r="H206" s="8"/>
      <c r="I206" s="18"/>
      <c r="K206" s="6"/>
    </row>
    <row r="207" spans="8:11" s="11" customFormat="1" x14ac:dyDescent="0.3">
      <c r="H207" s="8"/>
      <c r="I207" s="18"/>
      <c r="K207" s="6"/>
    </row>
    <row r="208" spans="8:11" s="11" customFormat="1" x14ac:dyDescent="0.3">
      <c r="H208" s="8"/>
      <c r="I208" s="18"/>
      <c r="K208" s="6"/>
    </row>
    <row r="209" spans="8:11" s="11" customFormat="1" x14ac:dyDescent="0.3">
      <c r="H209" s="8"/>
      <c r="I209" s="18"/>
      <c r="K209" s="6"/>
    </row>
    <row r="210" spans="8:11" s="11" customFormat="1" x14ac:dyDescent="0.3">
      <c r="H210" s="8"/>
      <c r="I210" s="18"/>
      <c r="K210" s="6"/>
    </row>
    <row r="211" spans="8:11" s="11" customFormat="1" x14ac:dyDescent="0.3">
      <c r="H211" s="8"/>
      <c r="I211" s="18"/>
      <c r="K211" s="6"/>
    </row>
    <row r="212" spans="8:11" s="11" customFormat="1" x14ac:dyDescent="0.3">
      <c r="H212" s="8"/>
      <c r="I212" s="18"/>
      <c r="K212" s="6"/>
    </row>
    <row r="213" spans="8:11" s="11" customFormat="1" x14ac:dyDescent="0.3">
      <c r="H213" s="8"/>
      <c r="I213" s="18"/>
      <c r="K213" s="6"/>
    </row>
    <row r="214" spans="8:11" s="11" customFormat="1" x14ac:dyDescent="0.3">
      <c r="H214" s="8"/>
      <c r="I214" s="18"/>
      <c r="K214" s="6"/>
    </row>
    <row r="215" spans="8:11" s="11" customFormat="1" x14ac:dyDescent="0.3">
      <c r="H215" s="8"/>
      <c r="I215" s="18"/>
      <c r="K215" s="6"/>
    </row>
    <row r="216" spans="8:11" s="11" customFormat="1" x14ac:dyDescent="0.3">
      <c r="H216" s="8"/>
      <c r="I216" s="18"/>
      <c r="K216" s="6"/>
    </row>
    <row r="217" spans="8:11" s="11" customFormat="1" x14ac:dyDescent="0.3">
      <c r="H217" s="8"/>
      <c r="I217" s="18"/>
      <c r="K217" s="6"/>
    </row>
    <row r="218" spans="8:11" s="11" customFormat="1" x14ac:dyDescent="0.3">
      <c r="H218" s="8"/>
      <c r="I218" s="18"/>
      <c r="K218" s="6"/>
    </row>
    <row r="219" spans="8:11" s="11" customFormat="1" x14ac:dyDescent="0.3">
      <c r="H219" s="8"/>
      <c r="I219" s="18"/>
      <c r="K219" s="6"/>
    </row>
    <row r="220" spans="8:11" s="11" customFormat="1" x14ac:dyDescent="0.3">
      <c r="H220" s="8"/>
      <c r="I220" s="18"/>
      <c r="K220" s="6"/>
    </row>
    <row r="221" spans="8:11" s="11" customFormat="1" x14ac:dyDescent="0.3">
      <c r="H221" s="8"/>
      <c r="I221" s="18"/>
      <c r="K221" s="6"/>
    </row>
    <row r="222" spans="8:11" s="11" customFormat="1" x14ac:dyDescent="0.3">
      <c r="H222" s="8"/>
      <c r="I222" s="18"/>
      <c r="K222" s="6"/>
    </row>
    <row r="223" spans="8:11" s="11" customFormat="1" x14ac:dyDescent="0.3">
      <c r="H223" s="8"/>
      <c r="I223" s="18"/>
      <c r="K223" s="6"/>
    </row>
    <row r="224" spans="8:11" s="11" customFormat="1" x14ac:dyDescent="0.3">
      <c r="H224" s="8"/>
      <c r="I224" s="18"/>
      <c r="K224" s="6"/>
    </row>
    <row r="225" spans="8:11" s="11" customFormat="1" x14ac:dyDescent="0.3">
      <c r="H225" s="8"/>
      <c r="I225" s="18"/>
      <c r="K225" s="6"/>
    </row>
    <row r="226" spans="8:11" s="11" customFormat="1" x14ac:dyDescent="0.3">
      <c r="H226" s="8"/>
      <c r="I226" s="18"/>
      <c r="K226" s="6"/>
    </row>
    <row r="227" spans="8:11" s="11" customFormat="1" x14ac:dyDescent="0.3">
      <c r="H227" s="8"/>
      <c r="I227" s="18"/>
      <c r="K227" s="6"/>
    </row>
    <row r="228" spans="8:11" s="11" customFormat="1" x14ac:dyDescent="0.3">
      <c r="H228" s="8"/>
      <c r="I228" s="18"/>
      <c r="K228" s="6"/>
    </row>
    <row r="229" spans="8:11" s="11" customFormat="1" x14ac:dyDescent="0.3">
      <c r="H229" s="8"/>
      <c r="I229" s="18"/>
      <c r="K229" s="6"/>
    </row>
    <row r="230" spans="8:11" s="11" customFormat="1" x14ac:dyDescent="0.3">
      <c r="H230" s="8"/>
      <c r="I230" s="18"/>
      <c r="K230" s="6"/>
    </row>
    <row r="231" spans="8:11" s="11" customFormat="1" x14ac:dyDescent="0.3">
      <c r="H231" s="8"/>
      <c r="I231" s="18"/>
      <c r="K231" s="6"/>
    </row>
    <row r="232" spans="8:11" s="11" customFormat="1" x14ac:dyDescent="0.3">
      <c r="H232" s="8"/>
      <c r="I232" s="18"/>
      <c r="K232" s="6"/>
    </row>
    <row r="233" spans="8:11" s="11" customFormat="1" x14ac:dyDescent="0.3">
      <c r="H233" s="8"/>
      <c r="I233" s="18"/>
      <c r="K233" s="6"/>
    </row>
    <row r="234" spans="8:11" s="11" customFormat="1" x14ac:dyDescent="0.3">
      <c r="H234" s="8"/>
      <c r="I234" s="18"/>
      <c r="K234" s="6"/>
    </row>
    <row r="235" spans="8:11" s="11" customFormat="1" x14ac:dyDescent="0.3">
      <c r="H235" s="8"/>
      <c r="I235" s="18"/>
      <c r="K235" s="6"/>
    </row>
    <row r="236" spans="8:11" s="11" customFormat="1" x14ac:dyDescent="0.3">
      <c r="H236" s="8"/>
      <c r="I236" s="18"/>
      <c r="K236" s="6"/>
    </row>
    <row r="237" spans="8:11" s="11" customFormat="1" x14ac:dyDescent="0.3">
      <c r="H237" s="8"/>
      <c r="I237" s="18"/>
      <c r="K237" s="6"/>
    </row>
    <row r="238" spans="8:11" s="11" customFormat="1" x14ac:dyDescent="0.3">
      <c r="H238" s="8"/>
      <c r="I238" s="18"/>
      <c r="K238" s="6"/>
    </row>
    <row r="239" spans="8:11" s="11" customFormat="1" x14ac:dyDescent="0.3">
      <c r="H239" s="8"/>
      <c r="I239" s="18"/>
      <c r="K239" s="6"/>
    </row>
    <row r="240" spans="8:11" s="11" customFormat="1" x14ac:dyDescent="0.3">
      <c r="H240" s="8"/>
      <c r="I240" s="18"/>
      <c r="K240" s="6"/>
    </row>
    <row r="241" spans="8:11" s="11" customFormat="1" x14ac:dyDescent="0.3">
      <c r="H241" s="8"/>
      <c r="I241" s="18"/>
      <c r="K241" s="6"/>
    </row>
    <row r="242" spans="8:11" s="11" customFormat="1" x14ac:dyDescent="0.3">
      <c r="H242" s="8"/>
      <c r="I242" s="18"/>
      <c r="K242" s="6"/>
    </row>
    <row r="243" spans="8:11" s="11" customFormat="1" x14ac:dyDescent="0.3">
      <c r="H243" s="8"/>
      <c r="I243" s="18"/>
      <c r="K243" s="6"/>
    </row>
    <row r="244" spans="8:11" s="11" customFormat="1" x14ac:dyDescent="0.3">
      <c r="H244" s="8"/>
      <c r="I244" s="18"/>
      <c r="K244" s="6"/>
    </row>
    <row r="245" spans="8:11" s="11" customFormat="1" x14ac:dyDescent="0.3">
      <c r="H245" s="8"/>
      <c r="I245" s="18"/>
      <c r="K245" s="6"/>
    </row>
    <row r="246" spans="8:11" s="11" customFormat="1" x14ac:dyDescent="0.3">
      <c r="H246" s="8"/>
      <c r="I246" s="18"/>
      <c r="K246" s="6"/>
    </row>
    <row r="247" spans="8:11" s="11" customFormat="1" x14ac:dyDescent="0.3">
      <c r="H247" s="8"/>
      <c r="I247" s="18"/>
      <c r="K247" s="6"/>
    </row>
    <row r="248" spans="8:11" s="11" customFormat="1" x14ac:dyDescent="0.3">
      <c r="H248" s="8"/>
      <c r="I248" s="18"/>
      <c r="K248" s="6"/>
    </row>
    <row r="249" spans="8:11" s="11" customFormat="1" x14ac:dyDescent="0.3">
      <c r="H249" s="8"/>
      <c r="I249" s="18"/>
      <c r="K249" s="6"/>
    </row>
    <row r="250" spans="8:11" s="11" customFormat="1" x14ac:dyDescent="0.3">
      <c r="H250" s="8"/>
      <c r="I250" s="18"/>
      <c r="K250" s="6"/>
    </row>
    <row r="251" spans="8:11" s="11" customFormat="1" x14ac:dyDescent="0.3">
      <c r="H251" s="8"/>
      <c r="I251" s="18"/>
      <c r="K251" s="6"/>
    </row>
    <row r="252" spans="8:11" s="11" customFormat="1" x14ac:dyDescent="0.3">
      <c r="H252" s="8"/>
      <c r="I252" s="18"/>
      <c r="K252" s="6"/>
    </row>
    <row r="253" spans="8:11" s="11" customFormat="1" x14ac:dyDescent="0.3">
      <c r="H253" s="8"/>
      <c r="I253" s="18"/>
      <c r="K253" s="6"/>
    </row>
    <row r="254" spans="8:11" s="11" customFormat="1" x14ac:dyDescent="0.3">
      <c r="H254" s="8"/>
      <c r="I254" s="18"/>
      <c r="K254" s="6"/>
    </row>
    <row r="255" spans="8:11" s="11" customFormat="1" x14ac:dyDescent="0.3">
      <c r="H255" s="8"/>
      <c r="I255" s="18"/>
      <c r="K255" s="6"/>
    </row>
    <row r="256" spans="8:11" s="11" customFormat="1" x14ac:dyDescent="0.3">
      <c r="H256" s="8"/>
      <c r="I256" s="18"/>
      <c r="K256" s="6"/>
    </row>
    <row r="257" spans="8:11" s="11" customFormat="1" x14ac:dyDescent="0.3">
      <c r="H257" s="8"/>
      <c r="I257" s="18"/>
      <c r="K257" s="6"/>
    </row>
    <row r="258" spans="8:11" s="11" customFormat="1" x14ac:dyDescent="0.3">
      <c r="H258" s="8"/>
      <c r="I258" s="18"/>
      <c r="K258" s="6"/>
    </row>
    <row r="259" spans="8:11" s="11" customFormat="1" x14ac:dyDescent="0.3">
      <c r="H259" s="8"/>
      <c r="I259" s="18"/>
      <c r="K259" s="6"/>
    </row>
    <row r="260" spans="8:11" s="11" customFormat="1" x14ac:dyDescent="0.3">
      <c r="H260" s="8"/>
      <c r="I260" s="18"/>
      <c r="K260" s="6"/>
    </row>
    <row r="261" spans="8:11" s="11" customFormat="1" x14ac:dyDescent="0.3">
      <c r="H261" s="8"/>
      <c r="I261" s="18"/>
      <c r="K261" s="6"/>
    </row>
    <row r="262" spans="8:11" s="11" customFormat="1" x14ac:dyDescent="0.3">
      <c r="H262" s="8"/>
      <c r="I262" s="18"/>
      <c r="K262" s="6"/>
    </row>
    <row r="263" spans="8:11" s="11" customFormat="1" x14ac:dyDescent="0.3">
      <c r="H263" s="8"/>
      <c r="I263" s="18"/>
      <c r="K263" s="6"/>
    </row>
    <row r="264" spans="8:11" s="11" customFormat="1" x14ac:dyDescent="0.3">
      <c r="H264" s="8"/>
      <c r="I264" s="18"/>
      <c r="K264" s="6"/>
    </row>
    <row r="265" spans="8:11" s="11" customFormat="1" x14ac:dyDescent="0.3">
      <c r="H265" s="8"/>
      <c r="I265" s="18"/>
      <c r="K265" s="6"/>
    </row>
    <row r="266" spans="8:11" s="11" customFormat="1" x14ac:dyDescent="0.3">
      <c r="H266" s="8"/>
      <c r="I266" s="18"/>
      <c r="K266" s="6"/>
    </row>
    <row r="267" spans="8:11" s="11" customFormat="1" x14ac:dyDescent="0.3">
      <c r="H267" s="8"/>
      <c r="I267" s="18"/>
      <c r="K267" s="6"/>
    </row>
    <row r="268" spans="8:11" s="11" customFormat="1" x14ac:dyDescent="0.3">
      <c r="H268" s="8"/>
      <c r="I268" s="18"/>
      <c r="K268" s="6"/>
    </row>
    <row r="269" spans="8:11" s="11" customFormat="1" x14ac:dyDescent="0.3">
      <c r="H269" s="8"/>
      <c r="I269" s="18"/>
      <c r="K269" s="6"/>
    </row>
    <row r="270" spans="8:11" s="11" customFormat="1" x14ac:dyDescent="0.3">
      <c r="H270" s="8"/>
      <c r="I270" s="18"/>
      <c r="K270" s="6"/>
    </row>
    <row r="271" spans="8:11" s="11" customFormat="1" x14ac:dyDescent="0.3">
      <c r="H271" s="8"/>
      <c r="I271" s="18"/>
      <c r="K271" s="6"/>
    </row>
    <row r="272" spans="8:11" s="11" customFormat="1" x14ac:dyDescent="0.3">
      <c r="H272" s="8"/>
      <c r="I272" s="18"/>
      <c r="K272" s="6"/>
    </row>
    <row r="273" spans="8:11" s="11" customFormat="1" x14ac:dyDescent="0.3">
      <c r="H273" s="8"/>
      <c r="I273" s="18"/>
      <c r="K273" s="6"/>
    </row>
    <row r="274" spans="8:11" s="11" customFormat="1" x14ac:dyDescent="0.3">
      <c r="H274" s="8"/>
      <c r="I274" s="18"/>
      <c r="K274" s="6"/>
    </row>
    <row r="275" spans="8:11" s="11" customFormat="1" x14ac:dyDescent="0.3">
      <c r="H275" s="8"/>
      <c r="I275" s="18"/>
      <c r="K275" s="6"/>
    </row>
    <row r="276" spans="8:11" s="11" customFormat="1" x14ac:dyDescent="0.3">
      <c r="H276" s="8"/>
      <c r="I276" s="18"/>
      <c r="K276" s="6"/>
    </row>
    <row r="277" spans="8:11" s="11" customFormat="1" x14ac:dyDescent="0.3">
      <c r="H277" s="8"/>
      <c r="I277" s="18"/>
      <c r="K277" s="6"/>
    </row>
    <row r="278" spans="8:11" s="11" customFormat="1" x14ac:dyDescent="0.3">
      <c r="H278" s="8"/>
      <c r="I278" s="18"/>
      <c r="K278" s="6"/>
    </row>
    <row r="279" spans="8:11" s="11" customFormat="1" x14ac:dyDescent="0.3">
      <c r="H279" s="8"/>
      <c r="I279" s="18"/>
      <c r="K279" s="6"/>
    </row>
    <row r="280" spans="8:11" s="11" customFormat="1" x14ac:dyDescent="0.3">
      <c r="H280" s="8"/>
      <c r="I280" s="18"/>
      <c r="K280" s="6"/>
    </row>
    <row r="281" spans="8:11" s="11" customFormat="1" x14ac:dyDescent="0.3">
      <c r="H281" s="8"/>
      <c r="I281" s="18"/>
      <c r="K281" s="6"/>
    </row>
    <row r="282" spans="8:11" s="11" customFormat="1" x14ac:dyDescent="0.3">
      <c r="H282" s="8"/>
      <c r="I282" s="18"/>
      <c r="K282" s="6"/>
    </row>
    <row r="283" spans="8:11" s="11" customFormat="1" x14ac:dyDescent="0.3">
      <c r="H283" s="8"/>
      <c r="I283" s="18"/>
      <c r="K283" s="6"/>
    </row>
    <row r="284" spans="8:11" s="11" customFormat="1" x14ac:dyDescent="0.3">
      <c r="H284" s="8"/>
      <c r="I284" s="18"/>
      <c r="K284" s="6"/>
    </row>
    <row r="285" spans="8:11" s="11" customFormat="1" x14ac:dyDescent="0.3">
      <c r="H285" s="8"/>
      <c r="I285" s="18"/>
      <c r="K285" s="6"/>
    </row>
    <row r="286" spans="8:11" s="11" customFormat="1" x14ac:dyDescent="0.3">
      <c r="H286" s="8"/>
      <c r="I286" s="18"/>
      <c r="K286" s="6"/>
    </row>
    <row r="287" spans="8:11" s="11" customFormat="1" x14ac:dyDescent="0.3">
      <c r="H287" s="8"/>
      <c r="I287" s="18"/>
      <c r="K287" s="6"/>
    </row>
    <row r="288" spans="8:11" s="11" customFormat="1" x14ac:dyDescent="0.3">
      <c r="H288" s="8"/>
      <c r="I288" s="18"/>
      <c r="K288" s="6"/>
    </row>
    <row r="289" spans="8:11" s="11" customFormat="1" x14ac:dyDescent="0.3">
      <c r="H289" s="8"/>
      <c r="I289" s="18"/>
      <c r="K289" s="6"/>
    </row>
    <row r="290" spans="8:11" s="11" customFormat="1" x14ac:dyDescent="0.3">
      <c r="H290" s="8"/>
      <c r="I290" s="18"/>
      <c r="K290" s="6"/>
    </row>
    <row r="291" spans="8:11" s="11" customFormat="1" x14ac:dyDescent="0.3">
      <c r="H291" s="8"/>
      <c r="I291" s="18"/>
      <c r="K291" s="6"/>
    </row>
    <row r="292" spans="8:11" s="11" customFormat="1" x14ac:dyDescent="0.3">
      <c r="H292" s="8"/>
      <c r="I292" s="18"/>
      <c r="K292" s="6"/>
    </row>
    <row r="293" spans="8:11" s="11" customFormat="1" x14ac:dyDescent="0.3">
      <c r="H293" s="8"/>
      <c r="I293" s="18"/>
      <c r="K293" s="6"/>
    </row>
    <row r="294" spans="8:11" s="11" customFormat="1" x14ac:dyDescent="0.3">
      <c r="H294" s="8"/>
      <c r="I294" s="18"/>
      <c r="K294" s="6"/>
    </row>
    <row r="295" spans="8:11" s="11" customFormat="1" x14ac:dyDescent="0.3">
      <c r="H295" s="8"/>
      <c r="I295" s="18"/>
      <c r="K295" s="6"/>
    </row>
    <row r="296" spans="8:11" s="11" customFormat="1" x14ac:dyDescent="0.3">
      <c r="H296" s="8"/>
      <c r="I296" s="18"/>
      <c r="K296" s="6"/>
    </row>
    <row r="297" spans="8:11" s="11" customFormat="1" x14ac:dyDescent="0.3">
      <c r="H297" s="8"/>
      <c r="I297" s="18"/>
      <c r="K297" s="6"/>
    </row>
    <row r="298" spans="8:11" s="11" customFormat="1" x14ac:dyDescent="0.3">
      <c r="H298" s="8"/>
      <c r="I298" s="18"/>
      <c r="K298" s="6"/>
    </row>
    <row r="299" spans="8:11" s="11" customFormat="1" x14ac:dyDescent="0.3">
      <c r="H299" s="8"/>
      <c r="I299" s="18"/>
      <c r="K299" s="6"/>
    </row>
    <row r="300" spans="8:11" s="11" customFormat="1" x14ac:dyDescent="0.3">
      <c r="H300" s="8"/>
      <c r="I300" s="18"/>
      <c r="K300" s="6"/>
    </row>
    <row r="301" spans="8:11" s="11" customFormat="1" x14ac:dyDescent="0.3">
      <c r="H301" s="8"/>
      <c r="I301" s="18"/>
      <c r="K301" s="6"/>
    </row>
    <row r="302" spans="8:11" s="11" customFormat="1" x14ac:dyDescent="0.3">
      <c r="H302" s="8"/>
      <c r="I302" s="18"/>
      <c r="K302" s="6"/>
    </row>
    <row r="303" spans="8:11" s="11" customFormat="1" x14ac:dyDescent="0.3">
      <c r="H303" s="8"/>
      <c r="I303" s="18"/>
      <c r="K303" s="6"/>
    </row>
    <row r="304" spans="8:11" s="11" customFormat="1" x14ac:dyDescent="0.3">
      <c r="H304" s="8"/>
      <c r="I304" s="18"/>
      <c r="K304" s="6"/>
    </row>
    <row r="305" spans="8:11" s="11" customFormat="1" x14ac:dyDescent="0.3">
      <c r="H305" s="8"/>
      <c r="I305" s="18"/>
      <c r="K305" s="6"/>
    </row>
    <row r="306" spans="8:11" s="11" customFormat="1" x14ac:dyDescent="0.3">
      <c r="H306" s="8"/>
      <c r="I306" s="18"/>
      <c r="K306" s="6"/>
    </row>
    <row r="307" spans="8:11" s="11" customFormat="1" x14ac:dyDescent="0.3">
      <c r="H307" s="8"/>
      <c r="I307" s="18"/>
      <c r="K307" s="6"/>
    </row>
    <row r="308" spans="8:11" s="11" customFormat="1" x14ac:dyDescent="0.3">
      <c r="H308" s="8"/>
      <c r="I308" s="18"/>
      <c r="K308" s="6"/>
    </row>
    <row r="309" spans="8:11" s="11" customFormat="1" x14ac:dyDescent="0.3">
      <c r="H309" s="8"/>
      <c r="I309" s="18"/>
      <c r="K309" s="6"/>
    </row>
    <row r="310" spans="8:11" s="11" customFormat="1" x14ac:dyDescent="0.3">
      <c r="H310" s="8"/>
      <c r="I310" s="18"/>
      <c r="K310" s="6"/>
    </row>
    <row r="311" spans="8:11" s="11" customFormat="1" x14ac:dyDescent="0.3">
      <c r="H311" s="8"/>
      <c r="I311" s="18"/>
      <c r="K311" s="6"/>
    </row>
    <row r="312" spans="8:11" s="11" customFormat="1" x14ac:dyDescent="0.3">
      <c r="H312" s="8"/>
      <c r="I312" s="18"/>
      <c r="K312" s="6"/>
    </row>
    <row r="313" spans="8:11" s="11" customFormat="1" x14ac:dyDescent="0.3">
      <c r="H313" s="8"/>
      <c r="I313" s="18"/>
      <c r="K313" s="6"/>
    </row>
    <row r="314" spans="8:11" s="11" customFormat="1" x14ac:dyDescent="0.3">
      <c r="H314" s="8"/>
      <c r="I314" s="18"/>
      <c r="K314" s="6"/>
    </row>
    <row r="315" spans="8:11" s="11" customFormat="1" x14ac:dyDescent="0.3">
      <c r="H315" s="8"/>
      <c r="I315" s="18"/>
      <c r="K315" s="6"/>
    </row>
    <row r="316" spans="8:11" s="11" customFormat="1" x14ac:dyDescent="0.3">
      <c r="H316" s="8"/>
      <c r="I316" s="18"/>
      <c r="K316" s="6"/>
    </row>
    <row r="317" spans="8:11" s="11" customFormat="1" x14ac:dyDescent="0.3">
      <c r="H317" s="8"/>
      <c r="I317" s="18"/>
      <c r="K317" s="6"/>
    </row>
    <row r="318" spans="8:11" s="11" customFormat="1" x14ac:dyDescent="0.3">
      <c r="H318" s="8"/>
      <c r="I318" s="18"/>
      <c r="K318" s="6"/>
    </row>
    <row r="319" spans="8:11" s="11" customFormat="1" x14ac:dyDescent="0.3">
      <c r="H319" s="8"/>
      <c r="I319" s="18"/>
      <c r="K319" s="6"/>
    </row>
    <row r="320" spans="8:11" s="11" customFormat="1" x14ac:dyDescent="0.3">
      <c r="H320" s="8"/>
      <c r="I320" s="18"/>
      <c r="K320" s="6"/>
    </row>
    <row r="321" spans="8:11" s="11" customFormat="1" x14ac:dyDescent="0.3">
      <c r="H321" s="8"/>
      <c r="I321" s="18"/>
      <c r="K321" s="6"/>
    </row>
    <row r="322" spans="8:11" s="11" customFormat="1" x14ac:dyDescent="0.3">
      <c r="H322" s="8"/>
      <c r="I322" s="18"/>
      <c r="K322" s="6"/>
    </row>
    <row r="323" spans="8:11" s="11" customFormat="1" x14ac:dyDescent="0.3">
      <c r="H323" s="8"/>
      <c r="I323" s="18"/>
      <c r="K323" s="6"/>
    </row>
    <row r="324" spans="8:11" s="11" customFormat="1" x14ac:dyDescent="0.3">
      <c r="H324" s="8"/>
      <c r="I324" s="18"/>
      <c r="K324" s="6"/>
    </row>
    <row r="325" spans="8:11" s="11" customFormat="1" x14ac:dyDescent="0.3">
      <c r="H325" s="8"/>
      <c r="I325" s="18"/>
      <c r="K325" s="6"/>
    </row>
    <row r="326" spans="8:11" s="11" customFormat="1" x14ac:dyDescent="0.3">
      <c r="H326" s="8"/>
      <c r="I326" s="18"/>
      <c r="K326" s="6"/>
    </row>
    <row r="327" spans="8:11" s="11" customFormat="1" x14ac:dyDescent="0.3">
      <c r="H327" s="8"/>
      <c r="I327" s="18"/>
      <c r="K327" s="6"/>
    </row>
    <row r="328" spans="8:11" s="11" customFormat="1" x14ac:dyDescent="0.3">
      <c r="H328" s="8"/>
      <c r="I328" s="18"/>
      <c r="K328" s="6"/>
    </row>
    <row r="329" spans="8:11" s="11" customFormat="1" x14ac:dyDescent="0.3">
      <c r="H329" s="8"/>
      <c r="I329" s="18"/>
      <c r="K329" s="6"/>
    </row>
    <row r="330" spans="8:11" s="11" customFormat="1" x14ac:dyDescent="0.3">
      <c r="H330" s="8"/>
      <c r="I330" s="18"/>
      <c r="K330" s="6"/>
    </row>
    <row r="331" spans="8:11" s="11" customFormat="1" x14ac:dyDescent="0.3">
      <c r="H331" s="8"/>
      <c r="I331" s="18"/>
      <c r="K331" s="6"/>
    </row>
    <row r="332" spans="8:11" s="11" customFormat="1" x14ac:dyDescent="0.3">
      <c r="H332" s="8"/>
      <c r="I332" s="18"/>
      <c r="K332" s="6"/>
    </row>
    <row r="333" spans="8:11" s="11" customFormat="1" x14ac:dyDescent="0.3">
      <c r="H333" s="8"/>
      <c r="I333" s="18"/>
      <c r="K333" s="6"/>
    </row>
    <row r="334" spans="8:11" s="11" customFormat="1" x14ac:dyDescent="0.3">
      <c r="H334" s="8"/>
      <c r="I334" s="18"/>
      <c r="K334" s="6"/>
    </row>
    <row r="335" spans="8:11" s="11" customFormat="1" x14ac:dyDescent="0.3">
      <c r="H335" s="8"/>
      <c r="I335" s="18"/>
      <c r="K335" s="6"/>
    </row>
    <row r="336" spans="8:11" s="11" customFormat="1" x14ac:dyDescent="0.3">
      <c r="H336" s="8"/>
      <c r="I336" s="18"/>
      <c r="K336" s="6"/>
    </row>
    <row r="337" spans="8:11" s="11" customFormat="1" x14ac:dyDescent="0.3">
      <c r="H337" s="8"/>
      <c r="I337" s="18"/>
      <c r="K337" s="6"/>
    </row>
    <row r="338" spans="8:11" s="11" customFormat="1" x14ac:dyDescent="0.3">
      <c r="H338" s="8"/>
      <c r="I338" s="18"/>
      <c r="K338" s="6"/>
    </row>
    <row r="339" spans="8:11" s="11" customFormat="1" x14ac:dyDescent="0.3">
      <c r="H339" s="8"/>
      <c r="I339" s="18"/>
      <c r="K339" s="6"/>
    </row>
    <row r="340" spans="8:11" s="11" customFormat="1" x14ac:dyDescent="0.3">
      <c r="H340" s="8"/>
      <c r="I340" s="18"/>
      <c r="K340" s="6"/>
    </row>
    <row r="341" spans="8:11" s="11" customFormat="1" x14ac:dyDescent="0.3">
      <c r="H341" s="8"/>
      <c r="I341" s="18"/>
      <c r="K341" s="6"/>
    </row>
    <row r="342" spans="8:11" s="11" customFormat="1" x14ac:dyDescent="0.3">
      <c r="H342" s="8"/>
      <c r="I342" s="18"/>
      <c r="K342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3ACD-93A6-449A-8E42-945ECE47428F}">
  <sheetPr codeName="Sheet9"/>
  <dimension ref="A1:Q342"/>
  <sheetViews>
    <sheetView rightToLeft="1" zoomScale="113" zoomScaleNormal="113" workbookViewId="0">
      <pane ySplit="13" topLeftCell="A14" activePane="bottomLeft" state="frozen"/>
      <selection pane="bottomLeft" activeCell="N17" sqref="N17"/>
    </sheetView>
  </sheetViews>
  <sheetFormatPr defaultRowHeight="15.6" x14ac:dyDescent="0.3"/>
  <cols>
    <col min="1" max="1" width="12" style="2" bestFit="1" customWidth="1"/>
    <col min="2" max="2" width="5.109375" style="2" bestFit="1" customWidth="1"/>
    <col min="3" max="3" width="7.6640625" style="2" bestFit="1" customWidth="1"/>
    <col min="4" max="4" width="9.109375" style="2" bestFit="1" customWidth="1"/>
    <col min="5" max="5" width="5.109375" style="2" bestFit="1" customWidth="1"/>
    <col min="6" max="6" width="12.88671875" style="2" bestFit="1" customWidth="1"/>
    <col min="7" max="7" width="4.5546875" style="2" customWidth="1"/>
    <col min="8" max="8" width="19.88671875" style="8" customWidth="1"/>
    <col min="9" max="9" width="14.6640625" style="7" bestFit="1" customWidth="1"/>
    <col min="10" max="10" width="8.5546875" style="11" bestFit="1" customWidth="1"/>
    <col min="11" max="11" width="3.77734375" style="6" customWidth="1"/>
    <col min="12" max="12" width="11.44140625" style="2" customWidth="1"/>
    <col min="13" max="13" width="5.109375" style="2" bestFit="1" customWidth="1"/>
    <col min="14" max="14" width="11.5546875" style="2" bestFit="1" customWidth="1"/>
    <col min="15" max="15" width="10.21875" style="2" customWidth="1"/>
    <col min="16" max="16" width="7.77734375" style="2" customWidth="1"/>
    <col min="17" max="17" width="18.44140625" style="2" bestFit="1" customWidth="1"/>
    <col min="18" max="16384" width="8.88671875" style="2"/>
  </cols>
  <sheetData>
    <row r="1" spans="1:17" x14ac:dyDescent="0.3">
      <c r="A1" s="2" t="s">
        <v>29</v>
      </c>
      <c r="H1" s="8" t="s">
        <v>38</v>
      </c>
      <c r="L1" s="2" t="s">
        <v>33</v>
      </c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B3" s="2">
        <v>1</v>
      </c>
      <c r="C3" s="21">
        <f>A3*B3</f>
        <v>1</v>
      </c>
      <c r="D3" s="17">
        <v>5</v>
      </c>
      <c r="E3" s="2">
        <v>25</v>
      </c>
      <c r="F3" s="23">
        <f>D3*E3</f>
        <v>125</v>
      </c>
      <c r="G3" s="5"/>
      <c r="H3" s="10"/>
      <c r="I3" s="20"/>
      <c r="J3" s="11">
        <v>100</v>
      </c>
      <c r="L3" s="15">
        <v>1</v>
      </c>
      <c r="N3" s="21">
        <f>L3*M3</f>
        <v>0</v>
      </c>
      <c r="O3" s="17">
        <v>5</v>
      </c>
      <c r="Q3" s="23">
        <f>O3*P3</f>
        <v>0</v>
      </c>
    </row>
    <row r="4" spans="1:17" x14ac:dyDescent="0.3">
      <c r="A4" s="15">
        <v>5</v>
      </c>
      <c r="B4" s="2">
        <v>4</v>
      </c>
      <c r="C4" s="21">
        <f t="shared" ref="C4:C8" si="0">A4*B4</f>
        <v>20</v>
      </c>
      <c r="D4" s="17">
        <v>10</v>
      </c>
      <c r="E4" s="2">
        <v>13</v>
      </c>
      <c r="F4" s="23">
        <f t="shared" ref="F4:F7" si="1">D4*E4</f>
        <v>130</v>
      </c>
      <c r="G4" s="5"/>
      <c r="H4" s="10"/>
      <c r="I4" s="20"/>
      <c r="J4" s="11">
        <v>-200</v>
      </c>
      <c r="L4" s="15">
        <v>5</v>
      </c>
      <c r="M4" s="2">
        <v>3</v>
      </c>
      <c r="N4" s="21">
        <f t="shared" ref="N4:N8" si="2">L4*M4</f>
        <v>15</v>
      </c>
      <c r="O4" s="17">
        <v>10</v>
      </c>
      <c r="Q4" s="23">
        <f t="shared" ref="Q4:Q7" si="3">O4*P4</f>
        <v>0</v>
      </c>
    </row>
    <row r="5" spans="1:17" x14ac:dyDescent="0.3">
      <c r="A5" s="15">
        <v>10</v>
      </c>
      <c r="B5" s="2">
        <v>40</v>
      </c>
      <c r="C5" s="21">
        <f t="shared" si="0"/>
        <v>400</v>
      </c>
      <c r="D5" s="17">
        <v>20</v>
      </c>
      <c r="E5" s="2">
        <v>6</v>
      </c>
      <c r="F5" s="23">
        <f t="shared" si="1"/>
        <v>120</v>
      </c>
      <c r="G5" s="5"/>
      <c r="H5" s="10"/>
      <c r="I5" s="20"/>
      <c r="J5" s="11">
        <v>85</v>
      </c>
      <c r="L5" s="15">
        <v>10</v>
      </c>
      <c r="M5" s="2">
        <v>29</v>
      </c>
      <c r="N5" s="21">
        <f t="shared" si="2"/>
        <v>290</v>
      </c>
      <c r="O5" s="17">
        <v>20</v>
      </c>
      <c r="Q5" s="23">
        <f t="shared" si="3"/>
        <v>0</v>
      </c>
    </row>
    <row r="6" spans="1:17" x14ac:dyDescent="0.3">
      <c r="A6" s="15">
        <v>20</v>
      </c>
      <c r="B6" s="2">
        <v>7</v>
      </c>
      <c r="C6" s="21">
        <f t="shared" si="0"/>
        <v>140</v>
      </c>
      <c r="D6" s="17">
        <v>50</v>
      </c>
      <c r="E6" s="2">
        <v>7</v>
      </c>
      <c r="F6" s="23">
        <f t="shared" si="1"/>
        <v>350</v>
      </c>
      <c r="G6" s="5"/>
      <c r="H6" s="10"/>
      <c r="I6" s="20"/>
      <c r="J6" s="11">
        <v>50</v>
      </c>
      <c r="L6" s="15">
        <v>20</v>
      </c>
      <c r="M6" s="2">
        <v>6</v>
      </c>
      <c r="N6" s="21">
        <f t="shared" si="2"/>
        <v>120</v>
      </c>
      <c r="O6" s="17">
        <v>50</v>
      </c>
      <c r="Q6" s="23">
        <f t="shared" si="3"/>
        <v>0</v>
      </c>
    </row>
    <row r="7" spans="1:17" x14ac:dyDescent="0.3">
      <c r="A7" s="15">
        <v>50</v>
      </c>
      <c r="B7" s="2">
        <v>3</v>
      </c>
      <c r="C7" s="21">
        <f t="shared" si="0"/>
        <v>150</v>
      </c>
      <c r="D7" s="17">
        <v>100</v>
      </c>
      <c r="E7" s="2">
        <v>33</v>
      </c>
      <c r="F7" s="23">
        <f t="shared" si="1"/>
        <v>3300</v>
      </c>
      <c r="G7" s="5"/>
      <c r="H7" s="10"/>
      <c r="I7" s="20"/>
      <c r="J7" s="11">
        <v>15</v>
      </c>
      <c r="L7" s="15">
        <v>50</v>
      </c>
      <c r="M7" s="2">
        <v>1</v>
      </c>
      <c r="N7" s="21">
        <f t="shared" si="2"/>
        <v>50</v>
      </c>
      <c r="O7" s="17">
        <v>100</v>
      </c>
      <c r="Q7" s="23">
        <f t="shared" si="3"/>
        <v>0</v>
      </c>
    </row>
    <row r="8" spans="1:17" x14ac:dyDescent="0.3">
      <c r="A8" s="15">
        <v>100</v>
      </c>
      <c r="C8" s="21">
        <f t="shared" si="0"/>
        <v>0</v>
      </c>
      <c r="D8" s="1" t="s">
        <v>1</v>
      </c>
      <c r="E8" s="1"/>
      <c r="F8" s="19">
        <f>SUM(F3:F7)</f>
        <v>4025</v>
      </c>
      <c r="G8" s="5"/>
      <c r="H8" s="10"/>
      <c r="I8" s="20"/>
      <c r="J8" s="11">
        <v>300</v>
      </c>
      <c r="L8" s="15">
        <v>100</v>
      </c>
      <c r="M8" s="2">
        <v>1</v>
      </c>
      <c r="N8" s="21">
        <f t="shared" si="2"/>
        <v>100</v>
      </c>
      <c r="O8" s="1" t="s">
        <v>1</v>
      </c>
      <c r="P8" s="1"/>
      <c r="Q8" s="19">
        <f>SUM(Q3:Q7)</f>
        <v>0</v>
      </c>
    </row>
    <row r="9" spans="1:17" x14ac:dyDescent="0.3">
      <c r="A9" s="1" t="s">
        <v>1</v>
      </c>
      <c r="B9" s="1"/>
      <c r="C9" s="22">
        <f>SUM(C3:C8)</f>
        <v>711</v>
      </c>
      <c r="H9" s="10"/>
      <c r="I9" s="20"/>
      <c r="J9" s="11">
        <f>-425</f>
        <v>-425</v>
      </c>
      <c r="L9" s="1" t="s">
        <v>1</v>
      </c>
      <c r="M9" s="1"/>
      <c r="N9" s="22">
        <f>SUM(N3:N8)</f>
        <v>575</v>
      </c>
      <c r="Q9" s="20"/>
    </row>
    <row r="10" spans="1:17" x14ac:dyDescent="0.3">
      <c r="H10" s="10"/>
      <c r="I10" s="20"/>
      <c r="J10" s="11">
        <v>5</v>
      </c>
      <c r="N10" s="27"/>
      <c r="O10" s="1" t="s">
        <v>40</v>
      </c>
      <c r="P10" s="1"/>
      <c r="Q10" s="24">
        <f>SUM(Table134567810[اللبناني])</f>
        <v>0</v>
      </c>
    </row>
    <row r="11" spans="1:17" x14ac:dyDescent="0.3">
      <c r="H11" s="10"/>
      <c r="I11" s="20"/>
      <c r="J11" s="11">
        <v>10</v>
      </c>
      <c r="L11" s="1" t="s">
        <v>39</v>
      </c>
      <c r="M11" s="1"/>
      <c r="N11" s="12">
        <f>SUM(Table134567810[الدولار])</f>
        <v>1013</v>
      </c>
      <c r="Q11" s="20"/>
    </row>
    <row r="12" spans="1:17" x14ac:dyDescent="0.3">
      <c r="H12" s="10"/>
      <c r="I12" s="20"/>
      <c r="J12" s="11">
        <v>145</v>
      </c>
      <c r="N12" s="27"/>
      <c r="O12" s="1" t="s">
        <v>27</v>
      </c>
      <c r="P12" s="1"/>
      <c r="Q12" s="24">
        <f>Q8-Q10-F8</f>
        <v>-4025</v>
      </c>
    </row>
    <row r="13" spans="1:17" x14ac:dyDescent="0.3">
      <c r="C13" s="14"/>
      <c r="D13" s="14"/>
      <c r="F13" s="14"/>
      <c r="H13" s="10"/>
      <c r="I13" s="20"/>
      <c r="J13" s="11">
        <v>1</v>
      </c>
      <c r="L13" s="1" t="s">
        <v>27</v>
      </c>
      <c r="M13" s="1"/>
      <c r="N13" s="12">
        <f>N9-N11-C9</f>
        <v>-1149</v>
      </c>
    </row>
    <row r="14" spans="1:17" x14ac:dyDescent="0.3">
      <c r="C14" s="14"/>
      <c r="D14" s="14"/>
      <c r="F14" s="14"/>
      <c r="H14" s="10"/>
      <c r="I14" s="18"/>
      <c r="J14" s="11">
        <v>8</v>
      </c>
    </row>
    <row r="15" spans="1:17" x14ac:dyDescent="0.3">
      <c r="C15" s="14"/>
      <c r="D15" s="14"/>
      <c r="F15" s="14"/>
      <c r="H15" s="10"/>
      <c r="I15" s="18"/>
      <c r="J15" s="11">
        <v>10</v>
      </c>
    </row>
    <row r="16" spans="1:17" x14ac:dyDescent="0.3">
      <c r="C16" s="14"/>
      <c r="D16" s="14"/>
      <c r="F16" s="14"/>
      <c r="H16" s="10"/>
      <c r="I16" s="18"/>
      <c r="J16" s="11">
        <v>30</v>
      </c>
    </row>
    <row r="17" spans="3:11" s="11" customFormat="1" x14ac:dyDescent="0.3">
      <c r="C17" s="14"/>
      <c r="D17" s="14"/>
      <c r="E17" s="2"/>
      <c r="F17" s="14"/>
      <c r="G17" s="2"/>
      <c r="H17" s="10"/>
      <c r="I17" s="20"/>
      <c r="J17" s="11">
        <v>80</v>
      </c>
      <c r="K17" s="6"/>
    </row>
    <row r="18" spans="3:11" s="11" customFormat="1" x14ac:dyDescent="0.3">
      <c r="C18" s="14"/>
      <c r="D18" s="2"/>
      <c r="E18" s="2"/>
      <c r="F18" s="14"/>
      <c r="G18" s="2"/>
      <c r="H18" s="10"/>
      <c r="I18" s="20"/>
      <c r="J18" s="11">
        <v>-120</v>
      </c>
      <c r="K18" s="6"/>
    </row>
    <row r="19" spans="3:11" s="11" customFormat="1" x14ac:dyDescent="0.3">
      <c r="C19" s="14"/>
      <c r="D19" s="2"/>
      <c r="E19" s="2"/>
      <c r="F19" s="2"/>
      <c r="G19" s="2"/>
      <c r="H19" s="10"/>
      <c r="I19" s="20"/>
      <c r="J19" s="11">
        <v>-70</v>
      </c>
      <c r="K19" s="6"/>
    </row>
    <row r="20" spans="3:11" s="11" customFormat="1" x14ac:dyDescent="0.3">
      <c r="C20" s="2"/>
      <c r="D20" s="2"/>
      <c r="E20" s="2"/>
      <c r="F20" s="6"/>
      <c r="G20" s="2"/>
      <c r="H20" s="10"/>
      <c r="I20" s="20"/>
      <c r="J20" s="11">
        <v>5</v>
      </c>
      <c r="K20" s="6"/>
    </row>
    <row r="21" spans="3:11" s="11" customFormat="1" x14ac:dyDescent="0.3">
      <c r="C21" s="6"/>
      <c r="D21" s="2"/>
      <c r="E21" s="2"/>
      <c r="F21" s="2"/>
      <c r="G21" s="2"/>
      <c r="H21" s="10"/>
      <c r="I21" s="20"/>
      <c r="J21" s="11">
        <v>15</v>
      </c>
      <c r="K21" s="6"/>
    </row>
    <row r="22" spans="3:11" s="11" customFormat="1" x14ac:dyDescent="0.3">
      <c r="C22" s="2"/>
      <c r="D22" s="2"/>
      <c r="E22" s="2"/>
      <c r="F22" s="6"/>
      <c r="G22" s="2"/>
      <c r="H22" s="10"/>
      <c r="I22" s="20"/>
      <c r="J22" s="11">
        <v>10</v>
      </c>
      <c r="K22" s="6"/>
    </row>
    <row r="23" spans="3:11" s="11" customFormat="1" x14ac:dyDescent="0.3">
      <c r="C23" s="6"/>
      <c r="D23" s="2"/>
      <c r="E23" s="2"/>
      <c r="F23" s="2"/>
      <c r="G23" s="2"/>
      <c r="H23" s="10"/>
      <c r="I23" s="20"/>
      <c r="J23" s="11">
        <v>10</v>
      </c>
      <c r="K23" s="6"/>
    </row>
    <row r="24" spans="3:11" s="11" customFormat="1" x14ac:dyDescent="0.3">
      <c r="C24" s="2"/>
      <c r="D24" s="2"/>
      <c r="E24" s="2"/>
      <c r="F24" s="2"/>
      <c r="G24" s="2"/>
      <c r="H24" s="10"/>
      <c r="I24" s="20"/>
      <c r="J24" s="11">
        <v>110</v>
      </c>
      <c r="K24" s="6"/>
    </row>
    <row r="25" spans="3:11" s="11" customFormat="1" x14ac:dyDescent="0.3">
      <c r="C25" s="2"/>
      <c r="D25" s="2"/>
      <c r="E25" s="2"/>
      <c r="F25" s="2"/>
      <c r="G25" s="2"/>
      <c r="H25" s="10"/>
      <c r="I25" s="20"/>
      <c r="J25" s="11">
        <v>20</v>
      </c>
      <c r="K25" s="6"/>
    </row>
    <row r="26" spans="3:11" s="11" customFormat="1" x14ac:dyDescent="0.3">
      <c r="C26" s="2"/>
      <c r="D26" s="2"/>
      <c r="E26" s="2"/>
      <c r="F26" s="2"/>
      <c r="G26" s="2"/>
      <c r="H26" s="10"/>
      <c r="I26" s="20"/>
      <c r="J26" s="11">
        <v>50</v>
      </c>
      <c r="K26" s="6"/>
    </row>
    <row r="27" spans="3:11" s="11" customFormat="1" x14ac:dyDescent="0.3">
      <c r="C27" s="2"/>
      <c r="D27" s="2"/>
      <c r="E27" s="2"/>
      <c r="F27" s="2"/>
      <c r="G27" s="2"/>
      <c r="H27" s="10"/>
      <c r="I27" s="18"/>
      <c r="J27" s="11">
        <v>1</v>
      </c>
      <c r="K27" s="6"/>
    </row>
    <row r="28" spans="3:11" s="11" customFormat="1" x14ac:dyDescent="0.3">
      <c r="C28" s="2"/>
      <c r="D28" s="2"/>
      <c r="E28" s="2"/>
      <c r="F28" s="2"/>
      <c r="G28" s="2"/>
      <c r="H28" s="8"/>
      <c r="I28" s="18"/>
      <c r="J28" s="11">
        <v>25</v>
      </c>
      <c r="K28" s="6"/>
    </row>
    <row r="29" spans="3:11" s="11" customFormat="1" x14ac:dyDescent="0.3">
      <c r="C29" s="2"/>
      <c r="D29" s="2"/>
      <c r="E29" s="2"/>
      <c r="F29" s="2"/>
      <c r="G29" s="2"/>
      <c r="H29" s="8"/>
      <c r="I29" s="18"/>
      <c r="J29" s="11">
        <v>14</v>
      </c>
      <c r="K29" s="6"/>
    </row>
    <row r="30" spans="3:11" s="11" customFormat="1" x14ac:dyDescent="0.3">
      <c r="C30" s="2"/>
      <c r="D30" s="2"/>
      <c r="E30" s="2"/>
      <c r="F30" s="2"/>
      <c r="G30" s="2"/>
      <c r="H30" s="8"/>
      <c r="I30" s="18"/>
      <c r="J30" s="11">
        <v>-10</v>
      </c>
      <c r="K30" s="6"/>
    </row>
    <row r="31" spans="3:11" s="11" customFormat="1" x14ac:dyDescent="0.3">
      <c r="C31" s="2"/>
      <c r="D31" s="2"/>
      <c r="E31" s="2"/>
      <c r="F31" s="2"/>
      <c r="G31" s="2"/>
      <c r="H31" s="8"/>
      <c r="I31" s="18"/>
      <c r="J31" s="11">
        <v>22</v>
      </c>
      <c r="K31" s="6"/>
    </row>
    <row r="32" spans="3:11" s="11" customFormat="1" x14ac:dyDescent="0.3">
      <c r="C32" s="2"/>
      <c r="D32" s="2"/>
      <c r="E32" s="2"/>
      <c r="F32" s="2"/>
      <c r="G32" s="2"/>
      <c r="H32" s="8"/>
      <c r="I32" s="18"/>
      <c r="J32" s="11">
        <v>-100</v>
      </c>
      <c r="K32" s="6"/>
    </row>
    <row r="33" spans="8:11" s="11" customFormat="1" x14ac:dyDescent="0.3">
      <c r="H33" s="8"/>
      <c r="I33" s="18"/>
      <c r="J33" s="11">
        <v>100</v>
      </c>
      <c r="K33" s="6"/>
    </row>
    <row r="34" spans="8:11" s="11" customFormat="1" x14ac:dyDescent="0.3">
      <c r="H34" s="8"/>
      <c r="I34" s="18"/>
      <c r="J34" s="11">
        <v>123</v>
      </c>
      <c r="K34" s="6"/>
    </row>
    <row r="35" spans="8:11" s="11" customFormat="1" x14ac:dyDescent="0.3">
      <c r="H35" s="8"/>
      <c r="I35" s="18"/>
      <c r="J35" s="11">
        <v>10</v>
      </c>
      <c r="K35" s="6"/>
    </row>
    <row r="36" spans="8:11" s="11" customFormat="1" x14ac:dyDescent="0.3">
      <c r="H36" s="8"/>
      <c r="I36" s="18"/>
      <c r="J36" s="11">
        <v>60</v>
      </c>
      <c r="K36" s="6"/>
    </row>
    <row r="37" spans="8:11" s="11" customFormat="1" x14ac:dyDescent="0.3">
      <c r="H37" s="8"/>
      <c r="I37" s="18"/>
      <c r="J37" s="11">
        <v>11</v>
      </c>
      <c r="K37" s="6"/>
    </row>
    <row r="38" spans="8:11" s="11" customFormat="1" x14ac:dyDescent="0.3">
      <c r="H38" s="8"/>
      <c r="I38" s="18"/>
      <c r="J38" s="11">
        <v>-500</v>
      </c>
      <c r="K38" s="6"/>
    </row>
    <row r="39" spans="8:11" s="11" customFormat="1" x14ac:dyDescent="0.3">
      <c r="H39" s="8"/>
      <c r="I39" s="18"/>
      <c r="J39" s="11">
        <v>20</v>
      </c>
      <c r="K39" s="6"/>
    </row>
    <row r="40" spans="8:11" s="11" customFormat="1" x14ac:dyDescent="0.3">
      <c r="H40" s="8"/>
      <c r="I40" s="18"/>
      <c r="J40" s="11">
        <v>59</v>
      </c>
      <c r="K40" s="6"/>
    </row>
    <row r="41" spans="8:11" s="11" customFormat="1" x14ac:dyDescent="0.3">
      <c r="H41" s="8"/>
      <c r="I41" s="18"/>
      <c r="J41" s="11">
        <v>18</v>
      </c>
      <c r="K41" s="6"/>
    </row>
    <row r="42" spans="8:11" s="11" customFormat="1" x14ac:dyDescent="0.3">
      <c r="H42" s="8"/>
      <c r="I42" s="18"/>
      <c r="J42" s="11">
        <v>30</v>
      </c>
      <c r="K42" s="6"/>
    </row>
    <row r="43" spans="8:11" s="11" customFormat="1" x14ac:dyDescent="0.3">
      <c r="H43" s="8"/>
      <c r="I43" s="18"/>
      <c r="J43" s="11">
        <v>10</v>
      </c>
      <c r="K43" s="6"/>
    </row>
    <row r="44" spans="8:11" s="11" customFormat="1" x14ac:dyDescent="0.3">
      <c r="H44" s="8"/>
      <c r="I44" s="18"/>
      <c r="J44" s="11">
        <v>130</v>
      </c>
      <c r="K44" s="6"/>
    </row>
    <row r="45" spans="8:11" s="11" customFormat="1" x14ac:dyDescent="0.3">
      <c r="H45" s="8"/>
      <c r="I45" s="18"/>
      <c r="J45" s="11">
        <v>20</v>
      </c>
      <c r="K45" s="6"/>
    </row>
    <row r="46" spans="8:11" s="11" customFormat="1" x14ac:dyDescent="0.3">
      <c r="H46" s="8"/>
      <c r="I46" s="18"/>
      <c r="J46" s="11">
        <v>10</v>
      </c>
      <c r="K46" s="6"/>
    </row>
    <row r="47" spans="8:11" s="11" customFormat="1" x14ac:dyDescent="0.3">
      <c r="H47" s="8"/>
      <c r="I47" s="18"/>
      <c r="J47" s="11">
        <v>500</v>
      </c>
      <c r="K47" s="6"/>
    </row>
    <row r="48" spans="8:11" s="11" customFormat="1" x14ac:dyDescent="0.3">
      <c r="H48" s="8"/>
      <c r="I48" s="18"/>
      <c r="J48" s="11">
        <v>1</v>
      </c>
      <c r="K48" s="6"/>
    </row>
    <row r="49" spans="8:11" s="11" customFormat="1" x14ac:dyDescent="0.3">
      <c r="H49" s="8"/>
      <c r="I49" s="18"/>
      <c r="J49" s="11">
        <v>16</v>
      </c>
      <c r="K49" s="6"/>
    </row>
    <row r="50" spans="8:11" s="11" customFormat="1" x14ac:dyDescent="0.3">
      <c r="H50" s="8"/>
      <c r="I50" s="18"/>
      <c r="J50" s="11">
        <v>20</v>
      </c>
      <c r="K50" s="6"/>
    </row>
    <row r="51" spans="8:11" s="11" customFormat="1" x14ac:dyDescent="0.3">
      <c r="H51" s="8"/>
      <c r="I51" s="18"/>
      <c r="J51" s="11">
        <v>10</v>
      </c>
      <c r="K51" s="6"/>
    </row>
    <row r="52" spans="8:11" s="11" customFormat="1" x14ac:dyDescent="0.3">
      <c r="H52" s="8"/>
      <c r="I52" s="18"/>
      <c r="J52" s="11">
        <v>15</v>
      </c>
      <c r="K52" s="6"/>
    </row>
    <row r="53" spans="8:11" s="11" customFormat="1" x14ac:dyDescent="0.3">
      <c r="H53" s="8"/>
      <c r="I53" s="18"/>
      <c r="J53" s="11">
        <v>-300</v>
      </c>
      <c r="K53" s="6"/>
    </row>
    <row r="54" spans="8:11" s="11" customFormat="1" x14ac:dyDescent="0.3">
      <c r="H54" s="8"/>
      <c r="I54" s="18"/>
      <c r="J54" s="11">
        <v>100</v>
      </c>
      <c r="K54" s="6"/>
    </row>
    <row r="55" spans="8:11" s="11" customFormat="1" x14ac:dyDescent="0.3">
      <c r="H55" s="8"/>
      <c r="I55" s="18"/>
      <c r="J55" s="11">
        <v>100</v>
      </c>
      <c r="K55" s="6"/>
    </row>
    <row r="56" spans="8:11" s="11" customFormat="1" x14ac:dyDescent="0.3">
      <c r="H56" s="8"/>
      <c r="I56" s="18"/>
      <c r="J56" s="11">
        <v>100</v>
      </c>
      <c r="K56" s="6"/>
    </row>
    <row r="57" spans="8:11" s="11" customFormat="1" x14ac:dyDescent="0.3">
      <c r="H57" s="8"/>
      <c r="I57" s="18"/>
      <c r="J57" s="11">
        <v>20</v>
      </c>
      <c r="K57" s="6"/>
    </row>
    <row r="58" spans="8:11" s="11" customFormat="1" x14ac:dyDescent="0.3">
      <c r="H58" s="8"/>
      <c r="I58" s="18"/>
      <c r="J58" s="11">
        <v>49</v>
      </c>
      <c r="K58" s="6"/>
    </row>
    <row r="59" spans="8:11" s="11" customFormat="1" x14ac:dyDescent="0.3">
      <c r="H59" s="8"/>
      <c r="I59" s="18"/>
      <c r="J59" s="11">
        <v>-10</v>
      </c>
      <c r="K59" s="6"/>
    </row>
    <row r="60" spans="8:11" s="11" customFormat="1" x14ac:dyDescent="0.3">
      <c r="H60" s="8"/>
      <c r="I60" s="18"/>
      <c r="J60" s="11">
        <v>40</v>
      </c>
      <c r="K60" s="6"/>
    </row>
    <row r="61" spans="8:11" s="11" customFormat="1" x14ac:dyDescent="0.3">
      <c r="H61" s="8"/>
      <c r="I61" s="18"/>
      <c r="J61" s="11">
        <v>10</v>
      </c>
      <c r="K61" s="6"/>
    </row>
    <row r="62" spans="8:11" s="11" customFormat="1" x14ac:dyDescent="0.3">
      <c r="H62" s="8"/>
      <c r="I62" s="18"/>
      <c r="J62" s="11">
        <v>10</v>
      </c>
      <c r="K62" s="6"/>
    </row>
    <row r="63" spans="8:11" s="11" customFormat="1" x14ac:dyDescent="0.3">
      <c r="H63" s="8"/>
      <c r="I63" s="18"/>
      <c r="J63" s="11">
        <v>5</v>
      </c>
      <c r="K63" s="6"/>
    </row>
    <row r="64" spans="8:11" s="11" customFormat="1" x14ac:dyDescent="0.3">
      <c r="H64" s="8"/>
      <c r="I64" s="18"/>
      <c r="J64" s="11">
        <v>30</v>
      </c>
      <c r="K64" s="6"/>
    </row>
    <row r="65" spans="8:11" s="11" customFormat="1" x14ac:dyDescent="0.3">
      <c r="H65" s="8"/>
      <c r="I65" s="18"/>
      <c r="K65" s="6"/>
    </row>
    <row r="66" spans="8:11" s="11" customFormat="1" x14ac:dyDescent="0.3">
      <c r="H66" s="8"/>
      <c r="I66" s="18"/>
      <c r="K66" s="6"/>
    </row>
    <row r="67" spans="8:11" s="11" customFormat="1" x14ac:dyDescent="0.3">
      <c r="H67" s="8"/>
      <c r="I67" s="18"/>
      <c r="K67" s="6"/>
    </row>
    <row r="68" spans="8:11" s="11" customFormat="1" x14ac:dyDescent="0.3">
      <c r="H68" s="8"/>
      <c r="I68" s="18"/>
      <c r="K68" s="6"/>
    </row>
    <row r="69" spans="8:11" s="11" customFormat="1" x14ac:dyDescent="0.3">
      <c r="H69" s="8"/>
      <c r="I69" s="18"/>
      <c r="K69" s="6"/>
    </row>
    <row r="70" spans="8:11" s="11" customFormat="1" x14ac:dyDescent="0.3">
      <c r="H70" s="8"/>
      <c r="I70" s="18"/>
      <c r="K70" s="6"/>
    </row>
    <row r="71" spans="8:11" s="11" customFormat="1" x14ac:dyDescent="0.3">
      <c r="H71" s="8"/>
      <c r="I71" s="18"/>
      <c r="K71" s="6"/>
    </row>
    <row r="72" spans="8:11" s="11" customFormat="1" x14ac:dyDescent="0.3">
      <c r="H72" s="8"/>
      <c r="I72" s="18"/>
      <c r="K72" s="6"/>
    </row>
    <row r="73" spans="8:11" s="11" customFormat="1" x14ac:dyDescent="0.3">
      <c r="H73" s="8"/>
      <c r="I73" s="18"/>
      <c r="K73" s="6"/>
    </row>
    <row r="74" spans="8:11" s="11" customFormat="1" x14ac:dyDescent="0.3">
      <c r="H74" s="8"/>
      <c r="I74" s="18"/>
      <c r="K74" s="6"/>
    </row>
    <row r="75" spans="8:11" s="11" customFormat="1" x14ac:dyDescent="0.3">
      <c r="H75" s="8"/>
      <c r="I75" s="18"/>
      <c r="K75" s="6"/>
    </row>
    <row r="76" spans="8:11" s="11" customFormat="1" x14ac:dyDescent="0.3">
      <c r="H76" s="8"/>
      <c r="I76" s="18"/>
      <c r="K76" s="6"/>
    </row>
    <row r="77" spans="8:11" s="11" customFormat="1" x14ac:dyDescent="0.3">
      <c r="H77" s="8"/>
      <c r="I77" s="18"/>
      <c r="K77" s="6"/>
    </row>
    <row r="78" spans="8:11" s="11" customFormat="1" x14ac:dyDescent="0.3">
      <c r="H78" s="8"/>
      <c r="I78" s="18"/>
      <c r="K78" s="6"/>
    </row>
    <row r="79" spans="8:11" s="11" customFormat="1" x14ac:dyDescent="0.3">
      <c r="H79" s="8"/>
      <c r="I79" s="18"/>
      <c r="K79" s="6"/>
    </row>
    <row r="80" spans="8:11" s="11" customFormat="1" x14ac:dyDescent="0.3">
      <c r="H80" s="8"/>
      <c r="I80" s="18"/>
      <c r="K80" s="6"/>
    </row>
    <row r="81" spans="8:11" s="11" customFormat="1" x14ac:dyDescent="0.3">
      <c r="H81" s="8"/>
      <c r="I81" s="18"/>
      <c r="K81" s="6"/>
    </row>
    <row r="82" spans="8:11" s="11" customFormat="1" x14ac:dyDescent="0.3">
      <c r="H82" s="8"/>
      <c r="I82" s="18"/>
      <c r="K82" s="6"/>
    </row>
    <row r="83" spans="8:11" s="11" customFormat="1" x14ac:dyDescent="0.3">
      <c r="H83" s="8"/>
      <c r="I83" s="18"/>
      <c r="K83" s="6"/>
    </row>
    <row r="84" spans="8:11" s="11" customFormat="1" x14ac:dyDescent="0.3">
      <c r="H84" s="8"/>
      <c r="I84" s="18"/>
      <c r="K84" s="6"/>
    </row>
    <row r="85" spans="8:11" s="11" customFormat="1" x14ac:dyDescent="0.3">
      <c r="H85" s="8"/>
      <c r="I85" s="18"/>
      <c r="K85" s="6"/>
    </row>
    <row r="86" spans="8:11" s="11" customFormat="1" x14ac:dyDescent="0.3">
      <c r="H86" s="8"/>
      <c r="I86" s="18"/>
      <c r="K86" s="6"/>
    </row>
    <row r="87" spans="8:11" s="11" customFormat="1" x14ac:dyDescent="0.3">
      <c r="H87" s="8"/>
      <c r="I87" s="18"/>
      <c r="K87" s="6"/>
    </row>
    <row r="88" spans="8:11" s="11" customFormat="1" x14ac:dyDescent="0.3">
      <c r="H88" s="8"/>
      <c r="I88" s="18"/>
      <c r="K88" s="6"/>
    </row>
    <row r="89" spans="8:11" s="11" customFormat="1" x14ac:dyDescent="0.3">
      <c r="H89" s="8"/>
      <c r="I89" s="18"/>
      <c r="K89" s="6"/>
    </row>
    <row r="90" spans="8:11" s="11" customFormat="1" x14ac:dyDescent="0.3">
      <c r="H90" s="8"/>
      <c r="I90" s="18"/>
      <c r="K90" s="6"/>
    </row>
    <row r="91" spans="8:11" s="11" customFormat="1" x14ac:dyDescent="0.3">
      <c r="H91" s="8"/>
      <c r="I91" s="18"/>
      <c r="K91" s="6"/>
    </row>
    <row r="92" spans="8:11" s="11" customFormat="1" x14ac:dyDescent="0.3">
      <c r="H92" s="8"/>
      <c r="I92" s="18"/>
      <c r="K92" s="6"/>
    </row>
    <row r="93" spans="8:11" s="11" customFormat="1" x14ac:dyDescent="0.3">
      <c r="H93" s="8"/>
      <c r="I93" s="18"/>
      <c r="K93" s="6"/>
    </row>
    <row r="94" spans="8:11" s="11" customFormat="1" x14ac:dyDescent="0.3">
      <c r="H94" s="8"/>
      <c r="I94" s="18"/>
      <c r="K94" s="6"/>
    </row>
    <row r="95" spans="8:11" s="11" customFormat="1" x14ac:dyDescent="0.3">
      <c r="H95" s="8"/>
      <c r="I95" s="18"/>
      <c r="K95" s="6"/>
    </row>
    <row r="96" spans="8:11" s="11" customFormat="1" x14ac:dyDescent="0.3">
      <c r="H96" s="8"/>
      <c r="I96" s="18"/>
      <c r="K96" s="6"/>
    </row>
    <row r="97" spans="8:11" s="11" customFormat="1" x14ac:dyDescent="0.3">
      <c r="H97" s="8"/>
      <c r="I97" s="18"/>
      <c r="K97" s="6"/>
    </row>
    <row r="98" spans="8:11" s="11" customFormat="1" x14ac:dyDescent="0.3">
      <c r="H98" s="8"/>
      <c r="I98" s="18"/>
      <c r="K98" s="6"/>
    </row>
    <row r="99" spans="8:11" s="11" customFormat="1" x14ac:dyDescent="0.3">
      <c r="H99" s="8"/>
      <c r="I99" s="18"/>
      <c r="K99" s="6"/>
    </row>
    <row r="100" spans="8:11" s="11" customFormat="1" x14ac:dyDescent="0.3">
      <c r="H100" s="8"/>
      <c r="I100" s="18"/>
      <c r="K100" s="6"/>
    </row>
    <row r="101" spans="8:11" s="11" customFormat="1" x14ac:dyDescent="0.3">
      <c r="H101" s="8"/>
      <c r="I101" s="18"/>
      <c r="K101" s="6"/>
    </row>
    <row r="102" spans="8:11" s="11" customFormat="1" x14ac:dyDescent="0.3">
      <c r="H102" s="8"/>
      <c r="I102" s="18"/>
      <c r="K102" s="6"/>
    </row>
    <row r="103" spans="8:11" s="11" customFormat="1" x14ac:dyDescent="0.3">
      <c r="H103" s="8"/>
      <c r="I103" s="18"/>
      <c r="K103" s="6"/>
    </row>
    <row r="104" spans="8:11" s="11" customFormat="1" x14ac:dyDescent="0.3">
      <c r="H104" s="8"/>
      <c r="I104" s="18"/>
      <c r="K104" s="6"/>
    </row>
    <row r="105" spans="8:11" s="11" customFormat="1" x14ac:dyDescent="0.3">
      <c r="H105" s="8"/>
      <c r="I105" s="18"/>
      <c r="K105" s="6"/>
    </row>
    <row r="106" spans="8:11" s="11" customFormat="1" x14ac:dyDescent="0.3">
      <c r="H106" s="8"/>
      <c r="I106" s="18"/>
      <c r="K106" s="6"/>
    </row>
    <row r="107" spans="8:11" s="11" customFormat="1" x14ac:dyDescent="0.3">
      <c r="H107" s="8"/>
      <c r="I107" s="18"/>
      <c r="K107" s="6"/>
    </row>
    <row r="108" spans="8:11" s="11" customFormat="1" x14ac:dyDescent="0.3">
      <c r="H108" s="8"/>
      <c r="I108" s="18"/>
      <c r="K108" s="6"/>
    </row>
    <row r="109" spans="8:11" s="11" customFormat="1" x14ac:dyDescent="0.3">
      <c r="H109" s="8"/>
      <c r="I109" s="18"/>
      <c r="K109" s="6"/>
    </row>
    <row r="110" spans="8:11" s="11" customFormat="1" x14ac:dyDescent="0.3">
      <c r="H110" s="8"/>
      <c r="I110" s="18"/>
      <c r="K110" s="6"/>
    </row>
    <row r="111" spans="8:11" s="11" customFormat="1" x14ac:dyDescent="0.3">
      <c r="H111" s="8"/>
      <c r="I111" s="18"/>
      <c r="K111" s="6"/>
    </row>
    <row r="112" spans="8:11" s="11" customFormat="1" x14ac:dyDescent="0.3">
      <c r="H112" s="8"/>
      <c r="I112" s="18"/>
      <c r="K112" s="6"/>
    </row>
    <row r="113" spans="8:11" s="11" customFormat="1" x14ac:dyDescent="0.3">
      <c r="H113" s="8"/>
      <c r="I113" s="18"/>
      <c r="K113" s="6"/>
    </row>
    <row r="114" spans="8:11" s="11" customFormat="1" x14ac:dyDescent="0.3">
      <c r="H114" s="8"/>
      <c r="I114" s="18"/>
      <c r="K114" s="6"/>
    </row>
    <row r="115" spans="8:11" s="11" customFormat="1" x14ac:dyDescent="0.3">
      <c r="H115" s="8"/>
      <c r="I115" s="18"/>
      <c r="K115" s="6"/>
    </row>
    <row r="116" spans="8:11" s="11" customFormat="1" x14ac:dyDescent="0.3">
      <c r="H116" s="8"/>
      <c r="I116" s="18"/>
      <c r="K116" s="6"/>
    </row>
    <row r="117" spans="8:11" s="11" customFormat="1" x14ac:dyDescent="0.3">
      <c r="H117" s="8"/>
      <c r="I117" s="18"/>
      <c r="K117" s="6"/>
    </row>
    <row r="118" spans="8:11" s="11" customFormat="1" x14ac:dyDescent="0.3">
      <c r="H118" s="8"/>
      <c r="I118" s="18"/>
      <c r="K118" s="6"/>
    </row>
    <row r="119" spans="8:11" s="11" customFormat="1" x14ac:dyDescent="0.3">
      <c r="H119" s="8"/>
      <c r="I119" s="18"/>
      <c r="K119" s="6"/>
    </row>
    <row r="120" spans="8:11" s="11" customFormat="1" x14ac:dyDescent="0.3">
      <c r="H120" s="8"/>
      <c r="I120" s="18"/>
      <c r="K120" s="6"/>
    </row>
    <row r="121" spans="8:11" s="11" customFormat="1" x14ac:dyDescent="0.3">
      <c r="H121" s="8"/>
      <c r="I121" s="18"/>
      <c r="K121" s="6"/>
    </row>
    <row r="122" spans="8:11" s="11" customFormat="1" x14ac:dyDescent="0.3">
      <c r="H122" s="8"/>
      <c r="I122" s="18"/>
      <c r="K122" s="6"/>
    </row>
    <row r="123" spans="8:11" s="11" customFormat="1" x14ac:dyDescent="0.3">
      <c r="H123" s="8"/>
      <c r="I123" s="18"/>
      <c r="K123" s="6"/>
    </row>
    <row r="124" spans="8:11" s="11" customFormat="1" x14ac:dyDescent="0.3">
      <c r="H124" s="8"/>
      <c r="I124" s="18"/>
      <c r="K124" s="6"/>
    </row>
    <row r="125" spans="8:11" s="11" customFormat="1" x14ac:dyDescent="0.3">
      <c r="H125" s="8"/>
      <c r="I125" s="18"/>
      <c r="K125" s="6"/>
    </row>
    <row r="126" spans="8:11" s="11" customFormat="1" x14ac:dyDescent="0.3">
      <c r="H126" s="8"/>
      <c r="I126" s="18"/>
      <c r="K126" s="6"/>
    </row>
    <row r="127" spans="8:11" s="11" customFormat="1" x14ac:dyDescent="0.3">
      <c r="H127" s="8"/>
      <c r="I127" s="18"/>
      <c r="K127" s="6"/>
    </row>
    <row r="128" spans="8:11" s="11" customFormat="1" x14ac:dyDescent="0.3">
      <c r="H128" s="8"/>
      <c r="I128" s="18"/>
      <c r="K128" s="6"/>
    </row>
    <row r="129" spans="8:11" s="11" customFormat="1" x14ac:dyDescent="0.3">
      <c r="H129" s="8"/>
      <c r="I129" s="18"/>
      <c r="K129" s="6"/>
    </row>
    <row r="130" spans="8:11" s="11" customFormat="1" x14ac:dyDescent="0.3">
      <c r="H130" s="8"/>
      <c r="I130" s="18"/>
      <c r="K130" s="6"/>
    </row>
    <row r="131" spans="8:11" s="11" customFormat="1" x14ac:dyDescent="0.3">
      <c r="H131" s="8"/>
      <c r="I131" s="18"/>
      <c r="K131" s="6"/>
    </row>
    <row r="132" spans="8:11" s="11" customFormat="1" x14ac:dyDescent="0.3">
      <c r="H132" s="8"/>
      <c r="I132" s="18"/>
      <c r="K132" s="6"/>
    </row>
    <row r="133" spans="8:11" s="11" customFormat="1" x14ac:dyDescent="0.3">
      <c r="H133" s="8"/>
      <c r="I133" s="18"/>
      <c r="K133" s="6"/>
    </row>
    <row r="134" spans="8:11" s="11" customFormat="1" x14ac:dyDescent="0.3">
      <c r="H134" s="8"/>
      <c r="I134" s="18"/>
      <c r="K134" s="6"/>
    </row>
    <row r="135" spans="8:11" s="11" customFormat="1" x14ac:dyDescent="0.3">
      <c r="H135" s="8"/>
      <c r="I135" s="18"/>
      <c r="K135" s="6"/>
    </row>
    <row r="136" spans="8:11" s="11" customFormat="1" x14ac:dyDescent="0.3">
      <c r="H136" s="8"/>
      <c r="I136" s="18"/>
      <c r="K136" s="6"/>
    </row>
    <row r="137" spans="8:11" s="11" customFormat="1" x14ac:dyDescent="0.3">
      <c r="H137" s="8"/>
      <c r="I137" s="18"/>
      <c r="K137" s="6"/>
    </row>
    <row r="138" spans="8:11" s="11" customFormat="1" x14ac:dyDescent="0.3">
      <c r="H138" s="8"/>
      <c r="I138" s="18"/>
      <c r="K138" s="6"/>
    </row>
    <row r="139" spans="8:11" s="11" customFormat="1" x14ac:dyDescent="0.3">
      <c r="H139" s="8"/>
      <c r="I139" s="18"/>
      <c r="K139" s="6"/>
    </row>
    <row r="140" spans="8:11" s="11" customFormat="1" x14ac:dyDescent="0.3">
      <c r="H140" s="8"/>
      <c r="I140" s="18"/>
      <c r="K140" s="6"/>
    </row>
    <row r="141" spans="8:11" s="11" customFormat="1" x14ac:dyDescent="0.3">
      <c r="H141" s="8"/>
      <c r="I141" s="18"/>
      <c r="K141" s="6"/>
    </row>
    <row r="142" spans="8:11" s="11" customFormat="1" x14ac:dyDescent="0.3">
      <c r="H142" s="8"/>
      <c r="I142" s="18"/>
      <c r="K142" s="6"/>
    </row>
    <row r="143" spans="8:11" s="11" customFormat="1" x14ac:dyDescent="0.3">
      <c r="H143" s="8"/>
      <c r="I143" s="18"/>
      <c r="K143" s="6"/>
    </row>
    <row r="144" spans="8:11" s="11" customFormat="1" x14ac:dyDescent="0.3">
      <c r="H144" s="8"/>
      <c r="I144" s="18"/>
      <c r="K144" s="6"/>
    </row>
    <row r="145" spans="8:11" s="11" customFormat="1" x14ac:dyDescent="0.3">
      <c r="H145" s="8"/>
      <c r="I145" s="18"/>
      <c r="K145" s="6"/>
    </row>
    <row r="146" spans="8:11" s="11" customFormat="1" x14ac:dyDescent="0.3">
      <c r="H146" s="8"/>
      <c r="I146" s="18"/>
      <c r="K146" s="6"/>
    </row>
    <row r="147" spans="8:11" s="11" customFormat="1" x14ac:dyDescent="0.3">
      <c r="H147" s="8"/>
      <c r="I147" s="18"/>
      <c r="K147" s="6"/>
    </row>
    <row r="148" spans="8:11" s="11" customFormat="1" x14ac:dyDescent="0.3">
      <c r="H148" s="8"/>
      <c r="I148" s="18"/>
      <c r="K148" s="6"/>
    </row>
    <row r="149" spans="8:11" s="11" customFormat="1" x14ac:dyDescent="0.3">
      <c r="H149" s="8"/>
      <c r="I149" s="18"/>
      <c r="K149" s="6"/>
    </row>
    <row r="150" spans="8:11" s="11" customFormat="1" x14ac:dyDescent="0.3">
      <c r="H150" s="8"/>
      <c r="I150" s="18"/>
      <c r="K150" s="6"/>
    </row>
    <row r="151" spans="8:11" s="11" customFormat="1" x14ac:dyDescent="0.3">
      <c r="H151" s="8"/>
      <c r="I151" s="18"/>
      <c r="K151" s="6"/>
    </row>
    <row r="152" spans="8:11" s="11" customFormat="1" x14ac:dyDescent="0.3">
      <c r="H152" s="8"/>
      <c r="I152" s="18"/>
      <c r="K152" s="6"/>
    </row>
    <row r="153" spans="8:11" s="11" customFormat="1" x14ac:dyDescent="0.3">
      <c r="H153" s="8"/>
      <c r="I153" s="18"/>
      <c r="K153" s="6"/>
    </row>
    <row r="154" spans="8:11" s="11" customFormat="1" x14ac:dyDescent="0.3">
      <c r="H154" s="8"/>
      <c r="I154" s="18"/>
      <c r="K154" s="6"/>
    </row>
    <row r="155" spans="8:11" s="11" customFormat="1" x14ac:dyDescent="0.3">
      <c r="H155" s="8"/>
      <c r="I155" s="18"/>
      <c r="K155" s="6"/>
    </row>
    <row r="156" spans="8:11" s="11" customFormat="1" x14ac:dyDescent="0.3">
      <c r="H156" s="8"/>
      <c r="I156" s="18"/>
      <c r="K156" s="6"/>
    </row>
    <row r="157" spans="8:11" s="11" customFormat="1" x14ac:dyDescent="0.3">
      <c r="H157" s="8"/>
      <c r="I157" s="18"/>
      <c r="K157" s="6"/>
    </row>
    <row r="158" spans="8:11" s="11" customFormat="1" x14ac:dyDescent="0.3">
      <c r="H158" s="8"/>
      <c r="I158" s="18"/>
      <c r="K158" s="6"/>
    </row>
    <row r="159" spans="8:11" s="11" customFormat="1" x14ac:dyDescent="0.3">
      <c r="H159" s="8"/>
      <c r="I159" s="18"/>
      <c r="K159" s="6"/>
    </row>
    <row r="160" spans="8:11" s="11" customFormat="1" x14ac:dyDescent="0.3">
      <c r="H160" s="8"/>
      <c r="I160" s="18"/>
      <c r="K160" s="6"/>
    </row>
    <row r="161" spans="8:11" s="11" customFormat="1" x14ac:dyDescent="0.3">
      <c r="H161" s="8"/>
      <c r="I161" s="18"/>
      <c r="K161" s="6"/>
    </row>
    <row r="162" spans="8:11" s="11" customFormat="1" x14ac:dyDescent="0.3">
      <c r="H162" s="8"/>
      <c r="I162" s="18"/>
      <c r="K162" s="6"/>
    </row>
    <row r="163" spans="8:11" s="11" customFormat="1" x14ac:dyDescent="0.3">
      <c r="H163" s="8"/>
      <c r="I163" s="18"/>
      <c r="K163" s="6"/>
    </row>
    <row r="164" spans="8:11" s="11" customFormat="1" x14ac:dyDescent="0.3">
      <c r="H164" s="8"/>
      <c r="I164" s="18"/>
      <c r="K164" s="6"/>
    </row>
    <row r="165" spans="8:11" s="11" customFormat="1" x14ac:dyDescent="0.3">
      <c r="H165" s="8"/>
      <c r="I165" s="18"/>
      <c r="K165" s="6"/>
    </row>
    <row r="166" spans="8:11" s="11" customFormat="1" x14ac:dyDescent="0.3">
      <c r="H166" s="8"/>
      <c r="I166" s="18"/>
      <c r="K166" s="6"/>
    </row>
    <row r="167" spans="8:11" s="11" customFormat="1" x14ac:dyDescent="0.3">
      <c r="H167" s="8"/>
      <c r="I167" s="18"/>
      <c r="K167" s="6"/>
    </row>
    <row r="168" spans="8:11" s="11" customFormat="1" x14ac:dyDescent="0.3">
      <c r="H168" s="8"/>
      <c r="I168" s="18"/>
      <c r="K168" s="6"/>
    </row>
    <row r="169" spans="8:11" s="11" customFormat="1" x14ac:dyDescent="0.3">
      <c r="H169" s="8"/>
      <c r="I169" s="18"/>
      <c r="K169" s="6"/>
    </row>
    <row r="170" spans="8:11" s="11" customFormat="1" x14ac:dyDescent="0.3">
      <c r="H170" s="8"/>
      <c r="I170" s="18"/>
      <c r="K170" s="6"/>
    </row>
    <row r="171" spans="8:11" s="11" customFormat="1" x14ac:dyDescent="0.3">
      <c r="H171" s="8"/>
      <c r="I171" s="18"/>
      <c r="K171" s="6"/>
    </row>
    <row r="172" spans="8:11" s="11" customFormat="1" x14ac:dyDescent="0.3">
      <c r="H172" s="8"/>
      <c r="I172" s="18"/>
      <c r="K172" s="6"/>
    </row>
    <row r="173" spans="8:11" s="11" customFormat="1" x14ac:dyDescent="0.3">
      <c r="H173" s="8"/>
      <c r="I173" s="18"/>
      <c r="K173" s="6"/>
    </row>
    <row r="174" spans="8:11" s="11" customFormat="1" x14ac:dyDescent="0.3">
      <c r="H174" s="8"/>
      <c r="I174" s="18"/>
      <c r="K174" s="6"/>
    </row>
    <row r="175" spans="8:11" s="11" customFormat="1" x14ac:dyDescent="0.3">
      <c r="H175" s="8"/>
      <c r="I175" s="18"/>
      <c r="K175" s="6"/>
    </row>
    <row r="176" spans="8:11" s="11" customFormat="1" x14ac:dyDescent="0.3">
      <c r="H176" s="8"/>
      <c r="I176" s="18"/>
      <c r="K176" s="6"/>
    </row>
    <row r="177" spans="8:11" s="11" customFormat="1" x14ac:dyDescent="0.3">
      <c r="H177" s="8"/>
      <c r="I177" s="18"/>
      <c r="K177" s="6"/>
    </row>
    <row r="178" spans="8:11" s="11" customFormat="1" x14ac:dyDescent="0.3">
      <c r="H178" s="8"/>
      <c r="I178" s="18"/>
      <c r="K178" s="6"/>
    </row>
    <row r="179" spans="8:11" s="11" customFormat="1" x14ac:dyDescent="0.3">
      <c r="H179" s="8"/>
      <c r="I179" s="18"/>
      <c r="K179" s="6"/>
    </row>
    <row r="180" spans="8:11" s="11" customFormat="1" x14ac:dyDescent="0.3">
      <c r="H180" s="8"/>
      <c r="I180" s="18"/>
      <c r="K180" s="6"/>
    </row>
    <row r="181" spans="8:11" s="11" customFormat="1" x14ac:dyDescent="0.3">
      <c r="H181" s="8"/>
      <c r="I181" s="18"/>
      <c r="K181" s="6"/>
    </row>
    <row r="182" spans="8:11" s="11" customFormat="1" x14ac:dyDescent="0.3">
      <c r="H182" s="8"/>
      <c r="I182" s="18"/>
      <c r="K182" s="6"/>
    </row>
    <row r="183" spans="8:11" s="11" customFormat="1" x14ac:dyDescent="0.3">
      <c r="H183" s="8"/>
      <c r="I183" s="18"/>
      <c r="K183" s="6"/>
    </row>
    <row r="184" spans="8:11" s="11" customFormat="1" x14ac:dyDescent="0.3">
      <c r="H184" s="8"/>
      <c r="I184" s="18"/>
      <c r="K184" s="6"/>
    </row>
    <row r="185" spans="8:11" s="11" customFormat="1" x14ac:dyDescent="0.3">
      <c r="H185" s="8"/>
      <c r="I185" s="18"/>
      <c r="K185" s="6"/>
    </row>
    <row r="186" spans="8:11" s="11" customFormat="1" x14ac:dyDescent="0.3">
      <c r="H186" s="8"/>
      <c r="I186" s="18"/>
      <c r="K186" s="6"/>
    </row>
    <row r="187" spans="8:11" s="11" customFormat="1" x14ac:dyDescent="0.3">
      <c r="H187" s="8"/>
      <c r="I187" s="18"/>
      <c r="K187" s="6"/>
    </row>
    <row r="188" spans="8:11" s="11" customFormat="1" x14ac:dyDescent="0.3">
      <c r="H188" s="8"/>
      <c r="I188" s="18"/>
      <c r="K188" s="6"/>
    </row>
    <row r="189" spans="8:11" s="11" customFormat="1" x14ac:dyDescent="0.3">
      <c r="H189" s="8"/>
      <c r="I189" s="18"/>
      <c r="K189" s="6"/>
    </row>
    <row r="190" spans="8:11" s="11" customFormat="1" x14ac:dyDescent="0.3">
      <c r="H190" s="8"/>
      <c r="I190" s="18"/>
      <c r="K190" s="6"/>
    </row>
    <row r="191" spans="8:11" s="11" customFormat="1" x14ac:dyDescent="0.3">
      <c r="H191" s="8"/>
      <c r="I191" s="18"/>
      <c r="K191" s="6"/>
    </row>
    <row r="192" spans="8:11" s="11" customFormat="1" x14ac:dyDescent="0.3">
      <c r="H192" s="8"/>
      <c r="I192" s="18"/>
      <c r="K192" s="6"/>
    </row>
    <row r="193" spans="8:11" s="11" customFormat="1" x14ac:dyDescent="0.3">
      <c r="H193" s="8"/>
      <c r="I193" s="18"/>
      <c r="K193" s="6"/>
    </row>
    <row r="194" spans="8:11" s="11" customFormat="1" x14ac:dyDescent="0.3">
      <c r="H194" s="8"/>
      <c r="I194" s="18"/>
      <c r="K194" s="6"/>
    </row>
    <row r="195" spans="8:11" s="11" customFormat="1" x14ac:dyDescent="0.3">
      <c r="H195" s="8"/>
      <c r="I195" s="18"/>
      <c r="K195" s="6"/>
    </row>
    <row r="196" spans="8:11" s="11" customFormat="1" x14ac:dyDescent="0.3">
      <c r="H196" s="8"/>
      <c r="I196" s="18"/>
      <c r="K196" s="6"/>
    </row>
    <row r="197" spans="8:11" s="11" customFormat="1" x14ac:dyDescent="0.3">
      <c r="H197" s="8"/>
      <c r="I197" s="18"/>
      <c r="K197" s="6"/>
    </row>
    <row r="198" spans="8:11" s="11" customFormat="1" x14ac:dyDescent="0.3">
      <c r="H198" s="8"/>
      <c r="I198" s="18"/>
      <c r="K198" s="6"/>
    </row>
    <row r="199" spans="8:11" s="11" customFormat="1" x14ac:dyDescent="0.3">
      <c r="H199" s="8"/>
      <c r="I199" s="18"/>
      <c r="K199" s="6"/>
    </row>
    <row r="200" spans="8:11" s="11" customFormat="1" x14ac:dyDescent="0.3">
      <c r="H200" s="8"/>
      <c r="I200" s="18"/>
      <c r="K200" s="6"/>
    </row>
    <row r="201" spans="8:11" s="11" customFormat="1" x14ac:dyDescent="0.3">
      <c r="H201" s="8"/>
      <c r="I201" s="18"/>
      <c r="K201" s="6"/>
    </row>
    <row r="202" spans="8:11" s="11" customFormat="1" x14ac:dyDescent="0.3">
      <c r="H202" s="8"/>
      <c r="I202" s="18"/>
      <c r="K202" s="6"/>
    </row>
    <row r="203" spans="8:11" s="11" customFormat="1" x14ac:dyDescent="0.3">
      <c r="H203" s="8"/>
      <c r="I203" s="18"/>
      <c r="K203" s="6"/>
    </row>
    <row r="204" spans="8:11" s="11" customFormat="1" x14ac:dyDescent="0.3">
      <c r="H204" s="8"/>
      <c r="I204" s="18"/>
      <c r="K204" s="6"/>
    </row>
    <row r="205" spans="8:11" s="11" customFormat="1" x14ac:dyDescent="0.3">
      <c r="H205" s="8"/>
      <c r="I205" s="18"/>
      <c r="K205" s="6"/>
    </row>
    <row r="206" spans="8:11" s="11" customFormat="1" x14ac:dyDescent="0.3">
      <c r="H206" s="8"/>
      <c r="I206" s="18"/>
      <c r="K206" s="6"/>
    </row>
    <row r="207" spans="8:11" s="11" customFormat="1" x14ac:dyDescent="0.3">
      <c r="H207" s="8"/>
      <c r="I207" s="18"/>
      <c r="K207" s="6"/>
    </row>
    <row r="208" spans="8:11" s="11" customFormat="1" x14ac:dyDescent="0.3">
      <c r="H208" s="8"/>
      <c r="I208" s="18"/>
      <c r="K208" s="6"/>
    </row>
    <row r="209" spans="8:11" s="11" customFormat="1" x14ac:dyDescent="0.3">
      <c r="H209" s="8"/>
      <c r="I209" s="18"/>
      <c r="K209" s="6"/>
    </row>
    <row r="210" spans="8:11" s="11" customFormat="1" x14ac:dyDescent="0.3">
      <c r="H210" s="8"/>
      <c r="I210" s="18"/>
      <c r="K210" s="6"/>
    </row>
    <row r="211" spans="8:11" s="11" customFormat="1" x14ac:dyDescent="0.3">
      <c r="H211" s="8"/>
      <c r="I211" s="18"/>
      <c r="K211" s="6"/>
    </row>
    <row r="212" spans="8:11" s="11" customFormat="1" x14ac:dyDescent="0.3">
      <c r="H212" s="8"/>
      <c r="I212" s="18"/>
      <c r="K212" s="6"/>
    </row>
    <row r="213" spans="8:11" s="11" customFormat="1" x14ac:dyDescent="0.3">
      <c r="H213" s="8"/>
      <c r="I213" s="18"/>
      <c r="K213" s="6"/>
    </row>
    <row r="214" spans="8:11" s="11" customFormat="1" x14ac:dyDescent="0.3">
      <c r="H214" s="8"/>
      <c r="I214" s="18"/>
      <c r="K214" s="6"/>
    </row>
    <row r="215" spans="8:11" s="11" customFormat="1" x14ac:dyDescent="0.3">
      <c r="H215" s="8"/>
      <c r="I215" s="18"/>
      <c r="K215" s="6"/>
    </row>
    <row r="216" spans="8:11" s="11" customFormat="1" x14ac:dyDescent="0.3">
      <c r="H216" s="8"/>
      <c r="I216" s="18"/>
      <c r="K216" s="6"/>
    </row>
    <row r="217" spans="8:11" s="11" customFormat="1" x14ac:dyDescent="0.3">
      <c r="H217" s="8"/>
      <c r="I217" s="18"/>
      <c r="K217" s="6"/>
    </row>
    <row r="218" spans="8:11" s="11" customFormat="1" x14ac:dyDescent="0.3">
      <c r="H218" s="8"/>
      <c r="I218" s="18"/>
      <c r="K218" s="6"/>
    </row>
    <row r="219" spans="8:11" s="11" customFormat="1" x14ac:dyDescent="0.3">
      <c r="H219" s="8"/>
      <c r="I219" s="18"/>
      <c r="K219" s="6"/>
    </row>
    <row r="220" spans="8:11" s="11" customFormat="1" x14ac:dyDescent="0.3">
      <c r="H220" s="8"/>
      <c r="I220" s="18"/>
      <c r="K220" s="6"/>
    </row>
    <row r="221" spans="8:11" s="11" customFormat="1" x14ac:dyDescent="0.3">
      <c r="H221" s="8"/>
      <c r="I221" s="18"/>
      <c r="K221" s="6"/>
    </row>
    <row r="222" spans="8:11" s="11" customFormat="1" x14ac:dyDescent="0.3">
      <c r="H222" s="8"/>
      <c r="I222" s="18"/>
      <c r="K222" s="6"/>
    </row>
    <row r="223" spans="8:11" s="11" customFormat="1" x14ac:dyDescent="0.3">
      <c r="H223" s="8"/>
      <c r="I223" s="18"/>
      <c r="K223" s="6"/>
    </row>
    <row r="224" spans="8:11" s="11" customFormat="1" x14ac:dyDescent="0.3">
      <c r="H224" s="8"/>
      <c r="I224" s="18"/>
      <c r="K224" s="6"/>
    </row>
    <row r="225" spans="8:11" s="11" customFormat="1" x14ac:dyDescent="0.3">
      <c r="H225" s="8"/>
      <c r="I225" s="18"/>
      <c r="K225" s="6"/>
    </row>
    <row r="226" spans="8:11" s="11" customFormat="1" x14ac:dyDescent="0.3">
      <c r="H226" s="8"/>
      <c r="I226" s="18"/>
      <c r="K226" s="6"/>
    </row>
    <row r="227" spans="8:11" s="11" customFormat="1" x14ac:dyDescent="0.3">
      <c r="H227" s="8"/>
      <c r="I227" s="18"/>
      <c r="K227" s="6"/>
    </row>
    <row r="228" spans="8:11" s="11" customFormat="1" x14ac:dyDescent="0.3">
      <c r="H228" s="8"/>
      <c r="I228" s="18"/>
      <c r="K228" s="6"/>
    </row>
    <row r="229" spans="8:11" s="11" customFormat="1" x14ac:dyDescent="0.3">
      <c r="H229" s="8"/>
      <c r="I229" s="18"/>
      <c r="K229" s="6"/>
    </row>
    <row r="230" spans="8:11" s="11" customFormat="1" x14ac:dyDescent="0.3">
      <c r="H230" s="8"/>
      <c r="I230" s="18"/>
      <c r="K230" s="6"/>
    </row>
    <row r="231" spans="8:11" s="11" customFormat="1" x14ac:dyDescent="0.3">
      <c r="H231" s="8"/>
      <c r="I231" s="18"/>
      <c r="K231" s="6"/>
    </row>
    <row r="232" spans="8:11" s="11" customFormat="1" x14ac:dyDescent="0.3">
      <c r="H232" s="8"/>
      <c r="I232" s="18"/>
      <c r="K232" s="6"/>
    </row>
    <row r="233" spans="8:11" s="11" customFormat="1" x14ac:dyDescent="0.3">
      <c r="H233" s="8"/>
      <c r="I233" s="18"/>
      <c r="K233" s="6"/>
    </row>
    <row r="234" spans="8:11" s="11" customFormat="1" x14ac:dyDescent="0.3">
      <c r="H234" s="8"/>
      <c r="I234" s="18"/>
      <c r="K234" s="6"/>
    </row>
    <row r="235" spans="8:11" s="11" customFormat="1" x14ac:dyDescent="0.3">
      <c r="H235" s="8"/>
      <c r="I235" s="18"/>
      <c r="K235" s="6"/>
    </row>
    <row r="236" spans="8:11" s="11" customFormat="1" x14ac:dyDescent="0.3">
      <c r="H236" s="8"/>
      <c r="I236" s="18"/>
      <c r="K236" s="6"/>
    </row>
    <row r="237" spans="8:11" s="11" customFormat="1" x14ac:dyDescent="0.3">
      <c r="H237" s="8"/>
      <c r="I237" s="18"/>
      <c r="K237" s="6"/>
    </row>
    <row r="238" spans="8:11" s="11" customFormat="1" x14ac:dyDescent="0.3">
      <c r="H238" s="8"/>
      <c r="I238" s="18"/>
      <c r="K238" s="6"/>
    </row>
    <row r="239" spans="8:11" s="11" customFormat="1" x14ac:dyDescent="0.3">
      <c r="H239" s="8"/>
      <c r="I239" s="18"/>
      <c r="K239" s="6"/>
    </row>
    <row r="240" spans="8:11" s="11" customFormat="1" x14ac:dyDescent="0.3">
      <c r="H240" s="8"/>
      <c r="I240" s="18"/>
      <c r="K240" s="6"/>
    </row>
    <row r="241" spans="8:11" s="11" customFormat="1" x14ac:dyDescent="0.3">
      <c r="H241" s="8"/>
      <c r="I241" s="18"/>
      <c r="K241" s="6"/>
    </row>
    <row r="242" spans="8:11" s="11" customFormat="1" x14ac:dyDescent="0.3">
      <c r="H242" s="8"/>
      <c r="I242" s="18"/>
      <c r="K242" s="6"/>
    </row>
    <row r="243" spans="8:11" s="11" customFormat="1" x14ac:dyDescent="0.3">
      <c r="H243" s="8"/>
      <c r="I243" s="18"/>
      <c r="K243" s="6"/>
    </row>
    <row r="244" spans="8:11" s="11" customFormat="1" x14ac:dyDescent="0.3">
      <c r="H244" s="8"/>
      <c r="I244" s="18"/>
      <c r="K244" s="6"/>
    </row>
    <row r="245" spans="8:11" s="11" customFormat="1" x14ac:dyDescent="0.3">
      <c r="H245" s="8"/>
      <c r="I245" s="18"/>
      <c r="K245" s="6"/>
    </row>
    <row r="246" spans="8:11" s="11" customFormat="1" x14ac:dyDescent="0.3">
      <c r="H246" s="8"/>
      <c r="I246" s="18"/>
      <c r="K246" s="6"/>
    </row>
    <row r="247" spans="8:11" s="11" customFormat="1" x14ac:dyDescent="0.3">
      <c r="H247" s="8"/>
      <c r="I247" s="18"/>
      <c r="K247" s="6"/>
    </row>
    <row r="248" spans="8:11" s="11" customFormat="1" x14ac:dyDescent="0.3">
      <c r="H248" s="8"/>
      <c r="I248" s="18"/>
      <c r="K248" s="6"/>
    </row>
    <row r="249" spans="8:11" s="11" customFormat="1" x14ac:dyDescent="0.3">
      <c r="H249" s="8"/>
      <c r="I249" s="18"/>
      <c r="K249" s="6"/>
    </row>
    <row r="250" spans="8:11" s="11" customFormat="1" x14ac:dyDescent="0.3">
      <c r="H250" s="8"/>
      <c r="I250" s="18"/>
      <c r="K250" s="6"/>
    </row>
    <row r="251" spans="8:11" s="11" customFormat="1" x14ac:dyDescent="0.3">
      <c r="H251" s="8"/>
      <c r="I251" s="18"/>
      <c r="K251" s="6"/>
    </row>
    <row r="252" spans="8:11" s="11" customFormat="1" x14ac:dyDescent="0.3">
      <c r="H252" s="8"/>
      <c r="I252" s="18"/>
      <c r="K252" s="6"/>
    </row>
    <row r="253" spans="8:11" s="11" customFormat="1" x14ac:dyDescent="0.3">
      <c r="H253" s="8"/>
      <c r="I253" s="18"/>
      <c r="K253" s="6"/>
    </row>
    <row r="254" spans="8:11" s="11" customFormat="1" x14ac:dyDescent="0.3">
      <c r="H254" s="8"/>
      <c r="I254" s="18"/>
      <c r="K254" s="6"/>
    </row>
    <row r="255" spans="8:11" s="11" customFormat="1" x14ac:dyDescent="0.3">
      <c r="H255" s="8"/>
      <c r="I255" s="18"/>
      <c r="K255" s="6"/>
    </row>
    <row r="256" spans="8:11" s="11" customFormat="1" x14ac:dyDescent="0.3">
      <c r="H256" s="8"/>
      <c r="I256" s="18"/>
      <c r="K256" s="6"/>
    </row>
    <row r="257" spans="8:11" s="11" customFormat="1" x14ac:dyDescent="0.3">
      <c r="H257" s="8"/>
      <c r="I257" s="18"/>
      <c r="K257" s="6"/>
    </row>
    <row r="258" spans="8:11" s="11" customFormat="1" x14ac:dyDescent="0.3">
      <c r="H258" s="8"/>
      <c r="I258" s="18"/>
      <c r="K258" s="6"/>
    </row>
    <row r="259" spans="8:11" s="11" customFormat="1" x14ac:dyDescent="0.3">
      <c r="H259" s="8"/>
      <c r="I259" s="18"/>
      <c r="K259" s="6"/>
    </row>
    <row r="260" spans="8:11" s="11" customFormat="1" x14ac:dyDescent="0.3">
      <c r="H260" s="8"/>
      <c r="I260" s="18"/>
      <c r="K260" s="6"/>
    </row>
    <row r="261" spans="8:11" s="11" customFormat="1" x14ac:dyDescent="0.3">
      <c r="H261" s="8"/>
      <c r="I261" s="18"/>
      <c r="K261" s="6"/>
    </row>
    <row r="262" spans="8:11" s="11" customFormat="1" x14ac:dyDescent="0.3">
      <c r="H262" s="8"/>
      <c r="I262" s="18"/>
      <c r="K262" s="6"/>
    </row>
    <row r="263" spans="8:11" s="11" customFormat="1" x14ac:dyDescent="0.3">
      <c r="H263" s="8"/>
      <c r="I263" s="18"/>
      <c r="K263" s="6"/>
    </row>
    <row r="264" spans="8:11" s="11" customFormat="1" x14ac:dyDescent="0.3">
      <c r="H264" s="8"/>
      <c r="I264" s="18"/>
      <c r="K264" s="6"/>
    </row>
    <row r="265" spans="8:11" s="11" customFormat="1" x14ac:dyDescent="0.3">
      <c r="H265" s="8"/>
      <c r="I265" s="18"/>
      <c r="K265" s="6"/>
    </row>
    <row r="266" spans="8:11" s="11" customFormat="1" x14ac:dyDescent="0.3">
      <c r="H266" s="8"/>
      <c r="I266" s="18"/>
      <c r="K266" s="6"/>
    </row>
    <row r="267" spans="8:11" s="11" customFormat="1" x14ac:dyDescent="0.3">
      <c r="H267" s="8"/>
      <c r="I267" s="18"/>
      <c r="K267" s="6"/>
    </row>
    <row r="268" spans="8:11" s="11" customFormat="1" x14ac:dyDescent="0.3">
      <c r="H268" s="8"/>
      <c r="I268" s="18"/>
      <c r="K268" s="6"/>
    </row>
    <row r="269" spans="8:11" s="11" customFormat="1" x14ac:dyDescent="0.3">
      <c r="H269" s="8"/>
      <c r="I269" s="18"/>
      <c r="K269" s="6"/>
    </row>
    <row r="270" spans="8:11" s="11" customFormat="1" x14ac:dyDescent="0.3">
      <c r="H270" s="8"/>
      <c r="I270" s="18"/>
      <c r="K270" s="6"/>
    </row>
    <row r="271" spans="8:11" s="11" customFormat="1" x14ac:dyDescent="0.3">
      <c r="H271" s="8"/>
      <c r="I271" s="18"/>
      <c r="K271" s="6"/>
    </row>
    <row r="272" spans="8:11" s="11" customFormat="1" x14ac:dyDescent="0.3">
      <c r="H272" s="8"/>
      <c r="I272" s="18"/>
      <c r="K272" s="6"/>
    </row>
    <row r="273" spans="8:11" s="11" customFormat="1" x14ac:dyDescent="0.3">
      <c r="H273" s="8"/>
      <c r="I273" s="18"/>
      <c r="K273" s="6"/>
    </row>
    <row r="274" spans="8:11" s="11" customFormat="1" x14ac:dyDescent="0.3">
      <c r="H274" s="8"/>
      <c r="I274" s="18"/>
      <c r="K274" s="6"/>
    </row>
    <row r="275" spans="8:11" s="11" customFormat="1" x14ac:dyDescent="0.3">
      <c r="H275" s="8"/>
      <c r="I275" s="18"/>
      <c r="K275" s="6"/>
    </row>
    <row r="276" spans="8:11" s="11" customFormat="1" x14ac:dyDescent="0.3">
      <c r="H276" s="8"/>
      <c r="I276" s="18"/>
      <c r="K276" s="6"/>
    </row>
    <row r="277" spans="8:11" s="11" customFormat="1" x14ac:dyDescent="0.3">
      <c r="H277" s="8"/>
      <c r="I277" s="18"/>
      <c r="K277" s="6"/>
    </row>
    <row r="278" spans="8:11" s="11" customFormat="1" x14ac:dyDescent="0.3">
      <c r="H278" s="8"/>
      <c r="I278" s="18"/>
      <c r="K278" s="6"/>
    </row>
    <row r="279" spans="8:11" s="11" customFormat="1" x14ac:dyDescent="0.3">
      <c r="H279" s="8"/>
      <c r="I279" s="18"/>
      <c r="K279" s="6"/>
    </row>
    <row r="280" spans="8:11" s="11" customFormat="1" x14ac:dyDescent="0.3">
      <c r="H280" s="8"/>
      <c r="I280" s="18"/>
      <c r="K280" s="6"/>
    </row>
    <row r="281" spans="8:11" s="11" customFormat="1" x14ac:dyDescent="0.3">
      <c r="H281" s="8"/>
      <c r="I281" s="18"/>
      <c r="K281" s="6"/>
    </row>
    <row r="282" spans="8:11" s="11" customFormat="1" x14ac:dyDescent="0.3">
      <c r="H282" s="8"/>
      <c r="I282" s="18"/>
      <c r="K282" s="6"/>
    </row>
    <row r="283" spans="8:11" s="11" customFormat="1" x14ac:dyDescent="0.3">
      <c r="H283" s="8"/>
      <c r="I283" s="18"/>
      <c r="K283" s="6"/>
    </row>
    <row r="284" spans="8:11" s="11" customFormat="1" x14ac:dyDescent="0.3">
      <c r="H284" s="8"/>
      <c r="I284" s="18"/>
      <c r="K284" s="6"/>
    </row>
    <row r="285" spans="8:11" s="11" customFormat="1" x14ac:dyDescent="0.3">
      <c r="H285" s="8"/>
      <c r="I285" s="18"/>
      <c r="K285" s="6"/>
    </row>
    <row r="286" spans="8:11" s="11" customFormat="1" x14ac:dyDescent="0.3">
      <c r="H286" s="8"/>
      <c r="I286" s="18"/>
      <c r="K286" s="6"/>
    </row>
    <row r="287" spans="8:11" s="11" customFormat="1" x14ac:dyDescent="0.3">
      <c r="H287" s="8"/>
      <c r="I287" s="18"/>
      <c r="K287" s="6"/>
    </row>
    <row r="288" spans="8:11" s="11" customFormat="1" x14ac:dyDescent="0.3">
      <c r="H288" s="8"/>
      <c r="I288" s="18"/>
      <c r="K288" s="6"/>
    </row>
    <row r="289" spans="8:11" s="11" customFormat="1" x14ac:dyDescent="0.3">
      <c r="H289" s="8"/>
      <c r="I289" s="18"/>
      <c r="K289" s="6"/>
    </row>
    <row r="290" spans="8:11" s="11" customFormat="1" x14ac:dyDescent="0.3">
      <c r="H290" s="8"/>
      <c r="I290" s="18"/>
      <c r="K290" s="6"/>
    </row>
    <row r="291" spans="8:11" s="11" customFormat="1" x14ac:dyDescent="0.3">
      <c r="H291" s="8"/>
      <c r="I291" s="18"/>
      <c r="K291" s="6"/>
    </row>
    <row r="292" spans="8:11" s="11" customFormat="1" x14ac:dyDescent="0.3">
      <c r="H292" s="8"/>
      <c r="I292" s="18"/>
      <c r="K292" s="6"/>
    </row>
    <row r="293" spans="8:11" s="11" customFormat="1" x14ac:dyDescent="0.3">
      <c r="H293" s="8"/>
      <c r="I293" s="18"/>
      <c r="K293" s="6"/>
    </row>
    <row r="294" spans="8:11" s="11" customFormat="1" x14ac:dyDescent="0.3">
      <c r="H294" s="8"/>
      <c r="I294" s="18"/>
      <c r="K294" s="6"/>
    </row>
    <row r="295" spans="8:11" s="11" customFormat="1" x14ac:dyDescent="0.3">
      <c r="H295" s="8"/>
      <c r="I295" s="18"/>
      <c r="K295" s="6"/>
    </row>
    <row r="296" spans="8:11" s="11" customFormat="1" x14ac:dyDescent="0.3">
      <c r="H296" s="8"/>
      <c r="I296" s="18"/>
      <c r="K296" s="6"/>
    </row>
    <row r="297" spans="8:11" s="11" customFormat="1" x14ac:dyDescent="0.3">
      <c r="H297" s="8"/>
      <c r="I297" s="18"/>
      <c r="K297" s="6"/>
    </row>
    <row r="298" spans="8:11" s="11" customFormat="1" x14ac:dyDescent="0.3">
      <c r="H298" s="8"/>
      <c r="I298" s="18"/>
      <c r="K298" s="6"/>
    </row>
    <row r="299" spans="8:11" s="11" customFormat="1" x14ac:dyDescent="0.3">
      <c r="H299" s="8"/>
      <c r="I299" s="18"/>
      <c r="K299" s="6"/>
    </row>
    <row r="300" spans="8:11" s="11" customFormat="1" x14ac:dyDescent="0.3">
      <c r="H300" s="8"/>
      <c r="I300" s="18"/>
      <c r="K300" s="6"/>
    </row>
    <row r="301" spans="8:11" s="11" customFormat="1" x14ac:dyDescent="0.3">
      <c r="H301" s="8"/>
      <c r="I301" s="18"/>
      <c r="K301" s="6"/>
    </row>
    <row r="302" spans="8:11" s="11" customFormat="1" x14ac:dyDescent="0.3">
      <c r="H302" s="8"/>
      <c r="I302" s="18"/>
      <c r="K302" s="6"/>
    </row>
    <row r="303" spans="8:11" s="11" customFormat="1" x14ac:dyDescent="0.3">
      <c r="H303" s="8"/>
      <c r="I303" s="18"/>
      <c r="K303" s="6"/>
    </row>
    <row r="304" spans="8:11" s="11" customFormat="1" x14ac:dyDescent="0.3">
      <c r="H304" s="8"/>
      <c r="I304" s="18"/>
      <c r="K304" s="6"/>
    </row>
    <row r="305" spans="8:11" s="11" customFormat="1" x14ac:dyDescent="0.3">
      <c r="H305" s="8"/>
      <c r="I305" s="18"/>
      <c r="K305" s="6"/>
    </row>
    <row r="306" spans="8:11" s="11" customFormat="1" x14ac:dyDescent="0.3">
      <c r="H306" s="8"/>
      <c r="I306" s="18"/>
      <c r="K306" s="6"/>
    </row>
    <row r="307" spans="8:11" s="11" customFormat="1" x14ac:dyDescent="0.3">
      <c r="H307" s="8"/>
      <c r="I307" s="18"/>
      <c r="K307" s="6"/>
    </row>
    <row r="308" spans="8:11" s="11" customFormat="1" x14ac:dyDescent="0.3">
      <c r="H308" s="8"/>
      <c r="I308" s="18"/>
      <c r="K308" s="6"/>
    </row>
    <row r="309" spans="8:11" s="11" customFormat="1" x14ac:dyDescent="0.3">
      <c r="H309" s="8"/>
      <c r="I309" s="18"/>
      <c r="K309" s="6"/>
    </row>
    <row r="310" spans="8:11" s="11" customFormat="1" x14ac:dyDescent="0.3">
      <c r="H310" s="8"/>
      <c r="I310" s="18"/>
      <c r="K310" s="6"/>
    </row>
    <row r="311" spans="8:11" s="11" customFormat="1" x14ac:dyDescent="0.3">
      <c r="H311" s="8"/>
      <c r="I311" s="18"/>
      <c r="K311" s="6"/>
    </row>
    <row r="312" spans="8:11" s="11" customFormat="1" x14ac:dyDescent="0.3">
      <c r="H312" s="8"/>
      <c r="I312" s="18"/>
      <c r="K312" s="6"/>
    </row>
    <row r="313" spans="8:11" s="11" customFormat="1" x14ac:dyDescent="0.3">
      <c r="H313" s="8"/>
      <c r="I313" s="18"/>
      <c r="K313" s="6"/>
    </row>
    <row r="314" spans="8:11" s="11" customFormat="1" x14ac:dyDescent="0.3">
      <c r="H314" s="8"/>
      <c r="I314" s="18"/>
      <c r="K314" s="6"/>
    </row>
    <row r="315" spans="8:11" s="11" customFormat="1" x14ac:dyDescent="0.3">
      <c r="H315" s="8"/>
      <c r="I315" s="18"/>
      <c r="K315" s="6"/>
    </row>
    <row r="316" spans="8:11" s="11" customFormat="1" x14ac:dyDescent="0.3">
      <c r="H316" s="8"/>
      <c r="I316" s="18"/>
      <c r="K316" s="6"/>
    </row>
    <row r="317" spans="8:11" s="11" customFormat="1" x14ac:dyDescent="0.3">
      <c r="H317" s="8"/>
      <c r="I317" s="18"/>
      <c r="K317" s="6"/>
    </row>
    <row r="318" spans="8:11" s="11" customFormat="1" x14ac:dyDescent="0.3">
      <c r="H318" s="8"/>
      <c r="I318" s="18"/>
      <c r="K318" s="6"/>
    </row>
    <row r="319" spans="8:11" s="11" customFormat="1" x14ac:dyDescent="0.3">
      <c r="H319" s="8"/>
      <c r="I319" s="18"/>
      <c r="K319" s="6"/>
    </row>
    <row r="320" spans="8:11" s="11" customFormat="1" x14ac:dyDescent="0.3">
      <c r="H320" s="8"/>
      <c r="I320" s="18"/>
      <c r="K320" s="6"/>
    </row>
    <row r="321" spans="8:11" s="11" customFormat="1" x14ac:dyDescent="0.3">
      <c r="H321" s="8"/>
      <c r="I321" s="18"/>
      <c r="K321" s="6"/>
    </row>
    <row r="322" spans="8:11" s="11" customFormat="1" x14ac:dyDescent="0.3">
      <c r="H322" s="8"/>
      <c r="I322" s="18"/>
      <c r="K322" s="6"/>
    </row>
    <row r="323" spans="8:11" s="11" customFormat="1" x14ac:dyDescent="0.3">
      <c r="H323" s="8"/>
      <c r="I323" s="18"/>
      <c r="K323" s="6"/>
    </row>
    <row r="324" spans="8:11" s="11" customFormat="1" x14ac:dyDescent="0.3">
      <c r="H324" s="8"/>
      <c r="I324" s="18"/>
      <c r="K324" s="6"/>
    </row>
    <row r="325" spans="8:11" s="11" customFormat="1" x14ac:dyDescent="0.3">
      <c r="H325" s="8"/>
      <c r="I325" s="18"/>
      <c r="K325" s="6"/>
    </row>
    <row r="326" spans="8:11" s="11" customFormat="1" x14ac:dyDescent="0.3">
      <c r="H326" s="8"/>
      <c r="I326" s="18"/>
      <c r="K326" s="6"/>
    </row>
    <row r="327" spans="8:11" s="11" customFormat="1" x14ac:dyDescent="0.3">
      <c r="H327" s="8"/>
      <c r="I327" s="18"/>
      <c r="K327" s="6"/>
    </row>
    <row r="328" spans="8:11" s="11" customFormat="1" x14ac:dyDescent="0.3">
      <c r="H328" s="8"/>
      <c r="I328" s="18"/>
      <c r="K328" s="6"/>
    </row>
    <row r="329" spans="8:11" s="11" customFormat="1" x14ac:dyDescent="0.3">
      <c r="H329" s="8"/>
      <c r="I329" s="18"/>
      <c r="K329" s="6"/>
    </row>
    <row r="330" spans="8:11" s="11" customFormat="1" x14ac:dyDescent="0.3">
      <c r="H330" s="8"/>
      <c r="I330" s="18"/>
      <c r="K330" s="6"/>
    </row>
    <row r="331" spans="8:11" s="11" customFormat="1" x14ac:dyDescent="0.3">
      <c r="H331" s="8"/>
      <c r="I331" s="18"/>
      <c r="K331" s="6"/>
    </row>
    <row r="332" spans="8:11" s="11" customFormat="1" x14ac:dyDescent="0.3">
      <c r="H332" s="8"/>
      <c r="I332" s="18"/>
      <c r="K332" s="6"/>
    </row>
    <row r="333" spans="8:11" s="11" customFormat="1" x14ac:dyDescent="0.3">
      <c r="H333" s="8"/>
      <c r="I333" s="18"/>
      <c r="K333" s="6"/>
    </row>
    <row r="334" spans="8:11" s="11" customFormat="1" x14ac:dyDescent="0.3">
      <c r="H334" s="8"/>
      <c r="I334" s="18"/>
      <c r="K334" s="6"/>
    </row>
    <row r="335" spans="8:11" s="11" customFormat="1" x14ac:dyDescent="0.3">
      <c r="H335" s="8"/>
      <c r="I335" s="18"/>
      <c r="K335" s="6"/>
    </row>
    <row r="336" spans="8:11" s="11" customFormat="1" x14ac:dyDescent="0.3">
      <c r="H336" s="8"/>
      <c r="I336" s="18"/>
      <c r="K336" s="6"/>
    </row>
    <row r="337" spans="8:11" s="11" customFormat="1" x14ac:dyDescent="0.3">
      <c r="H337" s="8"/>
      <c r="I337" s="18"/>
      <c r="K337" s="6"/>
    </row>
    <row r="338" spans="8:11" s="11" customFormat="1" x14ac:dyDescent="0.3">
      <c r="H338" s="8"/>
      <c r="I338" s="18"/>
      <c r="K338" s="6"/>
    </row>
    <row r="339" spans="8:11" s="11" customFormat="1" x14ac:dyDescent="0.3">
      <c r="H339" s="8"/>
      <c r="I339" s="18"/>
      <c r="K339" s="6"/>
    </row>
    <row r="340" spans="8:11" s="11" customFormat="1" x14ac:dyDescent="0.3">
      <c r="H340" s="8"/>
      <c r="I340" s="18"/>
      <c r="K340" s="6"/>
    </row>
    <row r="341" spans="8:11" s="11" customFormat="1" x14ac:dyDescent="0.3">
      <c r="H341" s="8"/>
      <c r="I341" s="18"/>
      <c r="K341" s="6"/>
    </row>
    <row r="342" spans="8:11" s="11" customFormat="1" x14ac:dyDescent="0.3">
      <c r="H342" s="8"/>
      <c r="I342" s="18"/>
      <c r="K342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C24E-9B88-4C92-9C07-E6FC581A2C9D}">
  <sheetPr codeName="Sheet10"/>
  <dimension ref="A1:Q342"/>
  <sheetViews>
    <sheetView rightToLeft="1" zoomScale="113" zoomScaleNormal="113" workbookViewId="0">
      <pane ySplit="13" topLeftCell="A29" activePane="bottomLeft" state="frozen"/>
      <selection pane="bottomLeft" activeCell="I1" sqref="I1:J1"/>
    </sheetView>
  </sheetViews>
  <sheetFormatPr defaultRowHeight="15.6" x14ac:dyDescent="0.3"/>
  <cols>
    <col min="1" max="1" width="12" style="2" bestFit="1" customWidth="1"/>
    <col min="2" max="2" width="5.109375" style="2" bestFit="1" customWidth="1"/>
    <col min="3" max="3" width="7.6640625" style="2" bestFit="1" customWidth="1"/>
    <col min="4" max="4" width="9.109375" style="2" bestFit="1" customWidth="1"/>
    <col min="5" max="5" width="5.109375" style="2" bestFit="1" customWidth="1"/>
    <col min="6" max="6" width="12.88671875" style="2" bestFit="1" customWidth="1"/>
    <col min="7" max="7" width="4.5546875" style="2" customWidth="1"/>
    <col min="8" max="8" width="19.88671875" style="8" customWidth="1"/>
    <col min="9" max="9" width="14.6640625" style="7" bestFit="1" customWidth="1"/>
    <col min="10" max="10" width="8.5546875" style="11" bestFit="1" customWidth="1"/>
    <col min="11" max="11" width="3.77734375" style="6" customWidth="1"/>
    <col min="12" max="12" width="11.44140625" style="2" customWidth="1"/>
    <col min="13" max="13" width="5.109375" style="2" bestFit="1" customWidth="1"/>
    <col min="14" max="14" width="11.5546875" style="2" bestFit="1" customWidth="1"/>
    <col min="15" max="15" width="10.21875" style="2" customWidth="1"/>
    <col min="16" max="16" width="7.77734375" style="2" customWidth="1"/>
    <col min="17" max="17" width="18.44140625" style="2" bestFit="1" customWidth="1"/>
    <col min="18" max="16384" width="8.88671875" style="2"/>
  </cols>
  <sheetData>
    <row r="1" spans="1:17" x14ac:dyDescent="0.3">
      <c r="A1" s="2" t="s">
        <v>29</v>
      </c>
      <c r="H1" s="8" t="s">
        <v>82</v>
      </c>
      <c r="I1" s="7">
        <f>SUM(Table13456781011[اللبناني])+F8</f>
        <v>2845</v>
      </c>
      <c r="J1" s="11">
        <f>SUM(Table13456781011[الدولار])+C9</f>
        <v>2085</v>
      </c>
      <c r="L1" s="2" t="s">
        <v>33</v>
      </c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C3" s="21">
        <f>A3*B3</f>
        <v>0</v>
      </c>
      <c r="D3" s="17">
        <v>5</v>
      </c>
      <c r="E3" s="2">
        <v>82</v>
      </c>
      <c r="F3" s="23">
        <f>D3*E3</f>
        <v>410</v>
      </c>
      <c r="G3" s="5"/>
      <c r="H3" s="10" t="s">
        <v>72</v>
      </c>
      <c r="I3" s="20"/>
      <c r="J3" s="11">
        <v>15</v>
      </c>
      <c r="L3" s="15">
        <v>1</v>
      </c>
      <c r="N3" s="21">
        <f>L3*M3</f>
        <v>0</v>
      </c>
      <c r="O3" s="17">
        <v>5</v>
      </c>
      <c r="Q3" s="23">
        <f>O3*P3</f>
        <v>0</v>
      </c>
    </row>
    <row r="4" spans="1:17" x14ac:dyDescent="0.3">
      <c r="A4" s="15">
        <v>5</v>
      </c>
      <c r="B4" s="2">
        <v>3</v>
      </c>
      <c r="C4" s="21">
        <f t="shared" ref="C4:C8" si="0">A4*B4</f>
        <v>15</v>
      </c>
      <c r="D4" s="17">
        <v>10</v>
      </c>
      <c r="E4" s="2">
        <v>47</v>
      </c>
      <c r="F4" s="23">
        <f t="shared" ref="F4:F7" si="1">D4*E4</f>
        <v>470</v>
      </c>
      <c r="G4" s="5"/>
      <c r="H4" s="10" t="s">
        <v>83</v>
      </c>
      <c r="I4" s="20">
        <v>270</v>
      </c>
      <c r="L4" s="15">
        <v>5</v>
      </c>
      <c r="N4" s="21">
        <f t="shared" ref="N4:N8" si="2">L4*M4</f>
        <v>0</v>
      </c>
      <c r="O4" s="17">
        <v>10</v>
      </c>
      <c r="Q4" s="23">
        <f t="shared" ref="Q4:Q7" si="3">O4*P4</f>
        <v>0</v>
      </c>
    </row>
    <row r="5" spans="1:17" x14ac:dyDescent="0.3">
      <c r="A5" s="15">
        <v>10</v>
      </c>
      <c r="B5" s="2">
        <v>29</v>
      </c>
      <c r="C5" s="21">
        <f t="shared" si="0"/>
        <v>290</v>
      </c>
      <c r="D5" s="17">
        <v>20</v>
      </c>
      <c r="F5" s="23">
        <f t="shared" si="1"/>
        <v>0</v>
      </c>
      <c r="G5" s="5"/>
      <c r="H5" s="10" t="s">
        <v>84</v>
      </c>
      <c r="I5" s="20">
        <v>1300</v>
      </c>
      <c r="J5" s="11">
        <v>100</v>
      </c>
      <c r="L5" s="15">
        <v>10</v>
      </c>
      <c r="N5" s="21">
        <f t="shared" si="2"/>
        <v>0</v>
      </c>
      <c r="O5" s="17">
        <v>20</v>
      </c>
      <c r="Q5" s="23">
        <f t="shared" si="3"/>
        <v>0</v>
      </c>
    </row>
    <row r="6" spans="1:17" x14ac:dyDescent="0.3">
      <c r="A6" s="15">
        <v>20</v>
      </c>
      <c r="B6" s="2">
        <v>6</v>
      </c>
      <c r="C6" s="21">
        <f t="shared" si="0"/>
        <v>120</v>
      </c>
      <c r="D6" s="17">
        <v>50</v>
      </c>
      <c r="F6" s="23">
        <f t="shared" si="1"/>
        <v>0</v>
      </c>
      <c r="G6" s="5"/>
      <c r="H6" s="10" t="s">
        <v>85</v>
      </c>
      <c r="I6" s="20">
        <v>-315</v>
      </c>
      <c r="L6" s="15">
        <v>20</v>
      </c>
      <c r="N6" s="21">
        <f t="shared" si="2"/>
        <v>0</v>
      </c>
      <c r="O6" s="17">
        <v>50</v>
      </c>
      <c r="Q6" s="23">
        <f t="shared" si="3"/>
        <v>0</v>
      </c>
    </row>
    <row r="7" spans="1:17" x14ac:dyDescent="0.3">
      <c r="A7" s="15">
        <v>50</v>
      </c>
      <c r="B7" s="2">
        <v>1</v>
      </c>
      <c r="C7" s="21">
        <f t="shared" si="0"/>
        <v>50</v>
      </c>
      <c r="D7" s="17">
        <v>100</v>
      </c>
      <c r="E7" s="2">
        <v>19</v>
      </c>
      <c r="F7" s="23">
        <f t="shared" si="1"/>
        <v>1900</v>
      </c>
      <c r="G7" s="5"/>
      <c r="H7" s="10" t="s">
        <v>86</v>
      </c>
      <c r="I7" s="20"/>
      <c r="J7" s="11">
        <v>50</v>
      </c>
      <c r="L7" s="15">
        <v>50</v>
      </c>
      <c r="N7" s="21">
        <f t="shared" si="2"/>
        <v>0</v>
      </c>
      <c r="O7" s="17">
        <v>100</v>
      </c>
      <c r="Q7" s="23">
        <f t="shared" si="3"/>
        <v>0</v>
      </c>
    </row>
    <row r="8" spans="1:17" x14ac:dyDescent="0.3">
      <c r="A8" s="15">
        <v>100</v>
      </c>
      <c r="B8" s="2">
        <v>1</v>
      </c>
      <c r="C8" s="21">
        <f t="shared" si="0"/>
        <v>100</v>
      </c>
      <c r="D8" s="1" t="s">
        <v>1</v>
      </c>
      <c r="E8" s="1"/>
      <c r="F8" s="19">
        <f>SUM(F3:F7)</f>
        <v>2780</v>
      </c>
      <c r="G8" s="5"/>
      <c r="H8" s="10" t="s">
        <v>9</v>
      </c>
      <c r="I8" s="20">
        <v>-2000</v>
      </c>
      <c r="L8" s="15">
        <v>100</v>
      </c>
      <c r="N8" s="21">
        <f t="shared" si="2"/>
        <v>0</v>
      </c>
      <c r="O8" s="1" t="s">
        <v>1</v>
      </c>
      <c r="P8" s="1"/>
      <c r="Q8" s="19">
        <f>SUM(Q3:Q7)</f>
        <v>0</v>
      </c>
    </row>
    <row r="9" spans="1:17" x14ac:dyDescent="0.3">
      <c r="A9" s="1" t="s">
        <v>1</v>
      </c>
      <c r="B9" s="1"/>
      <c r="C9" s="22">
        <f>SUM(C3:C8)</f>
        <v>575</v>
      </c>
      <c r="H9" s="10" t="s">
        <v>87</v>
      </c>
      <c r="I9" s="20">
        <v>-500</v>
      </c>
      <c r="J9" s="11">
        <v>100</v>
      </c>
      <c r="L9" s="1" t="s">
        <v>1</v>
      </c>
      <c r="M9" s="1"/>
      <c r="N9" s="22">
        <f>SUM(N3:N8)</f>
        <v>0</v>
      </c>
      <c r="Q9" s="20"/>
    </row>
    <row r="10" spans="1:17" x14ac:dyDescent="0.3">
      <c r="H10" s="10" t="s">
        <v>88</v>
      </c>
      <c r="I10" s="20"/>
      <c r="J10" s="11">
        <v>40</v>
      </c>
      <c r="N10" s="27"/>
      <c r="O10" s="1" t="s">
        <v>40</v>
      </c>
      <c r="P10" s="1"/>
      <c r="Q10" s="24">
        <f>SUM(Table13456781011[اللبناني])</f>
        <v>65</v>
      </c>
    </row>
    <row r="11" spans="1:17" x14ac:dyDescent="0.3">
      <c r="H11" s="10" t="s">
        <v>90</v>
      </c>
      <c r="I11" s="20">
        <v>-180</v>
      </c>
      <c r="J11" s="11">
        <v>100</v>
      </c>
      <c r="L11" s="1" t="s">
        <v>39</v>
      </c>
      <c r="M11" s="1"/>
      <c r="N11" s="12">
        <f>SUM(Table13456781011[الدولار])</f>
        <v>1510</v>
      </c>
      <c r="Q11" s="20"/>
    </row>
    <row r="12" spans="1:17" x14ac:dyDescent="0.3">
      <c r="H12" s="10" t="s">
        <v>89</v>
      </c>
      <c r="I12" s="20">
        <v>225</v>
      </c>
      <c r="N12" s="27"/>
      <c r="O12" s="1" t="s">
        <v>27</v>
      </c>
      <c r="P12" s="1"/>
      <c r="Q12" s="24">
        <f>Q8-Q10-F8</f>
        <v>-2845</v>
      </c>
    </row>
    <row r="13" spans="1:17" x14ac:dyDescent="0.3">
      <c r="C13" s="14"/>
      <c r="D13" s="14"/>
      <c r="F13" s="14"/>
      <c r="H13" s="10" t="s">
        <v>91</v>
      </c>
      <c r="I13" s="20">
        <v>-50</v>
      </c>
      <c r="J13" s="11">
        <v>15</v>
      </c>
      <c r="L13" s="1" t="s">
        <v>27</v>
      </c>
      <c r="M13" s="1"/>
      <c r="N13" s="12">
        <f>N9-N11-C9</f>
        <v>-2085</v>
      </c>
    </row>
    <row r="14" spans="1:17" x14ac:dyDescent="0.3">
      <c r="C14" s="14"/>
      <c r="D14" s="14"/>
      <c r="F14" s="14"/>
      <c r="H14" s="10" t="s">
        <v>92</v>
      </c>
      <c r="I14" s="18"/>
      <c r="J14" s="11">
        <v>10</v>
      </c>
    </row>
    <row r="15" spans="1:17" x14ac:dyDescent="0.3">
      <c r="C15" s="14"/>
      <c r="D15" s="14"/>
      <c r="F15" s="14"/>
      <c r="H15" s="10" t="s">
        <v>93</v>
      </c>
      <c r="I15" s="18">
        <v>-300</v>
      </c>
      <c r="J15" s="11">
        <v>15</v>
      </c>
    </row>
    <row r="16" spans="1:17" x14ac:dyDescent="0.3">
      <c r="C16" s="14"/>
      <c r="D16" s="14"/>
      <c r="F16" s="14"/>
      <c r="H16" s="10" t="s">
        <v>94</v>
      </c>
      <c r="I16" s="18">
        <v>90</v>
      </c>
      <c r="J16" s="11">
        <v>10</v>
      </c>
    </row>
    <row r="17" spans="3:11" s="11" customFormat="1" x14ac:dyDescent="0.3">
      <c r="C17" s="14"/>
      <c r="D17" s="14"/>
      <c r="E17" s="2"/>
      <c r="F17" s="14"/>
      <c r="G17" s="2"/>
      <c r="H17" s="10" t="s">
        <v>95</v>
      </c>
      <c r="I17" s="20"/>
      <c r="J17" s="11">
        <v>5</v>
      </c>
      <c r="K17" s="6"/>
    </row>
    <row r="18" spans="3:11" s="11" customFormat="1" x14ac:dyDescent="0.3">
      <c r="C18" s="14"/>
      <c r="D18" s="2"/>
      <c r="E18" s="2"/>
      <c r="F18" s="14"/>
      <c r="G18" s="2"/>
      <c r="H18" s="10" t="s">
        <v>96</v>
      </c>
      <c r="I18" s="20">
        <v>180</v>
      </c>
      <c r="J18" s="11">
        <v>20</v>
      </c>
      <c r="K18" s="6"/>
    </row>
    <row r="19" spans="3:11" s="11" customFormat="1" x14ac:dyDescent="0.3">
      <c r="C19" s="14"/>
      <c r="D19" s="2"/>
      <c r="E19" s="2"/>
      <c r="F19" s="2"/>
      <c r="G19" s="2"/>
      <c r="H19" s="10" t="s">
        <v>96</v>
      </c>
      <c r="I19" s="20">
        <v>90</v>
      </c>
      <c r="J19" s="11">
        <v>10</v>
      </c>
      <c r="K19" s="6"/>
    </row>
    <row r="20" spans="3:11" s="11" customFormat="1" x14ac:dyDescent="0.3">
      <c r="C20" s="2"/>
      <c r="D20" s="2"/>
      <c r="E20" s="2"/>
      <c r="F20" s="6"/>
      <c r="G20" s="2"/>
      <c r="H20" s="10" t="s">
        <v>15</v>
      </c>
      <c r="I20" s="20"/>
      <c r="J20" s="11">
        <v>200</v>
      </c>
      <c r="K20" s="6"/>
    </row>
    <row r="21" spans="3:11" s="11" customFormat="1" x14ac:dyDescent="0.3">
      <c r="C21" s="6"/>
      <c r="D21" s="2"/>
      <c r="E21" s="2"/>
      <c r="F21" s="2"/>
      <c r="G21" s="2"/>
      <c r="H21" s="10" t="s">
        <v>97</v>
      </c>
      <c r="I21" s="20">
        <v>70</v>
      </c>
      <c r="K21" s="6"/>
    </row>
    <row r="22" spans="3:11" s="11" customFormat="1" x14ac:dyDescent="0.3">
      <c r="C22" s="2"/>
      <c r="D22" s="2"/>
      <c r="E22" s="2"/>
      <c r="F22" s="6"/>
      <c r="G22" s="2"/>
      <c r="H22" s="10" t="s">
        <v>98</v>
      </c>
      <c r="I22" s="20">
        <v>180</v>
      </c>
      <c r="J22" s="11">
        <v>90</v>
      </c>
      <c r="K22" s="6"/>
    </row>
    <row r="23" spans="3:11" s="11" customFormat="1" x14ac:dyDescent="0.3">
      <c r="C23" s="6"/>
      <c r="D23" s="2"/>
      <c r="E23" s="2"/>
      <c r="F23" s="2"/>
      <c r="G23" s="2"/>
      <c r="H23" s="10" t="s">
        <v>99</v>
      </c>
      <c r="I23" s="20"/>
      <c r="J23" s="11">
        <v>40</v>
      </c>
      <c r="K23" s="6"/>
    </row>
    <row r="24" spans="3:11" s="11" customFormat="1" x14ac:dyDescent="0.3">
      <c r="C24" s="2"/>
      <c r="D24" s="2"/>
      <c r="E24" s="2"/>
      <c r="F24" s="2"/>
      <c r="G24" s="2"/>
      <c r="H24" s="10" t="s">
        <v>100</v>
      </c>
      <c r="I24" s="20"/>
      <c r="J24" s="11">
        <v>5</v>
      </c>
      <c r="K24" s="6"/>
    </row>
    <row r="25" spans="3:11" s="11" customFormat="1" x14ac:dyDescent="0.3">
      <c r="C25" s="2"/>
      <c r="D25" s="2"/>
      <c r="E25" s="2"/>
      <c r="F25" s="2"/>
      <c r="G25" s="2"/>
      <c r="H25" s="10" t="s">
        <v>101</v>
      </c>
      <c r="I25" s="20">
        <v>400</v>
      </c>
      <c r="K25" s="6"/>
    </row>
    <row r="26" spans="3:11" s="11" customFormat="1" x14ac:dyDescent="0.3">
      <c r="C26" s="2"/>
      <c r="D26" s="2"/>
      <c r="E26" s="2"/>
      <c r="F26" s="2"/>
      <c r="G26" s="2"/>
      <c r="H26" s="10" t="s">
        <v>72</v>
      </c>
      <c r="I26" s="20"/>
      <c r="J26" s="11">
        <v>10</v>
      </c>
      <c r="K26" s="6"/>
    </row>
    <row r="27" spans="3:11" s="11" customFormat="1" x14ac:dyDescent="0.3">
      <c r="C27" s="2"/>
      <c r="D27" s="2"/>
      <c r="E27" s="2"/>
      <c r="F27" s="2"/>
      <c r="G27" s="2"/>
      <c r="H27" s="10" t="s">
        <v>102</v>
      </c>
      <c r="I27" s="18">
        <v>-100</v>
      </c>
      <c r="J27" s="11">
        <v>200</v>
      </c>
      <c r="K27" s="6"/>
    </row>
    <row r="28" spans="3:11" s="11" customFormat="1" x14ac:dyDescent="0.3">
      <c r="C28" s="2"/>
      <c r="D28" s="2"/>
      <c r="E28" s="2"/>
      <c r="F28" s="2"/>
      <c r="G28" s="2"/>
      <c r="H28" s="10" t="s">
        <v>103</v>
      </c>
      <c r="I28" s="18"/>
      <c r="J28" s="11">
        <v>-620</v>
      </c>
      <c r="K28" s="6"/>
    </row>
    <row r="29" spans="3:11" s="11" customFormat="1" x14ac:dyDescent="0.3">
      <c r="C29" s="2"/>
      <c r="D29" s="2"/>
      <c r="E29" s="2"/>
      <c r="F29" s="2"/>
      <c r="G29" s="2"/>
      <c r="H29" s="8" t="s">
        <v>104</v>
      </c>
      <c r="I29" s="18">
        <v>-300</v>
      </c>
      <c r="K29" s="6"/>
    </row>
    <row r="30" spans="3:11" s="11" customFormat="1" x14ac:dyDescent="0.3">
      <c r="C30" s="2"/>
      <c r="D30" s="2"/>
      <c r="E30" s="2"/>
      <c r="F30" s="2"/>
      <c r="G30" s="2"/>
      <c r="H30" s="8" t="s">
        <v>105</v>
      </c>
      <c r="I30" s="18">
        <v>400</v>
      </c>
      <c r="K30" s="6"/>
    </row>
    <row r="31" spans="3:11" s="11" customFormat="1" x14ac:dyDescent="0.3">
      <c r="C31" s="2"/>
      <c r="D31" s="2"/>
      <c r="E31" s="2"/>
      <c r="F31" s="2"/>
      <c r="G31" s="2"/>
      <c r="H31" s="8" t="s">
        <v>106</v>
      </c>
      <c r="I31" s="18"/>
      <c r="J31" s="11">
        <v>85</v>
      </c>
      <c r="K31" s="6"/>
    </row>
    <row r="32" spans="3:11" s="11" customFormat="1" x14ac:dyDescent="0.3">
      <c r="C32" s="2"/>
      <c r="D32" s="2"/>
      <c r="E32" s="2"/>
      <c r="F32" s="2"/>
      <c r="G32" s="2"/>
      <c r="H32" s="8" t="s">
        <v>107</v>
      </c>
      <c r="I32" s="18">
        <v>585</v>
      </c>
      <c r="K32" s="6"/>
    </row>
    <row r="33" spans="8:11" s="11" customFormat="1" x14ac:dyDescent="0.3">
      <c r="H33" s="8" t="s">
        <v>108</v>
      </c>
      <c r="I33" s="18">
        <v>-360</v>
      </c>
      <c r="J33" s="11">
        <v>10</v>
      </c>
      <c r="K33" s="6"/>
    </row>
    <row r="34" spans="8:11" s="11" customFormat="1" x14ac:dyDescent="0.3">
      <c r="H34" s="8" t="s">
        <v>109</v>
      </c>
      <c r="I34" s="18"/>
      <c r="J34" s="11">
        <v>1000</v>
      </c>
      <c r="K34" s="6"/>
    </row>
    <row r="35" spans="8:11" s="11" customFormat="1" x14ac:dyDescent="0.3">
      <c r="H35" s="8" t="s">
        <v>110</v>
      </c>
      <c r="I35" s="18">
        <v>180</v>
      </c>
      <c r="K35" s="6"/>
    </row>
    <row r="36" spans="8:11" s="11" customFormat="1" x14ac:dyDescent="0.3">
      <c r="H36" s="8" t="s">
        <v>111</v>
      </c>
      <c r="I36" s="18">
        <v>200</v>
      </c>
      <c r="K36" s="6"/>
    </row>
    <row r="37" spans="8:11" s="11" customFormat="1" x14ac:dyDescent="0.3">
      <c r="H37" s="8"/>
      <c r="I37" s="18"/>
      <c r="K37" s="6"/>
    </row>
    <row r="38" spans="8:11" s="11" customFormat="1" x14ac:dyDescent="0.3">
      <c r="H38" s="8"/>
      <c r="I38" s="18"/>
      <c r="K38" s="6"/>
    </row>
    <row r="39" spans="8:11" s="11" customFormat="1" x14ac:dyDescent="0.3">
      <c r="H39" s="8"/>
      <c r="I39" s="18"/>
      <c r="K39" s="6"/>
    </row>
    <row r="40" spans="8:11" s="11" customFormat="1" x14ac:dyDescent="0.3">
      <c r="H40" s="8"/>
      <c r="I40" s="18"/>
      <c r="K40" s="6"/>
    </row>
    <row r="41" spans="8:11" s="11" customFormat="1" x14ac:dyDescent="0.3">
      <c r="H41" s="8"/>
      <c r="I41" s="18"/>
      <c r="K41" s="6"/>
    </row>
    <row r="42" spans="8:11" s="11" customFormat="1" x14ac:dyDescent="0.3">
      <c r="H42" s="8"/>
      <c r="I42" s="18"/>
      <c r="K42" s="6"/>
    </row>
    <row r="43" spans="8:11" s="11" customFormat="1" x14ac:dyDescent="0.3">
      <c r="H43" s="8"/>
      <c r="I43" s="18"/>
      <c r="K43" s="6"/>
    </row>
    <row r="44" spans="8:11" s="11" customFormat="1" x14ac:dyDescent="0.3">
      <c r="H44" s="8"/>
      <c r="I44" s="18"/>
      <c r="K44" s="6"/>
    </row>
    <row r="45" spans="8:11" s="11" customFormat="1" x14ac:dyDescent="0.3">
      <c r="H45" s="8"/>
      <c r="I45" s="18"/>
      <c r="K45" s="6"/>
    </row>
    <row r="46" spans="8:11" s="11" customFormat="1" x14ac:dyDescent="0.3">
      <c r="H46" s="8"/>
      <c r="I46" s="18"/>
      <c r="K46" s="6"/>
    </row>
    <row r="47" spans="8:11" s="11" customFormat="1" x14ac:dyDescent="0.3">
      <c r="H47" s="8"/>
      <c r="I47" s="18"/>
      <c r="K47" s="6"/>
    </row>
    <row r="48" spans="8:11" s="11" customFormat="1" x14ac:dyDescent="0.3">
      <c r="H48" s="8"/>
      <c r="I48" s="18"/>
      <c r="K48" s="6"/>
    </row>
    <row r="49" spans="8:11" s="11" customFormat="1" x14ac:dyDescent="0.3">
      <c r="H49" s="8"/>
      <c r="I49" s="18"/>
      <c r="K49" s="6"/>
    </row>
    <row r="50" spans="8:11" s="11" customFormat="1" x14ac:dyDescent="0.3">
      <c r="H50" s="8"/>
      <c r="I50" s="18"/>
      <c r="K50" s="6"/>
    </row>
    <row r="51" spans="8:11" s="11" customFormat="1" x14ac:dyDescent="0.3">
      <c r="H51" s="8"/>
      <c r="I51" s="18"/>
      <c r="K51" s="6"/>
    </row>
    <row r="52" spans="8:11" s="11" customFormat="1" x14ac:dyDescent="0.3">
      <c r="H52" s="8"/>
      <c r="I52" s="18"/>
      <c r="K52" s="6"/>
    </row>
    <row r="53" spans="8:11" s="11" customFormat="1" x14ac:dyDescent="0.3">
      <c r="H53" s="8"/>
      <c r="I53" s="18"/>
      <c r="K53" s="6"/>
    </row>
    <row r="54" spans="8:11" s="11" customFormat="1" x14ac:dyDescent="0.3">
      <c r="H54" s="8"/>
      <c r="I54" s="18"/>
      <c r="K54" s="6"/>
    </row>
    <row r="55" spans="8:11" s="11" customFormat="1" x14ac:dyDescent="0.3">
      <c r="H55" s="8"/>
      <c r="I55" s="18"/>
      <c r="K55" s="6"/>
    </row>
    <row r="56" spans="8:11" s="11" customFormat="1" x14ac:dyDescent="0.3">
      <c r="H56" s="8"/>
      <c r="I56" s="18"/>
      <c r="K56" s="6"/>
    </row>
    <row r="57" spans="8:11" s="11" customFormat="1" x14ac:dyDescent="0.3">
      <c r="H57" s="8"/>
      <c r="I57" s="18"/>
      <c r="K57" s="6"/>
    </row>
    <row r="58" spans="8:11" s="11" customFormat="1" x14ac:dyDescent="0.3">
      <c r="H58" s="8"/>
      <c r="I58" s="18"/>
      <c r="K58" s="6"/>
    </row>
    <row r="59" spans="8:11" s="11" customFormat="1" x14ac:dyDescent="0.3">
      <c r="H59" s="8"/>
      <c r="I59" s="18"/>
      <c r="K59" s="6"/>
    </row>
    <row r="60" spans="8:11" s="11" customFormat="1" x14ac:dyDescent="0.3">
      <c r="H60" s="8"/>
      <c r="I60" s="18"/>
      <c r="K60" s="6"/>
    </row>
    <row r="61" spans="8:11" s="11" customFormat="1" x14ac:dyDescent="0.3">
      <c r="H61" s="8"/>
      <c r="I61" s="18"/>
      <c r="K61" s="6"/>
    </row>
    <row r="62" spans="8:11" s="11" customFormat="1" x14ac:dyDescent="0.3">
      <c r="H62" s="8"/>
      <c r="I62" s="18"/>
      <c r="K62" s="6"/>
    </row>
    <row r="63" spans="8:11" s="11" customFormat="1" x14ac:dyDescent="0.3">
      <c r="H63" s="8"/>
      <c r="I63" s="18"/>
      <c r="K63" s="6"/>
    </row>
    <row r="64" spans="8:11" s="11" customFormat="1" x14ac:dyDescent="0.3">
      <c r="H64" s="8"/>
      <c r="I64" s="18"/>
      <c r="K64" s="6"/>
    </row>
    <row r="65" spans="8:11" s="11" customFormat="1" x14ac:dyDescent="0.3">
      <c r="H65" s="8"/>
      <c r="I65" s="18"/>
      <c r="K65" s="6"/>
    </row>
    <row r="66" spans="8:11" s="11" customFormat="1" x14ac:dyDescent="0.3">
      <c r="H66" s="8"/>
      <c r="I66" s="18"/>
      <c r="K66" s="6"/>
    </row>
    <row r="67" spans="8:11" s="11" customFormat="1" x14ac:dyDescent="0.3">
      <c r="H67" s="8"/>
      <c r="I67" s="18"/>
      <c r="K67" s="6"/>
    </row>
    <row r="68" spans="8:11" s="11" customFormat="1" x14ac:dyDescent="0.3">
      <c r="H68" s="8"/>
      <c r="I68" s="18"/>
      <c r="K68" s="6"/>
    </row>
    <row r="69" spans="8:11" s="11" customFormat="1" x14ac:dyDescent="0.3">
      <c r="H69" s="8"/>
      <c r="I69" s="18"/>
      <c r="K69" s="6"/>
    </row>
    <row r="70" spans="8:11" s="11" customFormat="1" x14ac:dyDescent="0.3">
      <c r="H70" s="8"/>
      <c r="I70" s="18"/>
      <c r="K70" s="6"/>
    </row>
    <row r="71" spans="8:11" s="11" customFormat="1" x14ac:dyDescent="0.3">
      <c r="H71" s="8"/>
      <c r="I71" s="18"/>
      <c r="K71" s="6"/>
    </row>
    <row r="72" spans="8:11" s="11" customFormat="1" x14ac:dyDescent="0.3">
      <c r="H72" s="8"/>
      <c r="I72" s="18"/>
      <c r="K72" s="6"/>
    </row>
    <row r="73" spans="8:11" s="11" customFormat="1" x14ac:dyDescent="0.3">
      <c r="H73" s="8"/>
      <c r="I73" s="18"/>
      <c r="K73" s="6"/>
    </row>
    <row r="74" spans="8:11" s="11" customFormat="1" x14ac:dyDescent="0.3">
      <c r="H74" s="8"/>
      <c r="I74" s="18"/>
      <c r="K74" s="6"/>
    </row>
    <row r="75" spans="8:11" s="11" customFormat="1" x14ac:dyDescent="0.3">
      <c r="H75" s="8"/>
      <c r="I75" s="18"/>
      <c r="K75" s="6"/>
    </row>
    <row r="76" spans="8:11" s="11" customFormat="1" x14ac:dyDescent="0.3">
      <c r="H76" s="8"/>
      <c r="I76" s="18"/>
      <c r="K76" s="6"/>
    </row>
    <row r="77" spans="8:11" s="11" customFormat="1" x14ac:dyDescent="0.3">
      <c r="H77" s="8"/>
      <c r="I77" s="18"/>
      <c r="K77" s="6"/>
    </row>
    <row r="78" spans="8:11" s="11" customFormat="1" x14ac:dyDescent="0.3">
      <c r="H78" s="8"/>
      <c r="I78" s="18"/>
      <c r="K78" s="6"/>
    </row>
    <row r="79" spans="8:11" s="11" customFormat="1" x14ac:dyDescent="0.3">
      <c r="H79" s="8"/>
      <c r="I79" s="18"/>
      <c r="K79" s="6"/>
    </row>
    <row r="80" spans="8:11" s="11" customFormat="1" x14ac:dyDescent="0.3">
      <c r="H80" s="8"/>
      <c r="I80" s="18"/>
      <c r="K80" s="6"/>
    </row>
    <row r="81" spans="8:11" s="11" customFormat="1" x14ac:dyDescent="0.3">
      <c r="H81" s="8"/>
      <c r="I81" s="18"/>
      <c r="K81" s="6"/>
    </row>
    <row r="82" spans="8:11" s="11" customFormat="1" x14ac:dyDescent="0.3">
      <c r="H82" s="8"/>
      <c r="I82" s="18"/>
      <c r="K82" s="6"/>
    </row>
    <row r="83" spans="8:11" s="11" customFormat="1" x14ac:dyDescent="0.3">
      <c r="H83" s="8"/>
      <c r="I83" s="18"/>
      <c r="K83" s="6"/>
    </row>
    <row r="84" spans="8:11" s="11" customFormat="1" x14ac:dyDescent="0.3">
      <c r="H84" s="8"/>
      <c r="I84" s="18"/>
      <c r="K84" s="6"/>
    </row>
    <row r="85" spans="8:11" s="11" customFormat="1" x14ac:dyDescent="0.3">
      <c r="H85" s="8"/>
      <c r="I85" s="18"/>
      <c r="K85" s="6"/>
    </row>
    <row r="86" spans="8:11" s="11" customFormat="1" x14ac:dyDescent="0.3">
      <c r="H86" s="8"/>
      <c r="I86" s="18"/>
      <c r="K86" s="6"/>
    </row>
    <row r="87" spans="8:11" s="11" customFormat="1" x14ac:dyDescent="0.3">
      <c r="H87" s="8"/>
      <c r="I87" s="18"/>
      <c r="K87" s="6"/>
    </row>
    <row r="88" spans="8:11" s="11" customFormat="1" x14ac:dyDescent="0.3">
      <c r="H88" s="8"/>
      <c r="I88" s="18"/>
      <c r="K88" s="6"/>
    </row>
    <row r="89" spans="8:11" s="11" customFormat="1" x14ac:dyDescent="0.3">
      <c r="H89" s="8"/>
      <c r="I89" s="18"/>
      <c r="K89" s="6"/>
    </row>
    <row r="90" spans="8:11" s="11" customFormat="1" x14ac:dyDescent="0.3">
      <c r="H90" s="8"/>
      <c r="I90" s="18"/>
      <c r="K90" s="6"/>
    </row>
    <row r="91" spans="8:11" s="11" customFormat="1" x14ac:dyDescent="0.3">
      <c r="H91" s="8"/>
      <c r="I91" s="18"/>
      <c r="K91" s="6"/>
    </row>
    <row r="92" spans="8:11" s="11" customFormat="1" x14ac:dyDescent="0.3">
      <c r="H92" s="8"/>
      <c r="I92" s="18"/>
      <c r="K92" s="6"/>
    </row>
    <row r="93" spans="8:11" s="11" customFormat="1" x14ac:dyDescent="0.3">
      <c r="H93" s="8"/>
      <c r="I93" s="18"/>
      <c r="K93" s="6"/>
    </row>
    <row r="94" spans="8:11" s="11" customFormat="1" x14ac:dyDescent="0.3">
      <c r="H94" s="8"/>
      <c r="I94" s="18"/>
      <c r="K94" s="6"/>
    </row>
    <row r="95" spans="8:11" s="11" customFormat="1" x14ac:dyDescent="0.3">
      <c r="H95" s="8"/>
      <c r="I95" s="18"/>
      <c r="K95" s="6"/>
    </row>
    <row r="96" spans="8:11" s="11" customFormat="1" x14ac:dyDescent="0.3">
      <c r="H96" s="8"/>
      <c r="I96" s="18"/>
      <c r="K96" s="6"/>
    </row>
    <row r="97" spans="8:11" s="11" customFormat="1" x14ac:dyDescent="0.3">
      <c r="H97" s="8"/>
      <c r="I97" s="18"/>
      <c r="K97" s="6"/>
    </row>
    <row r="98" spans="8:11" s="11" customFormat="1" x14ac:dyDescent="0.3">
      <c r="H98" s="8"/>
      <c r="I98" s="18"/>
      <c r="K98" s="6"/>
    </row>
    <row r="99" spans="8:11" s="11" customFormat="1" x14ac:dyDescent="0.3">
      <c r="H99" s="8"/>
      <c r="I99" s="18"/>
      <c r="K99" s="6"/>
    </row>
    <row r="100" spans="8:11" s="11" customFormat="1" x14ac:dyDescent="0.3">
      <c r="H100" s="8"/>
      <c r="I100" s="18"/>
      <c r="K100" s="6"/>
    </row>
    <row r="101" spans="8:11" s="11" customFormat="1" x14ac:dyDescent="0.3">
      <c r="H101" s="8"/>
      <c r="I101" s="18"/>
      <c r="K101" s="6"/>
    </row>
    <row r="102" spans="8:11" s="11" customFormat="1" x14ac:dyDescent="0.3">
      <c r="H102" s="8"/>
      <c r="I102" s="18"/>
      <c r="K102" s="6"/>
    </row>
    <row r="103" spans="8:11" s="11" customFormat="1" x14ac:dyDescent="0.3">
      <c r="H103" s="8"/>
      <c r="I103" s="18"/>
      <c r="K103" s="6"/>
    </row>
    <row r="104" spans="8:11" s="11" customFormat="1" x14ac:dyDescent="0.3">
      <c r="H104" s="8"/>
      <c r="I104" s="18"/>
      <c r="K104" s="6"/>
    </row>
    <row r="105" spans="8:11" s="11" customFormat="1" x14ac:dyDescent="0.3">
      <c r="H105" s="8"/>
      <c r="I105" s="18"/>
      <c r="K105" s="6"/>
    </row>
    <row r="106" spans="8:11" s="11" customFormat="1" x14ac:dyDescent="0.3">
      <c r="H106" s="8"/>
      <c r="I106" s="18"/>
      <c r="K106" s="6"/>
    </row>
    <row r="107" spans="8:11" s="11" customFormat="1" x14ac:dyDescent="0.3">
      <c r="H107" s="8"/>
      <c r="I107" s="18"/>
      <c r="K107" s="6"/>
    </row>
    <row r="108" spans="8:11" s="11" customFormat="1" x14ac:dyDescent="0.3">
      <c r="H108" s="8"/>
      <c r="I108" s="18"/>
      <c r="K108" s="6"/>
    </row>
    <row r="109" spans="8:11" s="11" customFormat="1" x14ac:dyDescent="0.3">
      <c r="H109" s="8"/>
      <c r="I109" s="18"/>
      <c r="K109" s="6"/>
    </row>
    <row r="110" spans="8:11" s="11" customFormat="1" x14ac:dyDescent="0.3">
      <c r="H110" s="8"/>
      <c r="I110" s="18"/>
      <c r="K110" s="6"/>
    </row>
    <row r="111" spans="8:11" s="11" customFormat="1" x14ac:dyDescent="0.3">
      <c r="H111" s="8"/>
      <c r="I111" s="18"/>
      <c r="K111" s="6"/>
    </row>
    <row r="112" spans="8:11" s="11" customFormat="1" x14ac:dyDescent="0.3">
      <c r="H112" s="8"/>
      <c r="I112" s="18"/>
      <c r="K112" s="6"/>
    </row>
    <row r="113" spans="8:11" s="11" customFormat="1" x14ac:dyDescent="0.3">
      <c r="H113" s="8"/>
      <c r="I113" s="18"/>
      <c r="K113" s="6"/>
    </row>
    <row r="114" spans="8:11" s="11" customFormat="1" x14ac:dyDescent="0.3">
      <c r="H114" s="8"/>
      <c r="I114" s="18"/>
      <c r="K114" s="6"/>
    </row>
    <row r="115" spans="8:11" s="11" customFormat="1" x14ac:dyDescent="0.3">
      <c r="H115" s="8"/>
      <c r="I115" s="18"/>
      <c r="K115" s="6"/>
    </row>
    <row r="116" spans="8:11" s="11" customFormat="1" x14ac:dyDescent="0.3">
      <c r="H116" s="8"/>
      <c r="I116" s="18"/>
      <c r="K116" s="6"/>
    </row>
    <row r="117" spans="8:11" s="11" customFormat="1" x14ac:dyDescent="0.3">
      <c r="H117" s="8"/>
      <c r="I117" s="18"/>
      <c r="K117" s="6"/>
    </row>
    <row r="118" spans="8:11" s="11" customFormat="1" x14ac:dyDescent="0.3">
      <c r="H118" s="8"/>
      <c r="I118" s="18"/>
      <c r="K118" s="6"/>
    </row>
    <row r="119" spans="8:11" s="11" customFormat="1" x14ac:dyDescent="0.3">
      <c r="H119" s="8"/>
      <c r="I119" s="18"/>
      <c r="K119" s="6"/>
    </row>
    <row r="120" spans="8:11" s="11" customFormat="1" x14ac:dyDescent="0.3">
      <c r="H120" s="8"/>
      <c r="I120" s="18"/>
      <c r="K120" s="6"/>
    </row>
    <row r="121" spans="8:11" s="11" customFormat="1" x14ac:dyDescent="0.3">
      <c r="H121" s="8"/>
      <c r="I121" s="18"/>
      <c r="K121" s="6"/>
    </row>
    <row r="122" spans="8:11" s="11" customFormat="1" x14ac:dyDescent="0.3">
      <c r="H122" s="8"/>
      <c r="I122" s="18"/>
      <c r="K122" s="6"/>
    </row>
    <row r="123" spans="8:11" s="11" customFormat="1" x14ac:dyDescent="0.3">
      <c r="H123" s="8"/>
      <c r="I123" s="18"/>
      <c r="K123" s="6"/>
    </row>
    <row r="124" spans="8:11" s="11" customFormat="1" x14ac:dyDescent="0.3">
      <c r="H124" s="8"/>
      <c r="I124" s="18"/>
      <c r="K124" s="6"/>
    </row>
    <row r="125" spans="8:11" s="11" customFormat="1" x14ac:dyDescent="0.3">
      <c r="H125" s="8"/>
      <c r="I125" s="18"/>
      <c r="K125" s="6"/>
    </row>
    <row r="126" spans="8:11" s="11" customFormat="1" x14ac:dyDescent="0.3">
      <c r="H126" s="8"/>
      <c r="I126" s="18"/>
      <c r="K126" s="6"/>
    </row>
    <row r="127" spans="8:11" s="11" customFormat="1" x14ac:dyDescent="0.3">
      <c r="H127" s="8"/>
      <c r="I127" s="18"/>
      <c r="K127" s="6"/>
    </row>
    <row r="128" spans="8:11" s="11" customFormat="1" x14ac:dyDescent="0.3">
      <c r="H128" s="8"/>
      <c r="I128" s="18"/>
      <c r="K128" s="6"/>
    </row>
    <row r="129" spans="8:11" s="11" customFormat="1" x14ac:dyDescent="0.3">
      <c r="H129" s="8"/>
      <c r="I129" s="18"/>
      <c r="K129" s="6"/>
    </row>
    <row r="130" spans="8:11" s="11" customFormat="1" x14ac:dyDescent="0.3">
      <c r="H130" s="8"/>
      <c r="I130" s="18"/>
      <c r="K130" s="6"/>
    </row>
    <row r="131" spans="8:11" s="11" customFormat="1" x14ac:dyDescent="0.3">
      <c r="H131" s="8"/>
      <c r="I131" s="18"/>
      <c r="K131" s="6"/>
    </row>
    <row r="132" spans="8:11" s="11" customFormat="1" x14ac:dyDescent="0.3">
      <c r="H132" s="8"/>
      <c r="I132" s="18"/>
      <c r="K132" s="6"/>
    </row>
    <row r="133" spans="8:11" s="11" customFormat="1" x14ac:dyDescent="0.3">
      <c r="H133" s="8"/>
      <c r="I133" s="18"/>
      <c r="K133" s="6"/>
    </row>
    <row r="134" spans="8:11" s="11" customFormat="1" x14ac:dyDescent="0.3">
      <c r="H134" s="8"/>
      <c r="I134" s="18"/>
      <c r="K134" s="6"/>
    </row>
    <row r="135" spans="8:11" s="11" customFormat="1" x14ac:dyDescent="0.3">
      <c r="H135" s="8"/>
      <c r="I135" s="18"/>
      <c r="K135" s="6"/>
    </row>
    <row r="136" spans="8:11" s="11" customFormat="1" x14ac:dyDescent="0.3">
      <c r="H136" s="8"/>
      <c r="I136" s="18"/>
      <c r="K136" s="6"/>
    </row>
    <row r="137" spans="8:11" s="11" customFormat="1" x14ac:dyDescent="0.3">
      <c r="H137" s="8"/>
      <c r="I137" s="18"/>
      <c r="K137" s="6"/>
    </row>
    <row r="138" spans="8:11" s="11" customFormat="1" x14ac:dyDescent="0.3">
      <c r="H138" s="8"/>
      <c r="I138" s="18"/>
      <c r="K138" s="6"/>
    </row>
    <row r="139" spans="8:11" s="11" customFormat="1" x14ac:dyDescent="0.3">
      <c r="H139" s="8"/>
      <c r="I139" s="18"/>
      <c r="K139" s="6"/>
    </row>
    <row r="140" spans="8:11" s="11" customFormat="1" x14ac:dyDescent="0.3">
      <c r="H140" s="8"/>
      <c r="I140" s="18"/>
      <c r="K140" s="6"/>
    </row>
    <row r="141" spans="8:11" s="11" customFormat="1" x14ac:dyDescent="0.3">
      <c r="H141" s="8"/>
      <c r="I141" s="18"/>
      <c r="K141" s="6"/>
    </row>
    <row r="142" spans="8:11" s="11" customFormat="1" x14ac:dyDescent="0.3">
      <c r="H142" s="8"/>
      <c r="I142" s="18"/>
      <c r="K142" s="6"/>
    </row>
    <row r="143" spans="8:11" s="11" customFormat="1" x14ac:dyDescent="0.3">
      <c r="H143" s="8"/>
      <c r="I143" s="18"/>
      <c r="K143" s="6"/>
    </row>
    <row r="144" spans="8:11" s="11" customFormat="1" x14ac:dyDescent="0.3">
      <c r="H144" s="8"/>
      <c r="I144" s="18"/>
      <c r="K144" s="6"/>
    </row>
    <row r="145" spans="8:11" s="11" customFormat="1" x14ac:dyDescent="0.3">
      <c r="H145" s="8"/>
      <c r="I145" s="18"/>
      <c r="K145" s="6"/>
    </row>
    <row r="146" spans="8:11" s="11" customFormat="1" x14ac:dyDescent="0.3">
      <c r="H146" s="8"/>
      <c r="I146" s="18"/>
      <c r="K146" s="6"/>
    </row>
    <row r="147" spans="8:11" s="11" customFormat="1" x14ac:dyDescent="0.3">
      <c r="H147" s="8"/>
      <c r="I147" s="18"/>
      <c r="K147" s="6"/>
    </row>
    <row r="148" spans="8:11" s="11" customFormat="1" x14ac:dyDescent="0.3">
      <c r="H148" s="8"/>
      <c r="I148" s="18"/>
      <c r="K148" s="6"/>
    </row>
    <row r="149" spans="8:11" s="11" customFormat="1" x14ac:dyDescent="0.3">
      <c r="H149" s="8"/>
      <c r="I149" s="18"/>
      <c r="K149" s="6"/>
    </row>
    <row r="150" spans="8:11" s="11" customFormat="1" x14ac:dyDescent="0.3">
      <c r="H150" s="8"/>
      <c r="I150" s="18"/>
      <c r="K150" s="6"/>
    </row>
    <row r="151" spans="8:11" s="11" customFormat="1" x14ac:dyDescent="0.3">
      <c r="H151" s="8"/>
      <c r="I151" s="18"/>
      <c r="K151" s="6"/>
    </row>
    <row r="152" spans="8:11" s="11" customFormat="1" x14ac:dyDescent="0.3">
      <c r="H152" s="8"/>
      <c r="I152" s="18"/>
      <c r="K152" s="6"/>
    </row>
    <row r="153" spans="8:11" s="11" customFormat="1" x14ac:dyDescent="0.3">
      <c r="H153" s="8"/>
      <c r="I153" s="18"/>
      <c r="K153" s="6"/>
    </row>
    <row r="154" spans="8:11" s="11" customFormat="1" x14ac:dyDescent="0.3">
      <c r="H154" s="8"/>
      <c r="I154" s="18"/>
      <c r="K154" s="6"/>
    </row>
    <row r="155" spans="8:11" s="11" customFormat="1" x14ac:dyDescent="0.3">
      <c r="H155" s="8"/>
      <c r="I155" s="18"/>
      <c r="K155" s="6"/>
    </row>
    <row r="156" spans="8:11" s="11" customFormat="1" x14ac:dyDescent="0.3">
      <c r="H156" s="8"/>
      <c r="I156" s="18"/>
      <c r="K156" s="6"/>
    </row>
    <row r="157" spans="8:11" s="11" customFormat="1" x14ac:dyDescent="0.3">
      <c r="H157" s="8"/>
      <c r="I157" s="18"/>
      <c r="K157" s="6"/>
    </row>
    <row r="158" spans="8:11" s="11" customFormat="1" x14ac:dyDescent="0.3">
      <c r="H158" s="8"/>
      <c r="I158" s="18"/>
      <c r="K158" s="6"/>
    </row>
    <row r="159" spans="8:11" s="11" customFormat="1" x14ac:dyDescent="0.3">
      <c r="H159" s="8"/>
      <c r="I159" s="18"/>
      <c r="K159" s="6"/>
    </row>
    <row r="160" spans="8:11" s="11" customFormat="1" x14ac:dyDescent="0.3">
      <c r="H160" s="8"/>
      <c r="I160" s="18"/>
      <c r="K160" s="6"/>
    </row>
    <row r="161" spans="8:11" s="11" customFormat="1" x14ac:dyDescent="0.3">
      <c r="H161" s="8"/>
      <c r="I161" s="18"/>
      <c r="K161" s="6"/>
    </row>
    <row r="162" spans="8:11" s="11" customFormat="1" x14ac:dyDescent="0.3">
      <c r="H162" s="8"/>
      <c r="I162" s="18"/>
      <c r="K162" s="6"/>
    </row>
    <row r="163" spans="8:11" s="11" customFormat="1" x14ac:dyDescent="0.3">
      <c r="H163" s="8"/>
      <c r="I163" s="18"/>
      <c r="K163" s="6"/>
    </row>
    <row r="164" spans="8:11" s="11" customFormat="1" x14ac:dyDescent="0.3">
      <c r="H164" s="8"/>
      <c r="I164" s="18"/>
      <c r="K164" s="6"/>
    </row>
    <row r="165" spans="8:11" s="11" customFormat="1" x14ac:dyDescent="0.3">
      <c r="H165" s="8"/>
      <c r="I165" s="18"/>
      <c r="K165" s="6"/>
    </row>
    <row r="166" spans="8:11" s="11" customFormat="1" x14ac:dyDescent="0.3">
      <c r="H166" s="8"/>
      <c r="I166" s="18"/>
      <c r="K166" s="6"/>
    </row>
    <row r="167" spans="8:11" s="11" customFormat="1" x14ac:dyDescent="0.3">
      <c r="H167" s="8"/>
      <c r="I167" s="18"/>
      <c r="K167" s="6"/>
    </row>
    <row r="168" spans="8:11" s="11" customFormat="1" x14ac:dyDescent="0.3">
      <c r="H168" s="8"/>
      <c r="I168" s="18"/>
      <c r="K168" s="6"/>
    </row>
    <row r="169" spans="8:11" s="11" customFormat="1" x14ac:dyDescent="0.3">
      <c r="H169" s="8"/>
      <c r="I169" s="18"/>
      <c r="K169" s="6"/>
    </row>
    <row r="170" spans="8:11" s="11" customFormat="1" x14ac:dyDescent="0.3">
      <c r="H170" s="8"/>
      <c r="I170" s="18"/>
      <c r="K170" s="6"/>
    </row>
    <row r="171" spans="8:11" s="11" customFormat="1" x14ac:dyDescent="0.3">
      <c r="H171" s="8"/>
      <c r="I171" s="18"/>
      <c r="K171" s="6"/>
    </row>
    <row r="172" spans="8:11" s="11" customFormat="1" x14ac:dyDescent="0.3">
      <c r="H172" s="8"/>
      <c r="I172" s="18"/>
      <c r="K172" s="6"/>
    </row>
    <row r="173" spans="8:11" s="11" customFormat="1" x14ac:dyDescent="0.3">
      <c r="H173" s="8"/>
      <c r="I173" s="18"/>
      <c r="K173" s="6"/>
    </row>
    <row r="174" spans="8:11" s="11" customFormat="1" x14ac:dyDescent="0.3">
      <c r="H174" s="8"/>
      <c r="I174" s="18"/>
      <c r="K174" s="6"/>
    </row>
    <row r="175" spans="8:11" s="11" customFormat="1" x14ac:dyDescent="0.3">
      <c r="H175" s="8"/>
      <c r="I175" s="18"/>
      <c r="K175" s="6"/>
    </row>
    <row r="176" spans="8:11" s="11" customFormat="1" x14ac:dyDescent="0.3">
      <c r="H176" s="8"/>
      <c r="I176" s="18"/>
      <c r="K176" s="6"/>
    </row>
    <row r="177" spans="8:11" s="11" customFormat="1" x14ac:dyDescent="0.3">
      <c r="H177" s="8"/>
      <c r="I177" s="18"/>
      <c r="K177" s="6"/>
    </row>
    <row r="178" spans="8:11" s="11" customFormat="1" x14ac:dyDescent="0.3">
      <c r="H178" s="8"/>
      <c r="I178" s="18"/>
      <c r="K178" s="6"/>
    </row>
    <row r="179" spans="8:11" s="11" customFormat="1" x14ac:dyDescent="0.3">
      <c r="H179" s="8"/>
      <c r="I179" s="18"/>
      <c r="K179" s="6"/>
    </row>
    <row r="180" spans="8:11" s="11" customFormat="1" x14ac:dyDescent="0.3">
      <c r="H180" s="8"/>
      <c r="I180" s="18"/>
      <c r="K180" s="6"/>
    </row>
    <row r="181" spans="8:11" s="11" customFormat="1" x14ac:dyDescent="0.3">
      <c r="H181" s="8"/>
      <c r="I181" s="18"/>
      <c r="K181" s="6"/>
    </row>
    <row r="182" spans="8:11" s="11" customFormat="1" x14ac:dyDescent="0.3">
      <c r="H182" s="8"/>
      <c r="I182" s="18"/>
      <c r="K182" s="6"/>
    </row>
    <row r="183" spans="8:11" s="11" customFormat="1" x14ac:dyDescent="0.3">
      <c r="H183" s="8"/>
      <c r="I183" s="18"/>
      <c r="K183" s="6"/>
    </row>
    <row r="184" spans="8:11" s="11" customFormat="1" x14ac:dyDescent="0.3">
      <c r="H184" s="8"/>
      <c r="I184" s="18"/>
      <c r="K184" s="6"/>
    </row>
    <row r="185" spans="8:11" s="11" customFormat="1" x14ac:dyDescent="0.3">
      <c r="H185" s="8"/>
      <c r="I185" s="18"/>
      <c r="K185" s="6"/>
    </row>
    <row r="186" spans="8:11" s="11" customFormat="1" x14ac:dyDescent="0.3">
      <c r="H186" s="8"/>
      <c r="I186" s="18"/>
      <c r="K186" s="6"/>
    </row>
    <row r="187" spans="8:11" s="11" customFormat="1" x14ac:dyDescent="0.3">
      <c r="H187" s="8"/>
      <c r="I187" s="18"/>
      <c r="K187" s="6"/>
    </row>
    <row r="188" spans="8:11" s="11" customFormat="1" x14ac:dyDescent="0.3">
      <c r="H188" s="8"/>
      <c r="I188" s="18"/>
      <c r="K188" s="6"/>
    </row>
    <row r="189" spans="8:11" s="11" customFormat="1" x14ac:dyDescent="0.3">
      <c r="H189" s="8"/>
      <c r="I189" s="18"/>
      <c r="K189" s="6"/>
    </row>
    <row r="190" spans="8:11" s="11" customFormat="1" x14ac:dyDescent="0.3">
      <c r="H190" s="8"/>
      <c r="I190" s="18"/>
      <c r="K190" s="6"/>
    </row>
    <row r="191" spans="8:11" s="11" customFormat="1" x14ac:dyDescent="0.3">
      <c r="H191" s="8"/>
      <c r="I191" s="18"/>
      <c r="K191" s="6"/>
    </row>
    <row r="192" spans="8:11" s="11" customFormat="1" x14ac:dyDescent="0.3">
      <c r="H192" s="8"/>
      <c r="I192" s="18"/>
      <c r="K192" s="6"/>
    </row>
    <row r="193" spans="8:11" s="11" customFormat="1" x14ac:dyDescent="0.3">
      <c r="H193" s="8"/>
      <c r="I193" s="18"/>
      <c r="K193" s="6"/>
    </row>
    <row r="194" spans="8:11" s="11" customFormat="1" x14ac:dyDescent="0.3">
      <c r="H194" s="8"/>
      <c r="I194" s="18"/>
      <c r="K194" s="6"/>
    </row>
    <row r="195" spans="8:11" s="11" customFormat="1" x14ac:dyDescent="0.3">
      <c r="H195" s="8"/>
      <c r="I195" s="18"/>
      <c r="K195" s="6"/>
    </row>
    <row r="196" spans="8:11" s="11" customFormat="1" x14ac:dyDescent="0.3">
      <c r="H196" s="8"/>
      <c r="I196" s="18"/>
      <c r="K196" s="6"/>
    </row>
    <row r="197" spans="8:11" s="11" customFormat="1" x14ac:dyDescent="0.3">
      <c r="H197" s="8"/>
      <c r="I197" s="18"/>
      <c r="K197" s="6"/>
    </row>
    <row r="198" spans="8:11" s="11" customFormat="1" x14ac:dyDescent="0.3">
      <c r="H198" s="8"/>
      <c r="I198" s="18"/>
      <c r="K198" s="6"/>
    </row>
    <row r="199" spans="8:11" s="11" customFormat="1" x14ac:dyDescent="0.3">
      <c r="H199" s="8"/>
      <c r="I199" s="18"/>
      <c r="K199" s="6"/>
    </row>
    <row r="200" spans="8:11" s="11" customFormat="1" x14ac:dyDescent="0.3">
      <c r="H200" s="8"/>
      <c r="I200" s="18"/>
      <c r="K200" s="6"/>
    </row>
    <row r="201" spans="8:11" s="11" customFormat="1" x14ac:dyDescent="0.3">
      <c r="H201" s="8"/>
      <c r="I201" s="18"/>
      <c r="K201" s="6"/>
    </row>
    <row r="202" spans="8:11" s="11" customFormat="1" x14ac:dyDescent="0.3">
      <c r="H202" s="8"/>
      <c r="I202" s="18"/>
      <c r="K202" s="6"/>
    </row>
    <row r="203" spans="8:11" s="11" customFormat="1" x14ac:dyDescent="0.3">
      <c r="H203" s="8"/>
      <c r="I203" s="18"/>
      <c r="K203" s="6"/>
    </row>
    <row r="204" spans="8:11" s="11" customFormat="1" x14ac:dyDescent="0.3">
      <c r="H204" s="8"/>
      <c r="I204" s="18"/>
      <c r="K204" s="6"/>
    </row>
    <row r="205" spans="8:11" s="11" customFormat="1" x14ac:dyDescent="0.3">
      <c r="H205" s="8"/>
      <c r="I205" s="18"/>
      <c r="K205" s="6"/>
    </row>
    <row r="206" spans="8:11" s="11" customFormat="1" x14ac:dyDescent="0.3">
      <c r="H206" s="8"/>
      <c r="I206" s="18"/>
      <c r="K206" s="6"/>
    </row>
    <row r="207" spans="8:11" s="11" customFormat="1" x14ac:dyDescent="0.3">
      <c r="H207" s="8"/>
      <c r="I207" s="18"/>
      <c r="K207" s="6"/>
    </row>
    <row r="208" spans="8:11" s="11" customFormat="1" x14ac:dyDescent="0.3">
      <c r="H208" s="8"/>
      <c r="I208" s="18"/>
      <c r="K208" s="6"/>
    </row>
    <row r="209" spans="8:11" s="11" customFormat="1" x14ac:dyDescent="0.3">
      <c r="H209" s="8"/>
      <c r="I209" s="18"/>
      <c r="K209" s="6"/>
    </row>
    <row r="210" spans="8:11" s="11" customFormat="1" x14ac:dyDescent="0.3">
      <c r="H210" s="8"/>
      <c r="I210" s="18"/>
      <c r="K210" s="6"/>
    </row>
    <row r="211" spans="8:11" s="11" customFormat="1" x14ac:dyDescent="0.3">
      <c r="H211" s="8"/>
      <c r="I211" s="18"/>
      <c r="K211" s="6"/>
    </row>
    <row r="212" spans="8:11" s="11" customFormat="1" x14ac:dyDescent="0.3">
      <c r="H212" s="8"/>
      <c r="I212" s="18"/>
      <c r="K212" s="6"/>
    </row>
    <row r="213" spans="8:11" s="11" customFormat="1" x14ac:dyDescent="0.3">
      <c r="H213" s="8"/>
      <c r="I213" s="18"/>
      <c r="K213" s="6"/>
    </row>
    <row r="214" spans="8:11" s="11" customFormat="1" x14ac:dyDescent="0.3">
      <c r="H214" s="8"/>
      <c r="I214" s="18"/>
      <c r="K214" s="6"/>
    </row>
    <row r="215" spans="8:11" s="11" customFormat="1" x14ac:dyDescent="0.3">
      <c r="H215" s="8"/>
      <c r="I215" s="18"/>
      <c r="K215" s="6"/>
    </row>
    <row r="216" spans="8:11" s="11" customFormat="1" x14ac:dyDescent="0.3">
      <c r="H216" s="8"/>
      <c r="I216" s="18"/>
      <c r="K216" s="6"/>
    </row>
    <row r="217" spans="8:11" s="11" customFormat="1" x14ac:dyDescent="0.3">
      <c r="H217" s="8"/>
      <c r="I217" s="18"/>
      <c r="K217" s="6"/>
    </row>
    <row r="218" spans="8:11" s="11" customFormat="1" x14ac:dyDescent="0.3">
      <c r="H218" s="8"/>
      <c r="I218" s="18"/>
      <c r="K218" s="6"/>
    </row>
    <row r="219" spans="8:11" s="11" customFormat="1" x14ac:dyDescent="0.3">
      <c r="H219" s="8"/>
      <c r="I219" s="18"/>
      <c r="K219" s="6"/>
    </row>
    <row r="220" spans="8:11" s="11" customFormat="1" x14ac:dyDescent="0.3">
      <c r="H220" s="8"/>
      <c r="I220" s="18"/>
      <c r="K220" s="6"/>
    </row>
    <row r="221" spans="8:11" s="11" customFormat="1" x14ac:dyDescent="0.3">
      <c r="H221" s="8"/>
      <c r="I221" s="18"/>
      <c r="K221" s="6"/>
    </row>
    <row r="222" spans="8:11" s="11" customFormat="1" x14ac:dyDescent="0.3">
      <c r="H222" s="8"/>
      <c r="I222" s="18"/>
      <c r="K222" s="6"/>
    </row>
    <row r="223" spans="8:11" s="11" customFormat="1" x14ac:dyDescent="0.3">
      <c r="H223" s="8"/>
      <c r="I223" s="18"/>
      <c r="K223" s="6"/>
    </row>
    <row r="224" spans="8:11" s="11" customFormat="1" x14ac:dyDescent="0.3">
      <c r="H224" s="8"/>
      <c r="I224" s="18"/>
      <c r="K224" s="6"/>
    </row>
    <row r="225" spans="8:11" s="11" customFormat="1" x14ac:dyDescent="0.3">
      <c r="H225" s="8"/>
      <c r="I225" s="18"/>
      <c r="K225" s="6"/>
    </row>
    <row r="226" spans="8:11" s="11" customFormat="1" x14ac:dyDescent="0.3">
      <c r="H226" s="8"/>
      <c r="I226" s="18"/>
      <c r="K226" s="6"/>
    </row>
    <row r="227" spans="8:11" s="11" customFormat="1" x14ac:dyDescent="0.3">
      <c r="H227" s="8"/>
      <c r="I227" s="18"/>
      <c r="K227" s="6"/>
    </row>
    <row r="228" spans="8:11" s="11" customFormat="1" x14ac:dyDescent="0.3">
      <c r="H228" s="8"/>
      <c r="I228" s="18"/>
      <c r="K228" s="6"/>
    </row>
    <row r="229" spans="8:11" s="11" customFormat="1" x14ac:dyDescent="0.3">
      <c r="H229" s="8"/>
      <c r="I229" s="18"/>
      <c r="K229" s="6"/>
    </row>
    <row r="230" spans="8:11" s="11" customFormat="1" x14ac:dyDescent="0.3">
      <c r="H230" s="8"/>
      <c r="I230" s="18"/>
      <c r="K230" s="6"/>
    </row>
    <row r="231" spans="8:11" s="11" customFormat="1" x14ac:dyDescent="0.3">
      <c r="H231" s="8"/>
      <c r="I231" s="18"/>
      <c r="K231" s="6"/>
    </row>
    <row r="232" spans="8:11" s="11" customFormat="1" x14ac:dyDescent="0.3">
      <c r="H232" s="8"/>
      <c r="I232" s="18"/>
      <c r="K232" s="6"/>
    </row>
    <row r="233" spans="8:11" s="11" customFormat="1" x14ac:dyDescent="0.3">
      <c r="H233" s="8"/>
      <c r="I233" s="18"/>
      <c r="K233" s="6"/>
    </row>
    <row r="234" spans="8:11" s="11" customFormat="1" x14ac:dyDescent="0.3">
      <c r="H234" s="8"/>
      <c r="I234" s="18"/>
      <c r="K234" s="6"/>
    </row>
    <row r="235" spans="8:11" s="11" customFormat="1" x14ac:dyDescent="0.3">
      <c r="H235" s="8"/>
      <c r="I235" s="18"/>
      <c r="K235" s="6"/>
    </row>
    <row r="236" spans="8:11" s="11" customFormat="1" x14ac:dyDescent="0.3">
      <c r="H236" s="8"/>
      <c r="I236" s="18"/>
      <c r="K236" s="6"/>
    </row>
    <row r="237" spans="8:11" s="11" customFormat="1" x14ac:dyDescent="0.3">
      <c r="H237" s="8"/>
      <c r="I237" s="18"/>
      <c r="K237" s="6"/>
    </row>
    <row r="238" spans="8:11" s="11" customFormat="1" x14ac:dyDescent="0.3">
      <c r="H238" s="8"/>
      <c r="I238" s="18"/>
      <c r="K238" s="6"/>
    </row>
    <row r="239" spans="8:11" s="11" customFormat="1" x14ac:dyDescent="0.3">
      <c r="H239" s="8"/>
      <c r="I239" s="18"/>
      <c r="K239" s="6"/>
    </row>
    <row r="240" spans="8:11" s="11" customFormat="1" x14ac:dyDescent="0.3">
      <c r="H240" s="8"/>
      <c r="I240" s="18"/>
      <c r="K240" s="6"/>
    </row>
    <row r="241" spans="8:11" s="11" customFormat="1" x14ac:dyDescent="0.3">
      <c r="H241" s="8"/>
      <c r="I241" s="18"/>
      <c r="K241" s="6"/>
    </row>
    <row r="242" spans="8:11" s="11" customFormat="1" x14ac:dyDescent="0.3">
      <c r="H242" s="8"/>
      <c r="I242" s="18"/>
      <c r="K242" s="6"/>
    </row>
    <row r="243" spans="8:11" s="11" customFormat="1" x14ac:dyDescent="0.3">
      <c r="H243" s="8"/>
      <c r="I243" s="18"/>
      <c r="K243" s="6"/>
    </row>
    <row r="244" spans="8:11" s="11" customFormat="1" x14ac:dyDescent="0.3">
      <c r="H244" s="8"/>
      <c r="I244" s="18"/>
      <c r="K244" s="6"/>
    </row>
    <row r="245" spans="8:11" s="11" customFormat="1" x14ac:dyDescent="0.3">
      <c r="H245" s="8"/>
      <c r="I245" s="18"/>
      <c r="K245" s="6"/>
    </row>
    <row r="246" spans="8:11" s="11" customFormat="1" x14ac:dyDescent="0.3">
      <c r="H246" s="8"/>
      <c r="I246" s="18"/>
      <c r="K246" s="6"/>
    </row>
    <row r="247" spans="8:11" s="11" customFormat="1" x14ac:dyDescent="0.3">
      <c r="H247" s="8"/>
      <c r="I247" s="18"/>
      <c r="K247" s="6"/>
    </row>
    <row r="248" spans="8:11" s="11" customFormat="1" x14ac:dyDescent="0.3">
      <c r="H248" s="8"/>
      <c r="I248" s="18"/>
      <c r="K248" s="6"/>
    </row>
    <row r="249" spans="8:11" s="11" customFormat="1" x14ac:dyDescent="0.3">
      <c r="H249" s="8"/>
      <c r="I249" s="18"/>
      <c r="K249" s="6"/>
    </row>
    <row r="250" spans="8:11" s="11" customFormat="1" x14ac:dyDescent="0.3">
      <c r="H250" s="8"/>
      <c r="I250" s="18"/>
      <c r="K250" s="6"/>
    </row>
    <row r="251" spans="8:11" s="11" customFormat="1" x14ac:dyDescent="0.3">
      <c r="H251" s="8"/>
      <c r="I251" s="18"/>
      <c r="K251" s="6"/>
    </row>
    <row r="252" spans="8:11" s="11" customFormat="1" x14ac:dyDescent="0.3">
      <c r="H252" s="8"/>
      <c r="I252" s="18"/>
      <c r="K252" s="6"/>
    </row>
    <row r="253" spans="8:11" s="11" customFormat="1" x14ac:dyDescent="0.3">
      <c r="H253" s="8"/>
      <c r="I253" s="18"/>
      <c r="K253" s="6"/>
    </row>
    <row r="254" spans="8:11" s="11" customFormat="1" x14ac:dyDescent="0.3">
      <c r="H254" s="8"/>
      <c r="I254" s="18"/>
      <c r="K254" s="6"/>
    </row>
    <row r="255" spans="8:11" s="11" customFormat="1" x14ac:dyDescent="0.3">
      <c r="H255" s="8"/>
      <c r="I255" s="18"/>
      <c r="K255" s="6"/>
    </row>
    <row r="256" spans="8:11" s="11" customFormat="1" x14ac:dyDescent="0.3">
      <c r="H256" s="8"/>
      <c r="I256" s="18"/>
      <c r="K256" s="6"/>
    </row>
    <row r="257" spans="8:11" s="11" customFormat="1" x14ac:dyDescent="0.3">
      <c r="H257" s="8"/>
      <c r="I257" s="18"/>
      <c r="K257" s="6"/>
    </row>
    <row r="258" spans="8:11" s="11" customFormat="1" x14ac:dyDescent="0.3">
      <c r="H258" s="8"/>
      <c r="I258" s="18"/>
      <c r="K258" s="6"/>
    </row>
    <row r="259" spans="8:11" s="11" customFormat="1" x14ac:dyDescent="0.3">
      <c r="H259" s="8"/>
      <c r="I259" s="18"/>
      <c r="K259" s="6"/>
    </row>
    <row r="260" spans="8:11" s="11" customFormat="1" x14ac:dyDescent="0.3">
      <c r="H260" s="8"/>
      <c r="I260" s="18"/>
      <c r="K260" s="6"/>
    </row>
    <row r="261" spans="8:11" s="11" customFormat="1" x14ac:dyDescent="0.3">
      <c r="H261" s="8"/>
      <c r="I261" s="18"/>
      <c r="K261" s="6"/>
    </row>
    <row r="262" spans="8:11" s="11" customFormat="1" x14ac:dyDescent="0.3">
      <c r="H262" s="8"/>
      <c r="I262" s="18"/>
      <c r="K262" s="6"/>
    </row>
    <row r="263" spans="8:11" s="11" customFormat="1" x14ac:dyDescent="0.3">
      <c r="H263" s="8"/>
      <c r="I263" s="18"/>
      <c r="K263" s="6"/>
    </row>
    <row r="264" spans="8:11" s="11" customFormat="1" x14ac:dyDescent="0.3">
      <c r="H264" s="8"/>
      <c r="I264" s="18"/>
      <c r="K264" s="6"/>
    </row>
    <row r="265" spans="8:11" s="11" customFormat="1" x14ac:dyDescent="0.3">
      <c r="H265" s="8"/>
      <c r="I265" s="18"/>
      <c r="K265" s="6"/>
    </row>
    <row r="266" spans="8:11" s="11" customFormat="1" x14ac:dyDescent="0.3">
      <c r="H266" s="8"/>
      <c r="I266" s="18"/>
      <c r="K266" s="6"/>
    </row>
    <row r="267" spans="8:11" s="11" customFormat="1" x14ac:dyDescent="0.3">
      <c r="H267" s="8"/>
      <c r="I267" s="18"/>
      <c r="K267" s="6"/>
    </row>
    <row r="268" spans="8:11" s="11" customFormat="1" x14ac:dyDescent="0.3">
      <c r="H268" s="8"/>
      <c r="I268" s="18"/>
      <c r="K268" s="6"/>
    </row>
    <row r="269" spans="8:11" s="11" customFormat="1" x14ac:dyDescent="0.3">
      <c r="H269" s="8"/>
      <c r="I269" s="18"/>
      <c r="K269" s="6"/>
    </row>
    <row r="270" spans="8:11" s="11" customFormat="1" x14ac:dyDescent="0.3">
      <c r="H270" s="8"/>
      <c r="I270" s="18"/>
      <c r="K270" s="6"/>
    </row>
    <row r="271" spans="8:11" s="11" customFormat="1" x14ac:dyDescent="0.3">
      <c r="H271" s="8"/>
      <c r="I271" s="18"/>
      <c r="K271" s="6"/>
    </row>
    <row r="272" spans="8:11" s="11" customFormat="1" x14ac:dyDescent="0.3">
      <c r="H272" s="8"/>
      <c r="I272" s="18"/>
      <c r="K272" s="6"/>
    </row>
    <row r="273" spans="8:11" s="11" customFormat="1" x14ac:dyDescent="0.3">
      <c r="H273" s="8"/>
      <c r="I273" s="18"/>
      <c r="K273" s="6"/>
    </row>
    <row r="274" spans="8:11" s="11" customFormat="1" x14ac:dyDescent="0.3">
      <c r="H274" s="8"/>
      <c r="I274" s="18"/>
      <c r="K274" s="6"/>
    </row>
    <row r="275" spans="8:11" s="11" customFormat="1" x14ac:dyDescent="0.3">
      <c r="H275" s="8"/>
      <c r="I275" s="18"/>
      <c r="K275" s="6"/>
    </row>
    <row r="276" spans="8:11" s="11" customFormat="1" x14ac:dyDescent="0.3">
      <c r="H276" s="8"/>
      <c r="I276" s="18"/>
      <c r="K276" s="6"/>
    </row>
    <row r="277" spans="8:11" s="11" customFormat="1" x14ac:dyDescent="0.3">
      <c r="H277" s="8"/>
      <c r="I277" s="18"/>
      <c r="K277" s="6"/>
    </row>
    <row r="278" spans="8:11" s="11" customFormat="1" x14ac:dyDescent="0.3">
      <c r="H278" s="8"/>
      <c r="I278" s="18"/>
      <c r="K278" s="6"/>
    </row>
    <row r="279" spans="8:11" s="11" customFormat="1" x14ac:dyDescent="0.3">
      <c r="H279" s="8"/>
      <c r="I279" s="18"/>
      <c r="K279" s="6"/>
    </row>
    <row r="280" spans="8:11" s="11" customFormat="1" x14ac:dyDescent="0.3">
      <c r="H280" s="8"/>
      <c r="I280" s="18"/>
      <c r="K280" s="6"/>
    </row>
    <row r="281" spans="8:11" s="11" customFormat="1" x14ac:dyDescent="0.3">
      <c r="H281" s="8"/>
      <c r="I281" s="18"/>
      <c r="K281" s="6"/>
    </row>
    <row r="282" spans="8:11" s="11" customFormat="1" x14ac:dyDescent="0.3">
      <c r="H282" s="8"/>
      <c r="I282" s="18"/>
      <c r="K282" s="6"/>
    </row>
    <row r="283" spans="8:11" s="11" customFormat="1" x14ac:dyDescent="0.3">
      <c r="H283" s="8"/>
      <c r="I283" s="18"/>
      <c r="K283" s="6"/>
    </row>
    <row r="284" spans="8:11" s="11" customFormat="1" x14ac:dyDescent="0.3">
      <c r="H284" s="8"/>
      <c r="I284" s="18"/>
      <c r="K284" s="6"/>
    </row>
    <row r="285" spans="8:11" s="11" customFormat="1" x14ac:dyDescent="0.3">
      <c r="H285" s="8"/>
      <c r="I285" s="18"/>
      <c r="K285" s="6"/>
    </row>
    <row r="286" spans="8:11" s="11" customFormat="1" x14ac:dyDescent="0.3">
      <c r="H286" s="8"/>
      <c r="I286" s="18"/>
      <c r="K286" s="6"/>
    </row>
    <row r="287" spans="8:11" s="11" customFormat="1" x14ac:dyDescent="0.3">
      <c r="H287" s="8"/>
      <c r="I287" s="18"/>
      <c r="K287" s="6"/>
    </row>
    <row r="288" spans="8:11" s="11" customFormat="1" x14ac:dyDescent="0.3">
      <c r="H288" s="8"/>
      <c r="I288" s="18"/>
      <c r="K288" s="6"/>
    </row>
    <row r="289" spans="8:11" s="11" customFormat="1" x14ac:dyDescent="0.3">
      <c r="H289" s="8"/>
      <c r="I289" s="18"/>
      <c r="K289" s="6"/>
    </row>
    <row r="290" spans="8:11" s="11" customFormat="1" x14ac:dyDescent="0.3">
      <c r="H290" s="8"/>
      <c r="I290" s="18"/>
      <c r="K290" s="6"/>
    </row>
    <row r="291" spans="8:11" s="11" customFormat="1" x14ac:dyDescent="0.3">
      <c r="H291" s="8"/>
      <c r="I291" s="18"/>
      <c r="K291" s="6"/>
    </row>
    <row r="292" spans="8:11" s="11" customFormat="1" x14ac:dyDescent="0.3">
      <c r="H292" s="8"/>
      <c r="I292" s="18"/>
      <c r="K292" s="6"/>
    </row>
    <row r="293" spans="8:11" s="11" customFormat="1" x14ac:dyDescent="0.3">
      <c r="H293" s="8"/>
      <c r="I293" s="18"/>
      <c r="K293" s="6"/>
    </row>
    <row r="294" spans="8:11" s="11" customFormat="1" x14ac:dyDescent="0.3">
      <c r="H294" s="8"/>
      <c r="I294" s="18"/>
      <c r="K294" s="6"/>
    </row>
    <row r="295" spans="8:11" s="11" customFormat="1" x14ac:dyDescent="0.3">
      <c r="H295" s="8"/>
      <c r="I295" s="18"/>
      <c r="K295" s="6"/>
    </row>
    <row r="296" spans="8:11" s="11" customFormat="1" x14ac:dyDescent="0.3">
      <c r="H296" s="8"/>
      <c r="I296" s="18"/>
      <c r="K296" s="6"/>
    </row>
    <row r="297" spans="8:11" s="11" customFormat="1" x14ac:dyDescent="0.3">
      <c r="H297" s="8"/>
      <c r="I297" s="18"/>
      <c r="K297" s="6"/>
    </row>
    <row r="298" spans="8:11" s="11" customFormat="1" x14ac:dyDescent="0.3">
      <c r="H298" s="8"/>
      <c r="I298" s="18"/>
      <c r="K298" s="6"/>
    </row>
    <row r="299" spans="8:11" s="11" customFormat="1" x14ac:dyDescent="0.3">
      <c r="H299" s="8"/>
      <c r="I299" s="18"/>
      <c r="K299" s="6"/>
    </row>
    <row r="300" spans="8:11" s="11" customFormat="1" x14ac:dyDescent="0.3">
      <c r="H300" s="8"/>
      <c r="I300" s="18"/>
      <c r="K300" s="6"/>
    </row>
    <row r="301" spans="8:11" s="11" customFormat="1" x14ac:dyDescent="0.3">
      <c r="H301" s="8"/>
      <c r="I301" s="18"/>
      <c r="K301" s="6"/>
    </row>
    <row r="302" spans="8:11" s="11" customFormat="1" x14ac:dyDescent="0.3">
      <c r="H302" s="8"/>
      <c r="I302" s="18"/>
      <c r="K302" s="6"/>
    </row>
    <row r="303" spans="8:11" s="11" customFormat="1" x14ac:dyDescent="0.3">
      <c r="H303" s="8"/>
      <c r="I303" s="18"/>
      <c r="K303" s="6"/>
    </row>
    <row r="304" spans="8:11" s="11" customFormat="1" x14ac:dyDescent="0.3">
      <c r="H304" s="8"/>
      <c r="I304" s="18"/>
      <c r="K304" s="6"/>
    </row>
    <row r="305" spans="8:11" s="11" customFormat="1" x14ac:dyDescent="0.3">
      <c r="H305" s="8"/>
      <c r="I305" s="18"/>
      <c r="K305" s="6"/>
    </row>
    <row r="306" spans="8:11" s="11" customFormat="1" x14ac:dyDescent="0.3">
      <c r="H306" s="8"/>
      <c r="I306" s="18"/>
      <c r="K306" s="6"/>
    </row>
    <row r="307" spans="8:11" s="11" customFormat="1" x14ac:dyDescent="0.3">
      <c r="H307" s="8"/>
      <c r="I307" s="18"/>
      <c r="K307" s="6"/>
    </row>
    <row r="308" spans="8:11" s="11" customFormat="1" x14ac:dyDescent="0.3">
      <c r="H308" s="8"/>
      <c r="I308" s="18"/>
      <c r="K308" s="6"/>
    </row>
    <row r="309" spans="8:11" s="11" customFormat="1" x14ac:dyDescent="0.3">
      <c r="H309" s="8"/>
      <c r="I309" s="18"/>
      <c r="K309" s="6"/>
    </row>
    <row r="310" spans="8:11" s="11" customFormat="1" x14ac:dyDescent="0.3">
      <c r="H310" s="8"/>
      <c r="I310" s="18"/>
      <c r="K310" s="6"/>
    </row>
    <row r="311" spans="8:11" s="11" customFormat="1" x14ac:dyDescent="0.3">
      <c r="H311" s="8"/>
      <c r="I311" s="18"/>
      <c r="K311" s="6"/>
    </row>
    <row r="312" spans="8:11" s="11" customFormat="1" x14ac:dyDescent="0.3">
      <c r="H312" s="8"/>
      <c r="I312" s="18"/>
      <c r="K312" s="6"/>
    </row>
    <row r="313" spans="8:11" s="11" customFormat="1" x14ac:dyDescent="0.3">
      <c r="H313" s="8"/>
      <c r="I313" s="18"/>
      <c r="K313" s="6"/>
    </row>
    <row r="314" spans="8:11" s="11" customFormat="1" x14ac:dyDescent="0.3">
      <c r="H314" s="8"/>
      <c r="I314" s="18"/>
      <c r="K314" s="6"/>
    </row>
    <row r="315" spans="8:11" s="11" customFormat="1" x14ac:dyDescent="0.3">
      <c r="H315" s="8"/>
      <c r="I315" s="18"/>
      <c r="K315" s="6"/>
    </row>
    <row r="316" spans="8:11" s="11" customFormat="1" x14ac:dyDescent="0.3">
      <c r="H316" s="8"/>
      <c r="I316" s="18"/>
      <c r="K316" s="6"/>
    </row>
    <row r="317" spans="8:11" s="11" customFormat="1" x14ac:dyDescent="0.3">
      <c r="H317" s="8"/>
      <c r="I317" s="18"/>
      <c r="K317" s="6"/>
    </row>
    <row r="318" spans="8:11" s="11" customFormat="1" x14ac:dyDescent="0.3">
      <c r="H318" s="8"/>
      <c r="I318" s="18"/>
      <c r="K318" s="6"/>
    </row>
    <row r="319" spans="8:11" s="11" customFormat="1" x14ac:dyDescent="0.3">
      <c r="H319" s="8"/>
      <c r="I319" s="18"/>
      <c r="K319" s="6"/>
    </row>
    <row r="320" spans="8:11" s="11" customFormat="1" x14ac:dyDescent="0.3">
      <c r="H320" s="8"/>
      <c r="I320" s="18"/>
      <c r="K320" s="6"/>
    </row>
    <row r="321" spans="8:11" s="11" customFormat="1" x14ac:dyDescent="0.3">
      <c r="H321" s="8"/>
      <c r="I321" s="18"/>
      <c r="K321" s="6"/>
    </row>
    <row r="322" spans="8:11" s="11" customFormat="1" x14ac:dyDescent="0.3">
      <c r="H322" s="8"/>
      <c r="I322" s="18"/>
      <c r="K322" s="6"/>
    </row>
    <row r="323" spans="8:11" s="11" customFormat="1" x14ac:dyDescent="0.3">
      <c r="H323" s="8"/>
      <c r="I323" s="18"/>
      <c r="K323" s="6"/>
    </row>
    <row r="324" spans="8:11" s="11" customFormat="1" x14ac:dyDescent="0.3">
      <c r="H324" s="8"/>
      <c r="I324" s="18"/>
      <c r="K324" s="6"/>
    </row>
    <row r="325" spans="8:11" s="11" customFormat="1" x14ac:dyDescent="0.3">
      <c r="H325" s="8"/>
      <c r="I325" s="18"/>
      <c r="K325" s="6"/>
    </row>
    <row r="326" spans="8:11" s="11" customFormat="1" x14ac:dyDescent="0.3">
      <c r="H326" s="8"/>
      <c r="I326" s="18"/>
      <c r="K326" s="6"/>
    </row>
    <row r="327" spans="8:11" s="11" customFormat="1" x14ac:dyDescent="0.3">
      <c r="H327" s="8"/>
      <c r="I327" s="18"/>
      <c r="K327" s="6"/>
    </row>
    <row r="328" spans="8:11" s="11" customFormat="1" x14ac:dyDescent="0.3">
      <c r="H328" s="8"/>
      <c r="I328" s="18"/>
      <c r="K328" s="6"/>
    </row>
    <row r="329" spans="8:11" s="11" customFormat="1" x14ac:dyDescent="0.3">
      <c r="H329" s="8"/>
      <c r="I329" s="18"/>
      <c r="K329" s="6"/>
    </row>
    <row r="330" spans="8:11" s="11" customFormat="1" x14ac:dyDescent="0.3">
      <c r="H330" s="8"/>
      <c r="I330" s="18"/>
      <c r="K330" s="6"/>
    </row>
    <row r="331" spans="8:11" s="11" customFormat="1" x14ac:dyDescent="0.3">
      <c r="H331" s="8"/>
      <c r="I331" s="18"/>
      <c r="K331" s="6"/>
    </row>
    <row r="332" spans="8:11" s="11" customFormat="1" x14ac:dyDescent="0.3">
      <c r="H332" s="8"/>
      <c r="I332" s="18"/>
      <c r="K332" s="6"/>
    </row>
    <row r="333" spans="8:11" s="11" customFormat="1" x14ac:dyDescent="0.3">
      <c r="H333" s="8"/>
      <c r="I333" s="18"/>
      <c r="K333" s="6"/>
    </row>
    <row r="334" spans="8:11" s="11" customFormat="1" x14ac:dyDescent="0.3">
      <c r="H334" s="8"/>
      <c r="I334" s="18"/>
      <c r="K334" s="6"/>
    </row>
    <row r="335" spans="8:11" s="11" customFormat="1" x14ac:dyDescent="0.3">
      <c r="H335" s="8"/>
      <c r="I335" s="18"/>
      <c r="K335" s="6"/>
    </row>
    <row r="336" spans="8:11" s="11" customFormat="1" x14ac:dyDescent="0.3">
      <c r="H336" s="8"/>
      <c r="I336" s="18"/>
      <c r="K336" s="6"/>
    </row>
    <row r="337" spans="8:11" s="11" customFormat="1" x14ac:dyDescent="0.3">
      <c r="H337" s="8"/>
      <c r="I337" s="18"/>
      <c r="K337" s="6"/>
    </row>
    <row r="338" spans="8:11" s="11" customFormat="1" x14ac:dyDescent="0.3">
      <c r="H338" s="8"/>
      <c r="I338" s="18"/>
      <c r="K338" s="6"/>
    </row>
    <row r="339" spans="8:11" s="11" customFormat="1" x14ac:dyDescent="0.3">
      <c r="H339" s="8"/>
      <c r="I339" s="18"/>
      <c r="K339" s="6"/>
    </row>
    <row r="340" spans="8:11" s="11" customFormat="1" x14ac:dyDescent="0.3">
      <c r="H340" s="8"/>
      <c r="I340" s="18"/>
      <c r="K340" s="6"/>
    </row>
    <row r="341" spans="8:11" s="11" customFormat="1" x14ac:dyDescent="0.3">
      <c r="H341" s="8"/>
      <c r="I341" s="18"/>
      <c r="K341" s="6"/>
    </row>
    <row r="342" spans="8:11" s="11" customFormat="1" x14ac:dyDescent="0.3">
      <c r="H342" s="8"/>
      <c r="I342" s="18"/>
      <c r="K342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7629-C014-41C5-80F2-88D949FD9A82}">
  <sheetPr codeName="Sheet11">
    <pageSetUpPr fitToPage="1"/>
  </sheetPr>
  <dimension ref="A1:Q343"/>
  <sheetViews>
    <sheetView rightToLeft="1" zoomScale="115" zoomScaleNormal="115" workbookViewId="0">
      <pane ySplit="13" topLeftCell="A30" activePane="bottomLeft" state="frozen"/>
      <selection pane="bottomLeft" activeCell="H57" sqref="H57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7.88671875" style="2" bestFit="1" customWidth="1"/>
    <col min="4" max="4" width="9.109375" style="2" bestFit="1" customWidth="1"/>
    <col min="5" max="5" width="5.109375" style="2" bestFit="1" customWidth="1"/>
    <col min="6" max="6" width="10.44140625" style="2" bestFit="1" customWidth="1"/>
    <col min="7" max="7" width="2.44140625" style="2" customWidth="1"/>
    <col min="8" max="8" width="14.109375" style="8" bestFit="1" customWidth="1"/>
    <col min="9" max="9" width="10.88671875" style="7" bestFit="1" customWidth="1"/>
    <col min="10" max="10" width="8.5546875" style="11" bestFit="1" customWidth="1"/>
    <col min="11" max="11" width="3.33203125" style="6" customWidth="1"/>
    <col min="12" max="12" width="9.44140625" style="2" bestFit="1" customWidth="1"/>
    <col min="13" max="13" width="5.109375" style="2" bestFit="1" customWidth="1"/>
    <col min="14" max="14" width="8.5546875" style="2" bestFit="1" customWidth="1"/>
    <col min="15" max="15" width="9.109375" style="2" bestFit="1" customWidth="1"/>
    <col min="16" max="16" width="5.109375" style="2" bestFit="1" customWidth="1"/>
    <col min="17" max="17" width="11.109375" style="2" bestFit="1" customWidth="1"/>
    <col min="18" max="16384" width="8.88671875" style="2"/>
  </cols>
  <sheetData>
    <row r="1" spans="1:17" x14ac:dyDescent="0.3">
      <c r="A1" s="65" t="s">
        <v>29</v>
      </c>
      <c r="B1" s="65"/>
      <c r="C1" s="65"/>
      <c r="D1" s="65"/>
      <c r="E1" s="65"/>
      <c r="F1" s="65"/>
      <c r="H1" s="8" t="s">
        <v>38</v>
      </c>
      <c r="I1" s="7">
        <f>SUM(Table1345678101112[اللبناني])</f>
        <v>-2055</v>
      </c>
      <c r="J1" s="7">
        <f>SUM(Table1345678101112[الدولار])</f>
        <v>3044</v>
      </c>
      <c r="L1" s="65" t="s">
        <v>33</v>
      </c>
      <c r="M1" s="65"/>
      <c r="N1" s="65"/>
      <c r="O1" s="65"/>
      <c r="P1" s="65"/>
      <c r="Q1" s="65"/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B3" s="2">
        <v>1</v>
      </c>
      <c r="C3" s="21">
        <f>A3*B3</f>
        <v>1</v>
      </c>
      <c r="D3" s="17">
        <v>5</v>
      </c>
      <c r="E3" s="2">
        <v>92</v>
      </c>
      <c r="F3" s="23">
        <f>D3*E3</f>
        <v>460</v>
      </c>
      <c r="G3" s="5"/>
      <c r="H3" s="10" t="s">
        <v>112</v>
      </c>
      <c r="I3" s="20"/>
      <c r="J3" s="11">
        <v>800</v>
      </c>
      <c r="L3" s="15">
        <v>1</v>
      </c>
      <c r="N3" s="21">
        <f>L3*M3</f>
        <v>0</v>
      </c>
      <c r="O3" s="17">
        <v>5</v>
      </c>
      <c r="P3" s="2">
        <v>91</v>
      </c>
      <c r="Q3" s="23">
        <f>O3*P3</f>
        <v>455</v>
      </c>
    </row>
    <row r="4" spans="1:17" x14ac:dyDescent="0.3">
      <c r="A4" s="15">
        <v>5</v>
      </c>
      <c r="C4" s="21">
        <f t="shared" ref="C4:C8" si="0">A4*B4</f>
        <v>0</v>
      </c>
      <c r="D4" s="17">
        <v>10</v>
      </c>
      <c r="E4" s="2">
        <v>48</v>
      </c>
      <c r="F4" s="23">
        <f t="shared" ref="F4:F7" si="1">D4*E4</f>
        <v>480</v>
      </c>
      <c r="G4" s="5"/>
      <c r="H4" s="10" t="s">
        <v>113</v>
      </c>
      <c r="I4" s="20">
        <v>100</v>
      </c>
      <c r="L4" s="15">
        <v>5</v>
      </c>
      <c r="M4" s="2">
        <v>1</v>
      </c>
      <c r="N4" s="21">
        <f t="shared" ref="N4:N8" si="2">L4*M4</f>
        <v>5</v>
      </c>
      <c r="O4" s="17">
        <v>10</v>
      </c>
      <c r="P4" s="2">
        <v>28</v>
      </c>
      <c r="Q4" s="23">
        <f t="shared" ref="Q4:Q7" si="3">O4*P4</f>
        <v>280</v>
      </c>
    </row>
    <row r="5" spans="1:17" x14ac:dyDescent="0.3">
      <c r="A5" s="15">
        <v>10</v>
      </c>
      <c r="B5" s="2">
        <v>30</v>
      </c>
      <c r="C5" s="21">
        <f t="shared" si="0"/>
        <v>300</v>
      </c>
      <c r="D5" s="17">
        <v>20</v>
      </c>
      <c r="E5" s="2">
        <v>10</v>
      </c>
      <c r="F5" s="23">
        <f t="shared" si="1"/>
        <v>200</v>
      </c>
      <c r="G5" s="5"/>
      <c r="H5" s="10" t="s">
        <v>114</v>
      </c>
      <c r="I5" s="20"/>
      <c r="J5" s="11">
        <v>700</v>
      </c>
      <c r="L5" s="15">
        <v>10</v>
      </c>
      <c r="M5" s="2">
        <v>40</v>
      </c>
      <c r="N5" s="21">
        <f t="shared" si="2"/>
        <v>400</v>
      </c>
      <c r="O5" s="17">
        <v>20</v>
      </c>
      <c r="Q5" s="23">
        <f t="shared" si="3"/>
        <v>0</v>
      </c>
    </row>
    <row r="6" spans="1:17" x14ac:dyDescent="0.3">
      <c r="A6" s="15">
        <v>20</v>
      </c>
      <c r="B6" s="2">
        <v>12</v>
      </c>
      <c r="C6" s="21">
        <f t="shared" si="0"/>
        <v>240</v>
      </c>
      <c r="D6" s="17">
        <v>50</v>
      </c>
      <c r="E6" s="2">
        <v>13</v>
      </c>
      <c r="F6" s="23">
        <f t="shared" si="1"/>
        <v>650</v>
      </c>
      <c r="G6" s="5"/>
      <c r="H6" s="10" t="s">
        <v>115</v>
      </c>
      <c r="I6" s="20">
        <v>100</v>
      </c>
      <c r="L6" s="15">
        <v>20</v>
      </c>
      <c r="M6" s="2">
        <v>9</v>
      </c>
      <c r="N6" s="21">
        <f t="shared" si="2"/>
        <v>180</v>
      </c>
      <c r="O6" s="17">
        <v>50</v>
      </c>
      <c r="P6" s="2">
        <v>2</v>
      </c>
      <c r="Q6" s="23">
        <f t="shared" si="3"/>
        <v>100</v>
      </c>
    </row>
    <row r="7" spans="1:17" x14ac:dyDescent="0.3">
      <c r="A7" s="15">
        <v>50</v>
      </c>
      <c r="B7" s="2">
        <v>1</v>
      </c>
      <c r="C7" s="21">
        <f t="shared" si="0"/>
        <v>50</v>
      </c>
      <c r="D7" s="17">
        <v>100</v>
      </c>
      <c r="E7" s="2">
        <v>24</v>
      </c>
      <c r="F7" s="23">
        <f t="shared" si="1"/>
        <v>2400</v>
      </c>
      <c r="G7" s="5"/>
      <c r="H7" s="33" t="s">
        <v>119</v>
      </c>
      <c r="I7" s="20">
        <v>-180</v>
      </c>
      <c r="J7" s="11">
        <v>90</v>
      </c>
      <c r="L7" s="15">
        <v>50</v>
      </c>
      <c r="M7" s="2">
        <v>1</v>
      </c>
      <c r="N7" s="21">
        <f t="shared" si="2"/>
        <v>50</v>
      </c>
      <c r="O7" s="17">
        <v>100</v>
      </c>
      <c r="P7" s="2">
        <v>13</v>
      </c>
      <c r="Q7" s="23">
        <f t="shared" si="3"/>
        <v>1300</v>
      </c>
    </row>
    <row r="8" spans="1:17" x14ac:dyDescent="0.3">
      <c r="A8" s="15">
        <v>100</v>
      </c>
      <c r="B8" s="2">
        <v>12</v>
      </c>
      <c r="C8" s="21">
        <f t="shared" si="0"/>
        <v>1200</v>
      </c>
      <c r="D8" s="1" t="s">
        <v>1</v>
      </c>
      <c r="E8" s="1"/>
      <c r="F8" s="19">
        <f>SUM(F3:F7)</f>
        <v>4190</v>
      </c>
      <c r="G8" s="5"/>
      <c r="H8" s="10" t="s">
        <v>116</v>
      </c>
      <c r="I8" s="20"/>
      <c r="J8" s="11">
        <v>-10</v>
      </c>
      <c r="L8" s="15">
        <v>100</v>
      </c>
      <c r="M8" s="2">
        <v>42</v>
      </c>
      <c r="N8" s="21">
        <f t="shared" si="2"/>
        <v>4200</v>
      </c>
      <c r="O8" s="1" t="s">
        <v>1</v>
      </c>
      <c r="P8" s="1"/>
      <c r="Q8" s="19">
        <f>SUM(Q3:Q7)</f>
        <v>2135</v>
      </c>
    </row>
    <row r="9" spans="1:17" x14ac:dyDescent="0.3">
      <c r="A9" s="1" t="s">
        <v>1</v>
      </c>
      <c r="B9" s="1"/>
      <c r="C9" s="22">
        <f>SUM(C3:C8)</f>
        <v>1791</v>
      </c>
      <c r="H9" s="10" t="s">
        <v>104</v>
      </c>
      <c r="I9" s="20">
        <v>-300</v>
      </c>
      <c r="L9" s="1" t="s">
        <v>1</v>
      </c>
      <c r="M9" s="1"/>
      <c r="N9" s="22">
        <f>SUM(N3:N8)</f>
        <v>4835</v>
      </c>
      <c r="Q9" s="20"/>
    </row>
    <row r="10" spans="1:17" x14ac:dyDescent="0.3">
      <c r="H10" s="10" t="s">
        <v>117</v>
      </c>
      <c r="I10" s="20"/>
      <c r="J10" s="11">
        <v>85</v>
      </c>
      <c r="N10" s="27"/>
      <c r="O10" s="66" t="s">
        <v>40</v>
      </c>
      <c r="P10" s="66"/>
      <c r="Q10" s="24">
        <f>SUM(Table1345678101112[اللبناني])</f>
        <v>-2055</v>
      </c>
    </row>
    <row r="11" spans="1:17" x14ac:dyDescent="0.3">
      <c r="H11" s="10" t="s">
        <v>118</v>
      </c>
      <c r="I11" s="20">
        <v>-180</v>
      </c>
      <c r="J11" s="11">
        <v>65</v>
      </c>
      <c r="L11" s="66" t="s">
        <v>39</v>
      </c>
      <c r="M11" s="66"/>
      <c r="N11" s="12">
        <f>SUM(Table1345678101112[الدولار])</f>
        <v>3044</v>
      </c>
      <c r="Q11" s="20"/>
    </row>
    <row r="12" spans="1:17" x14ac:dyDescent="0.3">
      <c r="H12" s="10" t="s">
        <v>120</v>
      </c>
      <c r="I12" s="20">
        <v>135</v>
      </c>
      <c r="N12" s="27"/>
      <c r="O12" s="1" t="s">
        <v>27</v>
      </c>
      <c r="P12" s="1"/>
      <c r="Q12" s="24">
        <f>Q8-Q10-F8</f>
        <v>0</v>
      </c>
    </row>
    <row r="13" spans="1:17" x14ac:dyDescent="0.3">
      <c r="C13" s="14"/>
      <c r="D13" s="14"/>
      <c r="F13" s="14"/>
      <c r="H13" s="10" t="s">
        <v>121</v>
      </c>
      <c r="I13" s="20"/>
      <c r="J13" s="11">
        <v>55</v>
      </c>
      <c r="L13" s="1" t="s">
        <v>27</v>
      </c>
      <c r="M13" s="1"/>
      <c r="N13" s="12">
        <f>N9-N11-C9</f>
        <v>0</v>
      </c>
    </row>
    <row r="14" spans="1:17" x14ac:dyDescent="0.3">
      <c r="C14" s="14"/>
      <c r="D14" s="14"/>
      <c r="F14" s="14"/>
      <c r="H14" s="10" t="s">
        <v>122</v>
      </c>
      <c r="I14" s="18">
        <v>50</v>
      </c>
    </row>
    <row r="15" spans="1:17" x14ac:dyDescent="0.3">
      <c r="C15" s="14"/>
      <c r="D15" s="14"/>
      <c r="F15" s="14"/>
      <c r="H15" s="10" t="s">
        <v>123</v>
      </c>
      <c r="I15" s="18">
        <v>-200</v>
      </c>
      <c r="J15" s="11">
        <v>30</v>
      </c>
    </row>
    <row r="16" spans="1:17" x14ac:dyDescent="0.3">
      <c r="C16" s="14"/>
      <c r="D16" s="14"/>
      <c r="F16" s="14"/>
      <c r="H16" s="10" t="s">
        <v>101</v>
      </c>
      <c r="I16" s="18">
        <v>-135</v>
      </c>
      <c r="J16" s="11">
        <v>25</v>
      </c>
    </row>
    <row r="17" spans="3:11" s="11" customFormat="1" x14ac:dyDescent="0.3">
      <c r="C17" s="14"/>
      <c r="D17" s="14"/>
      <c r="E17" s="2"/>
      <c r="F17" s="14"/>
      <c r="G17" s="2"/>
      <c r="H17" s="10" t="s">
        <v>124</v>
      </c>
      <c r="I17" s="20"/>
      <c r="J17" s="11">
        <v>11</v>
      </c>
      <c r="K17" s="6"/>
    </row>
    <row r="18" spans="3:11" s="11" customFormat="1" x14ac:dyDescent="0.3">
      <c r="C18" s="14"/>
      <c r="D18" s="2"/>
      <c r="E18" s="2"/>
      <c r="F18" s="14"/>
      <c r="G18" s="2"/>
      <c r="H18" s="10" t="s">
        <v>125</v>
      </c>
      <c r="I18" s="20">
        <v>400</v>
      </c>
      <c r="K18" s="6"/>
    </row>
    <row r="19" spans="3:11" s="11" customFormat="1" x14ac:dyDescent="0.3">
      <c r="C19" s="14"/>
      <c r="D19" s="2"/>
      <c r="E19" s="2"/>
      <c r="F19" s="2"/>
      <c r="G19" s="2"/>
      <c r="H19" s="10" t="s">
        <v>126</v>
      </c>
      <c r="I19" s="20">
        <v>-270</v>
      </c>
      <c r="J19" s="11">
        <v>30</v>
      </c>
      <c r="K19" s="6"/>
    </row>
    <row r="20" spans="3:11" s="11" customFormat="1" x14ac:dyDescent="0.3">
      <c r="C20" s="2"/>
      <c r="D20" s="2"/>
      <c r="E20" s="2"/>
      <c r="F20" s="6"/>
      <c r="G20" s="2"/>
      <c r="H20" s="10" t="s">
        <v>86</v>
      </c>
      <c r="I20" s="20"/>
      <c r="J20" s="11">
        <v>45</v>
      </c>
      <c r="K20" s="6"/>
    </row>
    <row r="21" spans="3:11" s="11" customFormat="1" x14ac:dyDescent="0.3">
      <c r="C21" s="6"/>
      <c r="D21" s="2"/>
      <c r="E21" s="2"/>
      <c r="F21" s="2"/>
      <c r="G21" s="2"/>
      <c r="H21" s="10" t="s">
        <v>99</v>
      </c>
      <c r="I21" s="20">
        <v>-225</v>
      </c>
      <c r="J21" s="11">
        <v>35</v>
      </c>
      <c r="K21" s="6"/>
    </row>
    <row r="22" spans="3:11" s="11" customFormat="1" x14ac:dyDescent="0.3">
      <c r="C22" s="2"/>
      <c r="D22" s="2"/>
      <c r="E22" s="2"/>
      <c r="F22" s="6"/>
      <c r="G22" s="2"/>
      <c r="H22" s="10" t="s">
        <v>127</v>
      </c>
      <c r="I22" s="20">
        <v>180</v>
      </c>
      <c r="K22" s="6"/>
    </row>
    <row r="23" spans="3:11" s="11" customFormat="1" x14ac:dyDescent="0.3">
      <c r="C23" s="6"/>
      <c r="D23" s="2"/>
      <c r="E23" s="2"/>
      <c r="F23" s="2"/>
      <c r="G23" s="2"/>
      <c r="H23" s="10" t="s">
        <v>128</v>
      </c>
      <c r="I23" s="20">
        <v>-180</v>
      </c>
      <c r="J23" s="11">
        <v>15</v>
      </c>
      <c r="K23" s="6"/>
    </row>
    <row r="24" spans="3:11" s="11" customFormat="1" x14ac:dyDescent="0.3">
      <c r="C24" s="2"/>
      <c r="D24" s="2"/>
      <c r="E24" s="2"/>
      <c r="F24" s="2"/>
      <c r="G24" s="2"/>
      <c r="H24" s="10" t="s">
        <v>129</v>
      </c>
      <c r="I24" s="20">
        <v>100</v>
      </c>
      <c r="K24" s="6"/>
    </row>
    <row r="25" spans="3:11" s="11" customFormat="1" x14ac:dyDescent="0.3">
      <c r="C25" s="2"/>
      <c r="D25" s="2"/>
      <c r="E25" s="2"/>
      <c r="F25" s="2"/>
      <c r="G25" s="2"/>
      <c r="H25" s="10" t="s">
        <v>134</v>
      </c>
      <c r="I25" s="20">
        <v>-180</v>
      </c>
      <c r="K25" s="6"/>
    </row>
    <row r="26" spans="3:11" s="11" customFormat="1" x14ac:dyDescent="0.3">
      <c r="C26" s="2"/>
      <c r="D26" s="2"/>
      <c r="E26" s="2"/>
      <c r="F26" s="2"/>
      <c r="G26" s="2"/>
      <c r="H26" s="10" t="s">
        <v>130</v>
      </c>
      <c r="I26" s="20">
        <v>400</v>
      </c>
      <c r="K26" s="6"/>
    </row>
    <row r="27" spans="3:11" s="11" customFormat="1" x14ac:dyDescent="0.3">
      <c r="C27" s="2"/>
      <c r="D27" s="2"/>
      <c r="E27" s="2"/>
      <c r="F27" s="2"/>
      <c r="G27" s="2"/>
      <c r="H27" s="10" t="s">
        <v>131</v>
      </c>
      <c r="I27" s="18">
        <v>-90</v>
      </c>
      <c r="J27" s="11">
        <v>10</v>
      </c>
      <c r="K27" s="6"/>
    </row>
    <row r="28" spans="3:11" s="11" customFormat="1" x14ac:dyDescent="0.3">
      <c r="C28" s="2"/>
      <c r="D28" s="2"/>
      <c r="E28" s="2"/>
      <c r="F28" s="2"/>
      <c r="G28" s="2"/>
      <c r="H28" s="8" t="s">
        <v>132</v>
      </c>
      <c r="I28" s="18">
        <v>-270</v>
      </c>
      <c r="J28" s="11">
        <v>10</v>
      </c>
      <c r="K28" s="6"/>
    </row>
    <row r="29" spans="3:11" s="11" customFormat="1" x14ac:dyDescent="0.3">
      <c r="C29" s="2"/>
      <c r="D29" s="2"/>
      <c r="E29" s="2"/>
      <c r="F29" s="2"/>
      <c r="G29" s="2"/>
      <c r="H29" s="8" t="s">
        <v>133</v>
      </c>
      <c r="I29" s="18">
        <v>60</v>
      </c>
      <c r="K29" s="6"/>
    </row>
    <row r="30" spans="3:11" s="11" customFormat="1" x14ac:dyDescent="0.3">
      <c r="C30" s="2"/>
      <c r="D30" s="2"/>
      <c r="E30" s="2"/>
      <c r="F30" s="2"/>
      <c r="G30" s="2"/>
      <c r="H30" s="8" t="s">
        <v>135</v>
      </c>
      <c r="I30" s="18">
        <v>50</v>
      </c>
      <c r="K30" s="6"/>
    </row>
    <row r="31" spans="3:11" s="11" customFormat="1" x14ac:dyDescent="0.3">
      <c r="C31" s="2"/>
      <c r="D31" s="2"/>
      <c r="E31" s="2"/>
      <c r="F31" s="2"/>
      <c r="G31" s="2"/>
      <c r="H31" s="8" t="s">
        <v>136</v>
      </c>
      <c r="I31" s="18">
        <v>200</v>
      </c>
      <c r="K31" s="6"/>
    </row>
    <row r="32" spans="3:11" s="11" customFormat="1" x14ac:dyDescent="0.3">
      <c r="C32" s="2"/>
      <c r="D32" s="2"/>
      <c r="E32" s="2"/>
      <c r="F32" s="2"/>
      <c r="G32" s="2"/>
      <c r="H32" s="8" t="s">
        <v>137</v>
      </c>
      <c r="I32" s="18">
        <v>100</v>
      </c>
      <c r="J32" s="11">
        <v>15</v>
      </c>
      <c r="K32" s="6"/>
    </row>
    <row r="33" spans="8:11" s="11" customFormat="1" x14ac:dyDescent="0.3">
      <c r="H33" s="8" t="s">
        <v>138</v>
      </c>
      <c r="I33" s="18">
        <v>180</v>
      </c>
      <c r="K33" s="6"/>
    </row>
    <row r="34" spans="8:11" s="11" customFormat="1" x14ac:dyDescent="0.3">
      <c r="H34" s="8" t="s">
        <v>139</v>
      </c>
      <c r="I34" s="18">
        <v>270</v>
      </c>
      <c r="K34" s="6"/>
    </row>
    <row r="35" spans="8:11" s="11" customFormat="1" x14ac:dyDescent="0.3">
      <c r="H35" s="8" t="s">
        <v>140</v>
      </c>
      <c r="I35" s="18">
        <v>-300</v>
      </c>
      <c r="K35" s="6"/>
    </row>
    <row r="36" spans="8:11" s="11" customFormat="1" x14ac:dyDescent="0.3">
      <c r="H36" s="8" t="s">
        <v>59</v>
      </c>
      <c r="I36" s="18">
        <v>350</v>
      </c>
      <c r="K36" s="6"/>
    </row>
    <row r="37" spans="8:11" s="11" customFormat="1" x14ac:dyDescent="0.3">
      <c r="H37" s="8" t="s">
        <v>141</v>
      </c>
      <c r="I37" s="18">
        <v>-500</v>
      </c>
      <c r="J37" s="11">
        <v>-110</v>
      </c>
      <c r="K37" s="6"/>
    </row>
    <row r="38" spans="8:11" s="11" customFormat="1" x14ac:dyDescent="0.3">
      <c r="H38" s="8" t="s">
        <v>69</v>
      </c>
      <c r="I38" s="18"/>
      <c r="J38" s="11">
        <v>60</v>
      </c>
      <c r="K38" s="6"/>
    </row>
    <row r="39" spans="8:11" s="11" customFormat="1" x14ac:dyDescent="0.3">
      <c r="H39" s="8" t="s">
        <v>142</v>
      </c>
      <c r="I39" s="18">
        <v>-1200</v>
      </c>
      <c r="J39" s="11">
        <v>-20</v>
      </c>
      <c r="K39" s="6"/>
    </row>
    <row r="40" spans="8:11" s="11" customFormat="1" x14ac:dyDescent="0.3">
      <c r="H40" s="8" t="s">
        <v>143</v>
      </c>
      <c r="I40" s="18">
        <v>100</v>
      </c>
      <c r="K40" s="6"/>
    </row>
    <row r="41" spans="8:11" s="11" customFormat="1" x14ac:dyDescent="0.3">
      <c r="H41" s="8" t="s">
        <v>102</v>
      </c>
      <c r="I41" s="18"/>
      <c r="J41" s="11">
        <v>150</v>
      </c>
      <c r="K41" s="6"/>
    </row>
    <row r="42" spans="8:11" s="11" customFormat="1" x14ac:dyDescent="0.3">
      <c r="H42" s="8" t="s">
        <v>145</v>
      </c>
      <c r="I42" s="18"/>
      <c r="K42" s="6"/>
    </row>
    <row r="43" spans="8:11" s="11" customFormat="1" x14ac:dyDescent="0.3">
      <c r="H43" s="8" t="s">
        <v>144</v>
      </c>
      <c r="I43" s="18">
        <v>650</v>
      </c>
      <c r="K43" s="6"/>
    </row>
    <row r="44" spans="8:11" s="11" customFormat="1" x14ac:dyDescent="0.3">
      <c r="H44" s="8" t="s">
        <v>149</v>
      </c>
      <c r="I44" s="18">
        <v>360</v>
      </c>
      <c r="K44" s="6"/>
    </row>
    <row r="45" spans="8:11" s="11" customFormat="1" x14ac:dyDescent="0.3">
      <c r="H45" s="8" t="s">
        <v>111</v>
      </c>
      <c r="I45" s="18">
        <v>150</v>
      </c>
      <c r="K45" s="6"/>
    </row>
    <row r="46" spans="8:11" s="11" customFormat="1" x14ac:dyDescent="0.3">
      <c r="H46" s="8" t="s">
        <v>146</v>
      </c>
      <c r="I46" s="18">
        <v>-540</v>
      </c>
      <c r="J46" s="11">
        <v>-100</v>
      </c>
      <c r="K46" s="6"/>
    </row>
    <row r="47" spans="8:11" s="11" customFormat="1" x14ac:dyDescent="0.3">
      <c r="H47" s="8" t="s">
        <v>147</v>
      </c>
      <c r="I47" s="18"/>
      <c r="J47" s="11">
        <v>330</v>
      </c>
      <c r="K47" s="6"/>
    </row>
    <row r="48" spans="8:11" s="11" customFormat="1" x14ac:dyDescent="0.3">
      <c r="H48" s="8" t="s">
        <v>148</v>
      </c>
      <c r="I48" s="18">
        <v>-180</v>
      </c>
      <c r="J48" s="11">
        <v>30</v>
      </c>
      <c r="K48" s="6"/>
    </row>
    <row r="49" spans="8:11" s="11" customFormat="1" x14ac:dyDescent="0.3">
      <c r="H49" s="8"/>
      <c r="I49" s="18">
        <v>100</v>
      </c>
      <c r="J49" s="11">
        <v>10</v>
      </c>
      <c r="K49" s="6"/>
    </row>
    <row r="50" spans="8:11" s="11" customFormat="1" x14ac:dyDescent="0.3">
      <c r="H50" s="8"/>
      <c r="I50" s="18">
        <v>450</v>
      </c>
      <c r="K50" s="6"/>
    </row>
    <row r="51" spans="8:11" s="11" customFormat="1" x14ac:dyDescent="0.3">
      <c r="H51" s="8"/>
      <c r="I51" s="18"/>
      <c r="J51" s="11">
        <v>38</v>
      </c>
      <c r="K51" s="6"/>
    </row>
    <row r="52" spans="8:11" s="11" customFormat="1" x14ac:dyDescent="0.3">
      <c r="H52" s="8"/>
      <c r="I52" s="18">
        <v>220</v>
      </c>
      <c r="K52" s="6"/>
    </row>
    <row r="53" spans="8:11" s="11" customFormat="1" x14ac:dyDescent="0.3">
      <c r="H53" s="8"/>
      <c r="I53" s="18"/>
      <c r="J53" s="11">
        <v>10</v>
      </c>
      <c r="K53" s="6"/>
    </row>
    <row r="54" spans="8:11" s="11" customFormat="1" x14ac:dyDescent="0.3">
      <c r="H54" s="8"/>
      <c r="I54" s="18">
        <v>-650</v>
      </c>
      <c r="K54" s="6"/>
    </row>
    <row r="55" spans="8:11" s="11" customFormat="1" x14ac:dyDescent="0.3">
      <c r="H55" s="8"/>
      <c r="I55" s="18">
        <v>-150</v>
      </c>
      <c r="J55" s="11">
        <v>50</v>
      </c>
      <c r="K55" s="6"/>
    </row>
    <row r="56" spans="8:11" s="11" customFormat="1" x14ac:dyDescent="0.3">
      <c r="H56" s="8"/>
      <c r="I56" s="18">
        <v>-270</v>
      </c>
      <c r="J56" s="11">
        <v>130</v>
      </c>
      <c r="K56" s="6"/>
    </row>
    <row r="57" spans="8:11" s="11" customFormat="1" x14ac:dyDescent="0.3">
      <c r="H57" s="8" t="s">
        <v>150</v>
      </c>
      <c r="I57" s="18">
        <v>120</v>
      </c>
      <c r="J57" s="11">
        <v>5</v>
      </c>
      <c r="K57" s="6"/>
    </row>
    <row r="58" spans="8:11" s="11" customFormat="1" x14ac:dyDescent="0.3">
      <c r="H58" s="8" t="s">
        <v>151</v>
      </c>
      <c r="I58" s="18"/>
      <c r="J58" s="11">
        <v>231</v>
      </c>
      <c r="K58" s="6"/>
    </row>
    <row r="59" spans="8:11" s="11" customFormat="1" x14ac:dyDescent="0.3">
      <c r="H59" s="8" t="s">
        <v>87</v>
      </c>
      <c r="I59" s="18">
        <v>-270</v>
      </c>
      <c r="J59" s="11">
        <v>95</v>
      </c>
      <c r="K59" s="6"/>
    </row>
    <row r="60" spans="8:11" s="11" customFormat="1" x14ac:dyDescent="0.3">
      <c r="H60" s="8" t="s">
        <v>70</v>
      </c>
      <c r="I60" s="18">
        <v>-300</v>
      </c>
      <c r="K60" s="6"/>
    </row>
    <row r="61" spans="8:11" s="11" customFormat="1" x14ac:dyDescent="0.3">
      <c r="H61" s="8" t="s">
        <v>152</v>
      </c>
      <c r="I61" s="18">
        <v>100</v>
      </c>
      <c r="K61" s="6"/>
    </row>
    <row r="62" spans="8:11" s="11" customFormat="1" x14ac:dyDescent="0.3">
      <c r="H62" s="8" t="s">
        <v>153</v>
      </c>
      <c r="I62" s="18"/>
      <c r="J62" s="11">
        <v>9</v>
      </c>
      <c r="K62" s="6"/>
    </row>
    <row r="63" spans="8:11" s="11" customFormat="1" x14ac:dyDescent="0.3">
      <c r="H63" s="8" t="s">
        <v>72</v>
      </c>
      <c r="I63" s="18"/>
      <c r="J63" s="11">
        <v>10</v>
      </c>
      <c r="K63" s="6"/>
    </row>
    <row r="64" spans="8:11" s="11" customFormat="1" x14ac:dyDescent="0.3">
      <c r="H64" s="8" t="s">
        <v>16</v>
      </c>
      <c r="I64" s="18">
        <v>-540</v>
      </c>
      <c r="J64" s="11">
        <v>10</v>
      </c>
      <c r="K64" s="6"/>
    </row>
    <row r="65" spans="8:11" s="11" customFormat="1" x14ac:dyDescent="0.3">
      <c r="H65" s="8" t="s">
        <v>154</v>
      </c>
      <c r="I65" s="18"/>
      <c r="J65" s="11">
        <v>20</v>
      </c>
      <c r="K65" s="6"/>
    </row>
    <row r="66" spans="8:11" s="11" customFormat="1" x14ac:dyDescent="0.3">
      <c r="H66" s="8" t="s">
        <v>154</v>
      </c>
      <c r="I66" s="18">
        <v>800</v>
      </c>
      <c r="K66" s="6"/>
    </row>
    <row r="67" spans="8:11" s="11" customFormat="1" x14ac:dyDescent="0.3">
      <c r="H67" s="8" t="s">
        <v>155</v>
      </c>
      <c r="I67" s="18"/>
      <c r="J67" s="11">
        <v>15</v>
      </c>
      <c r="K67" s="6"/>
    </row>
    <row r="68" spans="8:11" s="11" customFormat="1" x14ac:dyDescent="0.3">
      <c r="H68" s="8" t="s">
        <v>156</v>
      </c>
      <c r="I68" s="18">
        <v>200</v>
      </c>
      <c r="K68" s="6"/>
    </row>
    <row r="69" spans="8:11" s="11" customFormat="1" x14ac:dyDescent="0.3">
      <c r="H69" s="8" t="s">
        <v>157</v>
      </c>
      <c r="I69" s="18">
        <v>-90</v>
      </c>
      <c r="J69" s="11">
        <v>5</v>
      </c>
      <c r="K69" s="6"/>
    </row>
    <row r="70" spans="8:11" s="11" customFormat="1" x14ac:dyDescent="0.3">
      <c r="H70" s="8" t="s">
        <v>158</v>
      </c>
      <c r="I70" s="18">
        <v>-280</v>
      </c>
      <c r="J70" s="11">
        <v>10</v>
      </c>
      <c r="K70" s="6"/>
    </row>
    <row r="71" spans="8:11" s="11" customFormat="1" x14ac:dyDescent="0.3">
      <c r="H71" s="8" t="s">
        <v>49</v>
      </c>
      <c r="I71" s="18"/>
      <c r="J71" s="11">
        <v>10</v>
      </c>
      <c r="K71" s="6"/>
    </row>
    <row r="72" spans="8:11" s="11" customFormat="1" x14ac:dyDescent="0.3">
      <c r="H72" s="8" t="s">
        <v>159</v>
      </c>
      <c r="I72" s="18">
        <v>-450</v>
      </c>
      <c r="J72" s="11">
        <v>-10</v>
      </c>
      <c r="K72" s="6"/>
    </row>
    <row r="73" spans="8:11" s="11" customFormat="1" x14ac:dyDescent="0.3">
      <c r="H73" s="8" t="s">
        <v>160</v>
      </c>
      <c r="I73" s="18"/>
      <c r="J73" s="11">
        <v>5</v>
      </c>
      <c r="K73" s="6"/>
    </row>
    <row r="74" spans="8:11" s="11" customFormat="1" x14ac:dyDescent="0.3">
      <c r="H74" s="8" t="s">
        <v>69</v>
      </c>
      <c r="I74" s="18"/>
      <c r="J74" s="11">
        <v>40</v>
      </c>
      <c r="K74" s="6"/>
    </row>
    <row r="75" spans="8:11" s="11" customFormat="1" x14ac:dyDescent="0.3">
      <c r="H75" s="8" t="s">
        <v>85</v>
      </c>
      <c r="I75" s="18">
        <v>-50</v>
      </c>
      <c r="K75" s="6"/>
    </row>
    <row r="76" spans="8:11" s="11" customFormat="1" x14ac:dyDescent="0.3">
      <c r="H76" s="8"/>
      <c r="I76" s="18"/>
      <c r="K76" s="6"/>
    </row>
    <row r="77" spans="8:11" s="11" customFormat="1" x14ac:dyDescent="0.3">
      <c r="H77" s="8"/>
      <c r="I77" s="18"/>
      <c r="K77" s="6"/>
    </row>
    <row r="78" spans="8:11" s="11" customFormat="1" x14ac:dyDescent="0.3">
      <c r="H78" s="8"/>
      <c r="I78" s="18"/>
      <c r="K78" s="6"/>
    </row>
    <row r="79" spans="8:11" s="11" customFormat="1" x14ac:dyDescent="0.3">
      <c r="H79" s="8"/>
      <c r="I79" s="18"/>
      <c r="K79" s="6"/>
    </row>
    <row r="80" spans="8:11" s="11" customFormat="1" x14ac:dyDescent="0.3">
      <c r="H80" s="8"/>
      <c r="I80" s="18"/>
      <c r="K80" s="6"/>
    </row>
    <row r="81" spans="8:11" s="11" customFormat="1" x14ac:dyDescent="0.3">
      <c r="H81" s="8"/>
      <c r="I81" s="18"/>
      <c r="K81" s="6"/>
    </row>
    <row r="82" spans="8:11" s="11" customFormat="1" x14ac:dyDescent="0.3">
      <c r="H82" s="8"/>
      <c r="I82" s="18"/>
      <c r="K82" s="6"/>
    </row>
    <row r="83" spans="8:11" s="11" customFormat="1" x14ac:dyDescent="0.3">
      <c r="H83" s="8"/>
      <c r="I83" s="18"/>
      <c r="K83" s="6"/>
    </row>
    <row r="84" spans="8:11" s="11" customFormat="1" x14ac:dyDescent="0.3">
      <c r="H84" s="8"/>
      <c r="I84" s="18"/>
      <c r="K84" s="6"/>
    </row>
    <row r="85" spans="8:11" s="11" customFormat="1" x14ac:dyDescent="0.3">
      <c r="H85" s="8"/>
      <c r="I85" s="18"/>
      <c r="K85" s="6"/>
    </row>
    <row r="86" spans="8:11" s="11" customFormat="1" x14ac:dyDescent="0.3">
      <c r="H86" s="8"/>
      <c r="I86" s="18"/>
      <c r="K86" s="6"/>
    </row>
    <row r="87" spans="8:11" s="11" customFormat="1" x14ac:dyDescent="0.3">
      <c r="H87" s="8"/>
      <c r="I87" s="18"/>
      <c r="K87" s="6"/>
    </row>
    <row r="88" spans="8:11" s="11" customFormat="1" x14ac:dyDescent="0.3">
      <c r="H88" s="8"/>
      <c r="I88" s="18"/>
      <c r="K88" s="6"/>
    </row>
    <row r="89" spans="8:11" s="11" customFormat="1" x14ac:dyDescent="0.3">
      <c r="H89" s="8"/>
      <c r="I89" s="18"/>
      <c r="K89" s="6"/>
    </row>
    <row r="90" spans="8:11" s="11" customFormat="1" x14ac:dyDescent="0.3">
      <c r="H90" s="8"/>
      <c r="I90" s="18"/>
      <c r="K90" s="6"/>
    </row>
    <row r="91" spans="8:11" s="11" customFormat="1" x14ac:dyDescent="0.3">
      <c r="H91" s="8"/>
      <c r="I91" s="18"/>
      <c r="K91" s="6"/>
    </row>
    <row r="92" spans="8:11" s="11" customFormat="1" x14ac:dyDescent="0.3">
      <c r="H92" s="8"/>
      <c r="I92" s="18"/>
      <c r="K92" s="6"/>
    </row>
    <row r="93" spans="8:11" s="11" customFormat="1" x14ac:dyDescent="0.3">
      <c r="H93" s="8"/>
      <c r="I93" s="18"/>
      <c r="K93" s="6"/>
    </row>
    <row r="94" spans="8:11" s="11" customFormat="1" x14ac:dyDescent="0.3">
      <c r="H94" s="8"/>
      <c r="I94" s="18"/>
      <c r="K94" s="6"/>
    </row>
    <row r="95" spans="8:11" s="11" customFormat="1" x14ac:dyDescent="0.3">
      <c r="H95" s="8"/>
      <c r="I95" s="18"/>
      <c r="K95" s="6"/>
    </row>
    <row r="96" spans="8:11" s="11" customFormat="1" x14ac:dyDescent="0.3">
      <c r="H96" s="8"/>
      <c r="I96" s="18"/>
      <c r="K96" s="6"/>
    </row>
    <row r="97" spans="8:11" s="11" customFormat="1" x14ac:dyDescent="0.3">
      <c r="H97" s="8"/>
      <c r="I97" s="18"/>
      <c r="K97" s="6"/>
    </row>
    <row r="98" spans="8:11" s="11" customFormat="1" x14ac:dyDescent="0.3">
      <c r="H98" s="8"/>
      <c r="I98" s="18"/>
      <c r="K98" s="6"/>
    </row>
    <row r="99" spans="8:11" s="11" customFormat="1" x14ac:dyDescent="0.3">
      <c r="H99" s="8"/>
      <c r="I99" s="18"/>
      <c r="K99" s="6"/>
    </row>
    <row r="100" spans="8:11" s="11" customFormat="1" x14ac:dyDescent="0.3">
      <c r="H100" s="8"/>
      <c r="I100" s="18"/>
      <c r="K100" s="6"/>
    </row>
    <row r="101" spans="8:11" s="11" customFormat="1" x14ac:dyDescent="0.3">
      <c r="H101" s="8"/>
      <c r="I101" s="18"/>
      <c r="K101" s="6"/>
    </row>
    <row r="102" spans="8:11" s="11" customFormat="1" x14ac:dyDescent="0.3">
      <c r="H102" s="8"/>
      <c r="I102" s="18"/>
      <c r="K102" s="6"/>
    </row>
    <row r="103" spans="8:11" s="11" customFormat="1" x14ac:dyDescent="0.3">
      <c r="H103" s="8"/>
      <c r="I103" s="18"/>
      <c r="K103" s="6"/>
    </row>
    <row r="104" spans="8:11" s="11" customFormat="1" x14ac:dyDescent="0.3">
      <c r="H104" s="8"/>
      <c r="I104" s="18"/>
      <c r="K104" s="6"/>
    </row>
    <row r="105" spans="8:11" s="11" customFormat="1" x14ac:dyDescent="0.3">
      <c r="H105" s="8"/>
      <c r="I105" s="18"/>
      <c r="K105" s="6"/>
    </row>
    <row r="106" spans="8:11" s="11" customFormat="1" x14ac:dyDescent="0.3">
      <c r="H106" s="8"/>
      <c r="I106" s="18"/>
      <c r="K106" s="6"/>
    </row>
    <row r="107" spans="8:11" s="11" customFormat="1" x14ac:dyDescent="0.3">
      <c r="H107" s="8"/>
      <c r="I107" s="18"/>
      <c r="K107" s="6"/>
    </row>
    <row r="108" spans="8:11" s="11" customFormat="1" x14ac:dyDescent="0.3">
      <c r="H108" s="8"/>
      <c r="I108" s="18"/>
      <c r="K108" s="6"/>
    </row>
    <row r="109" spans="8:11" s="11" customFormat="1" x14ac:dyDescent="0.3">
      <c r="H109" s="8"/>
      <c r="I109" s="18"/>
      <c r="K109" s="6"/>
    </row>
    <row r="110" spans="8:11" s="11" customFormat="1" x14ac:dyDescent="0.3">
      <c r="H110" s="8"/>
      <c r="I110" s="18"/>
      <c r="K110" s="6"/>
    </row>
    <row r="111" spans="8:11" s="11" customFormat="1" x14ac:dyDescent="0.3">
      <c r="H111" s="8"/>
      <c r="I111" s="18"/>
      <c r="K111" s="6"/>
    </row>
    <row r="112" spans="8:11" s="11" customFormat="1" x14ac:dyDescent="0.3">
      <c r="H112" s="8"/>
      <c r="I112" s="18"/>
      <c r="K112" s="6"/>
    </row>
    <row r="113" spans="8:11" s="11" customFormat="1" x14ac:dyDescent="0.3">
      <c r="H113" s="8"/>
      <c r="I113" s="18"/>
      <c r="K113" s="6"/>
    </row>
    <row r="114" spans="8:11" s="11" customFormat="1" x14ac:dyDescent="0.3">
      <c r="H114" s="8"/>
      <c r="I114" s="18"/>
      <c r="K114" s="6"/>
    </row>
    <row r="115" spans="8:11" s="11" customFormat="1" x14ac:dyDescent="0.3">
      <c r="H115" s="8"/>
      <c r="I115" s="18"/>
      <c r="K115" s="6"/>
    </row>
    <row r="116" spans="8:11" s="11" customFormat="1" x14ac:dyDescent="0.3">
      <c r="H116" s="8"/>
      <c r="I116" s="18"/>
      <c r="K116" s="6"/>
    </row>
    <row r="117" spans="8:11" s="11" customFormat="1" x14ac:dyDescent="0.3">
      <c r="H117" s="8"/>
      <c r="I117" s="18"/>
      <c r="K117" s="6"/>
    </row>
    <row r="118" spans="8:11" s="11" customFormat="1" x14ac:dyDescent="0.3">
      <c r="H118" s="8"/>
      <c r="I118" s="18"/>
      <c r="K118" s="6"/>
    </row>
    <row r="119" spans="8:11" s="11" customFormat="1" x14ac:dyDescent="0.3">
      <c r="H119" s="8"/>
      <c r="I119" s="18"/>
      <c r="K119" s="6"/>
    </row>
    <row r="120" spans="8:11" s="11" customFormat="1" x14ac:dyDescent="0.3">
      <c r="H120" s="8"/>
      <c r="I120" s="18"/>
      <c r="K120" s="6"/>
    </row>
    <row r="121" spans="8:11" s="11" customFormat="1" x14ac:dyDescent="0.3">
      <c r="H121" s="8"/>
      <c r="I121" s="18"/>
      <c r="K121" s="6"/>
    </row>
    <row r="122" spans="8:11" s="11" customFormat="1" x14ac:dyDescent="0.3">
      <c r="H122" s="8"/>
      <c r="I122" s="18"/>
      <c r="K122" s="6"/>
    </row>
    <row r="123" spans="8:11" s="11" customFormat="1" x14ac:dyDescent="0.3">
      <c r="H123" s="8"/>
      <c r="I123" s="18"/>
      <c r="K123" s="6"/>
    </row>
    <row r="124" spans="8:11" s="11" customFormat="1" x14ac:dyDescent="0.3">
      <c r="H124" s="8"/>
      <c r="I124" s="18"/>
      <c r="K124" s="6"/>
    </row>
    <row r="125" spans="8:11" s="11" customFormat="1" x14ac:dyDescent="0.3">
      <c r="H125" s="8"/>
      <c r="I125" s="18"/>
      <c r="K125" s="6"/>
    </row>
    <row r="126" spans="8:11" s="11" customFormat="1" x14ac:dyDescent="0.3">
      <c r="H126" s="8"/>
      <c r="I126" s="18"/>
      <c r="K126" s="6"/>
    </row>
    <row r="127" spans="8:11" s="11" customFormat="1" x14ac:dyDescent="0.3">
      <c r="H127" s="8"/>
      <c r="I127" s="18"/>
      <c r="K127" s="6"/>
    </row>
    <row r="128" spans="8:11" s="11" customFormat="1" x14ac:dyDescent="0.3">
      <c r="H128" s="8"/>
      <c r="I128" s="18"/>
      <c r="K128" s="6"/>
    </row>
    <row r="129" spans="8:11" s="11" customFormat="1" x14ac:dyDescent="0.3">
      <c r="H129" s="8"/>
      <c r="I129" s="18"/>
      <c r="K129" s="6"/>
    </row>
    <row r="130" spans="8:11" s="11" customFormat="1" x14ac:dyDescent="0.3">
      <c r="H130" s="8"/>
      <c r="I130" s="18"/>
      <c r="K130" s="6"/>
    </row>
    <row r="131" spans="8:11" s="11" customFormat="1" x14ac:dyDescent="0.3">
      <c r="H131" s="8"/>
      <c r="I131" s="18"/>
      <c r="K131" s="6"/>
    </row>
    <row r="132" spans="8:11" s="11" customFormat="1" x14ac:dyDescent="0.3">
      <c r="H132" s="8"/>
      <c r="I132" s="18"/>
      <c r="K132" s="6"/>
    </row>
    <row r="133" spans="8:11" s="11" customFormat="1" x14ac:dyDescent="0.3">
      <c r="H133" s="8"/>
      <c r="I133" s="18"/>
      <c r="K133" s="6"/>
    </row>
    <row r="134" spans="8:11" s="11" customFormat="1" x14ac:dyDescent="0.3">
      <c r="H134" s="8"/>
      <c r="I134" s="18"/>
      <c r="K134" s="6"/>
    </row>
    <row r="135" spans="8:11" s="11" customFormat="1" x14ac:dyDescent="0.3">
      <c r="H135" s="8"/>
      <c r="I135" s="18"/>
      <c r="K135" s="6"/>
    </row>
    <row r="136" spans="8:11" s="11" customFormat="1" x14ac:dyDescent="0.3">
      <c r="H136" s="8"/>
      <c r="I136" s="18"/>
      <c r="K136" s="6"/>
    </row>
    <row r="137" spans="8:11" s="11" customFormat="1" x14ac:dyDescent="0.3">
      <c r="H137" s="8"/>
      <c r="I137" s="18"/>
      <c r="K137" s="6"/>
    </row>
    <row r="138" spans="8:11" s="11" customFormat="1" x14ac:dyDescent="0.3">
      <c r="H138" s="8"/>
      <c r="I138" s="18"/>
      <c r="K138" s="6"/>
    </row>
    <row r="139" spans="8:11" s="11" customFormat="1" x14ac:dyDescent="0.3">
      <c r="H139" s="8"/>
      <c r="I139" s="18"/>
      <c r="K139" s="6"/>
    </row>
    <row r="140" spans="8:11" s="11" customFormat="1" x14ac:dyDescent="0.3">
      <c r="H140" s="8"/>
      <c r="I140" s="18"/>
      <c r="K140" s="6"/>
    </row>
    <row r="141" spans="8:11" s="11" customFormat="1" x14ac:dyDescent="0.3">
      <c r="H141" s="8"/>
      <c r="I141" s="18"/>
      <c r="K141" s="6"/>
    </row>
    <row r="142" spans="8:11" s="11" customFormat="1" x14ac:dyDescent="0.3">
      <c r="H142" s="8"/>
      <c r="I142" s="18"/>
      <c r="K142" s="6"/>
    </row>
    <row r="143" spans="8:11" s="11" customFormat="1" x14ac:dyDescent="0.3">
      <c r="H143" s="8"/>
      <c r="I143" s="18"/>
      <c r="K143" s="6"/>
    </row>
    <row r="144" spans="8:11" s="11" customFormat="1" x14ac:dyDescent="0.3">
      <c r="H144" s="8"/>
      <c r="I144" s="18"/>
      <c r="K144" s="6"/>
    </row>
    <row r="145" spans="8:11" s="11" customFormat="1" x14ac:dyDescent="0.3">
      <c r="H145" s="8"/>
      <c r="I145" s="18"/>
      <c r="K145" s="6"/>
    </row>
    <row r="146" spans="8:11" s="11" customFormat="1" x14ac:dyDescent="0.3">
      <c r="H146" s="8"/>
      <c r="I146" s="18"/>
      <c r="K146" s="6"/>
    </row>
    <row r="147" spans="8:11" s="11" customFormat="1" x14ac:dyDescent="0.3">
      <c r="H147" s="8"/>
      <c r="I147" s="18"/>
      <c r="K147" s="6"/>
    </row>
    <row r="148" spans="8:11" s="11" customFormat="1" x14ac:dyDescent="0.3">
      <c r="H148" s="8"/>
      <c r="I148" s="18"/>
      <c r="K148" s="6"/>
    </row>
    <row r="149" spans="8:11" s="11" customFormat="1" x14ac:dyDescent="0.3">
      <c r="H149" s="8"/>
      <c r="I149" s="18"/>
      <c r="K149" s="6"/>
    </row>
    <row r="150" spans="8:11" s="11" customFormat="1" x14ac:dyDescent="0.3">
      <c r="H150" s="8"/>
      <c r="I150" s="18"/>
      <c r="K150" s="6"/>
    </row>
    <row r="151" spans="8:11" s="11" customFormat="1" x14ac:dyDescent="0.3">
      <c r="H151" s="8"/>
      <c r="I151" s="18"/>
      <c r="K151" s="6"/>
    </row>
    <row r="152" spans="8:11" s="11" customFormat="1" x14ac:dyDescent="0.3">
      <c r="H152" s="8"/>
      <c r="I152" s="18"/>
      <c r="K152" s="6"/>
    </row>
    <row r="153" spans="8:11" s="11" customFormat="1" x14ac:dyDescent="0.3">
      <c r="H153" s="8"/>
      <c r="I153" s="18"/>
      <c r="K153" s="6"/>
    </row>
    <row r="154" spans="8:11" s="11" customFormat="1" x14ac:dyDescent="0.3">
      <c r="H154" s="8"/>
      <c r="I154" s="18"/>
      <c r="K154" s="6"/>
    </row>
    <row r="155" spans="8:11" s="11" customFormat="1" x14ac:dyDescent="0.3">
      <c r="H155" s="8"/>
      <c r="I155" s="18"/>
      <c r="K155" s="6"/>
    </row>
    <row r="156" spans="8:11" s="11" customFormat="1" x14ac:dyDescent="0.3">
      <c r="H156" s="8"/>
      <c r="I156" s="18"/>
      <c r="K156" s="6"/>
    </row>
    <row r="157" spans="8:11" s="11" customFormat="1" x14ac:dyDescent="0.3">
      <c r="H157" s="8"/>
      <c r="I157" s="18"/>
      <c r="K157" s="6"/>
    </row>
    <row r="158" spans="8:11" s="11" customFormat="1" x14ac:dyDescent="0.3">
      <c r="H158" s="8"/>
      <c r="I158" s="18"/>
      <c r="K158" s="6"/>
    </row>
    <row r="159" spans="8:11" s="11" customFormat="1" x14ac:dyDescent="0.3">
      <c r="H159" s="8"/>
      <c r="I159" s="18"/>
      <c r="K159" s="6"/>
    </row>
    <row r="160" spans="8:11" s="11" customFormat="1" x14ac:dyDescent="0.3">
      <c r="H160" s="8"/>
      <c r="I160" s="18"/>
      <c r="K160" s="6"/>
    </row>
    <row r="161" spans="8:11" s="11" customFormat="1" x14ac:dyDescent="0.3">
      <c r="H161" s="8"/>
      <c r="I161" s="18"/>
      <c r="K161" s="6"/>
    </row>
    <row r="162" spans="8:11" s="11" customFormat="1" x14ac:dyDescent="0.3">
      <c r="H162" s="8"/>
      <c r="I162" s="18"/>
      <c r="K162" s="6"/>
    </row>
    <row r="163" spans="8:11" s="11" customFormat="1" x14ac:dyDescent="0.3">
      <c r="H163" s="8"/>
      <c r="I163" s="18"/>
      <c r="K163" s="6"/>
    </row>
    <row r="164" spans="8:11" s="11" customFormat="1" x14ac:dyDescent="0.3">
      <c r="H164" s="8"/>
      <c r="I164" s="18"/>
      <c r="K164" s="6"/>
    </row>
    <row r="165" spans="8:11" s="11" customFormat="1" x14ac:dyDescent="0.3">
      <c r="H165" s="8"/>
      <c r="I165" s="18"/>
      <c r="K165" s="6"/>
    </row>
    <row r="166" spans="8:11" s="11" customFormat="1" x14ac:dyDescent="0.3">
      <c r="H166" s="8"/>
      <c r="I166" s="18"/>
      <c r="K166" s="6"/>
    </row>
    <row r="167" spans="8:11" s="11" customFormat="1" x14ac:dyDescent="0.3">
      <c r="H167" s="8"/>
      <c r="I167" s="18"/>
      <c r="K167" s="6"/>
    </row>
    <row r="168" spans="8:11" s="11" customFormat="1" x14ac:dyDescent="0.3">
      <c r="H168" s="8"/>
      <c r="I168" s="18"/>
      <c r="K168" s="6"/>
    </row>
    <row r="169" spans="8:11" s="11" customFormat="1" x14ac:dyDescent="0.3">
      <c r="H169" s="8"/>
      <c r="I169" s="18"/>
      <c r="K169" s="6"/>
    </row>
    <row r="170" spans="8:11" s="11" customFormat="1" x14ac:dyDescent="0.3">
      <c r="H170" s="8"/>
      <c r="I170" s="18"/>
      <c r="K170" s="6"/>
    </row>
    <row r="171" spans="8:11" s="11" customFormat="1" x14ac:dyDescent="0.3">
      <c r="H171" s="8"/>
      <c r="I171" s="18"/>
      <c r="K171" s="6"/>
    </row>
    <row r="172" spans="8:11" s="11" customFormat="1" x14ac:dyDescent="0.3">
      <c r="H172" s="8"/>
      <c r="I172" s="18"/>
      <c r="K172" s="6"/>
    </row>
    <row r="173" spans="8:11" s="11" customFormat="1" x14ac:dyDescent="0.3">
      <c r="H173" s="8"/>
      <c r="I173" s="18"/>
      <c r="K173" s="6"/>
    </row>
    <row r="174" spans="8:11" s="11" customFormat="1" x14ac:dyDescent="0.3">
      <c r="H174" s="8"/>
      <c r="I174" s="18"/>
      <c r="K174" s="6"/>
    </row>
    <row r="175" spans="8:11" s="11" customFormat="1" x14ac:dyDescent="0.3">
      <c r="H175" s="8"/>
      <c r="I175" s="18"/>
      <c r="K175" s="6"/>
    </row>
    <row r="176" spans="8:11" s="11" customFormat="1" x14ac:dyDescent="0.3">
      <c r="H176" s="8"/>
      <c r="I176" s="18"/>
      <c r="K176" s="6"/>
    </row>
    <row r="177" spans="8:11" s="11" customFormat="1" x14ac:dyDescent="0.3">
      <c r="H177" s="8"/>
      <c r="I177" s="18"/>
      <c r="K177" s="6"/>
    </row>
    <row r="178" spans="8:11" s="11" customFormat="1" x14ac:dyDescent="0.3">
      <c r="H178" s="8"/>
      <c r="I178" s="18"/>
      <c r="K178" s="6"/>
    </row>
    <row r="179" spans="8:11" s="11" customFormat="1" x14ac:dyDescent="0.3">
      <c r="H179" s="8"/>
      <c r="I179" s="18"/>
      <c r="K179" s="6"/>
    </row>
    <row r="180" spans="8:11" s="11" customFormat="1" x14ac:dyDescent="0.3">
      <c r="H180" s="8"/>
      <c r="I180" s="18"/>
      <c r="K180" s="6"/>
    </row>
    <row r="181" spans="8:11" s="11" customFormat="1" x14ac:dyDescent="0.3">
      <c r="H181" s="8"/>
      <c r="I181" s="18"/>
      <c r="K181" s="6"/>
    </row>
    <row r="182" spans="8:11" s="11" customFormat="1" x14ac:dyDescent="0.3">
      <c r="H182" s="8"/>
      <c r="I182" s="18"/>
      <c r="K182" s="6"/>
    </row>
    <row r="183" spans="8:11" s="11" customFormat="1" x14ac:dyDescent="0.3">
      <c r="H183" s="8"/>
      <c r="I183" s="18"/>
      <c r="K183" s="6"/>
    </row>
    <row r="184" spans="8:11" s="11" customFormat="1" x14ac:dyDescent="0.3">
      <c r="H184" s="8"/>
      <c r="I184" s="18"/>
      <c r="K184" s="6"/>
    </row>
    <row r="185" spans="8:11" s="11" customFormat="1" x14ac:dyDescent="0.3">
      <c r="H185" s="8"/>
      <c r="I185" s="18"/>
      <c r="K185" s="6"/>
    </row>
    <row r="186" spans="8:11" s="11" customFormat="1" x14ac:dyDescent="0.3">
      <c r="H186" s="8"/>
      <c r="I186" s="18"/>
      <c r="K186" s="6"/>
    </row>
    <row r="187" spans="8:11" s="11" customFormat="1" x14ac:dyDescent="0.3">
      <c r="H187" s="8"/>
      <c r="I187" s="18"/>
      <c r="K187" s="6"/>
    </row>
    <row r="188" spans="8:11" s="11" customFormat="1" x14ac:dyDescent="0.3">
      <c r="H188" s="8"/>
      <c r="I188" s="18"/>
      <c r="K188" s="6"/>
    </row>
    <row r="189" spans="8:11" s="11" customFormat="1" x14ac:dyDescent="0.3">
      <c r="H189" s="8"/>
      <c r="I189" s="18"/>
      <c r="K189" s="6"/>
    </row>
    <row r="190" spans="8:11" s="11" customFormat="1" x14ac:dyDescent="0.3">
      <c r="H190" s="8"/>
      <c r="I190" s="18"/>
      <c r="K190" s="6"/>
    </row>
    <row r="191" spans="8:11" s="11" customFormat="1" x14ac:dyDescent="0.3">
      <c r="H191" s="8"/>
      <c r="I191" s="18"/>
      <c r="K191" s="6"/>
    </row>
    <row r="192" spans="8:11" s="11" customFormat="1" x14ac:dyDescent="0.3">
      <c r="H192" s="8"/>
      <c r="I192" s="18"/>
      <c r="K192" s="6"/>
    </row>
    <row r="193" spans="8:11" s="11" customFormat="1" x14ac:dyDescent="0.3">
      <c r="H193" s="8"/>
      <c r="I193" s="18"/>
      <c r="K193" s="6"/>
    </row>
    <row r="194" spans="8:11" s="11" customFormat="1" x14ac:dyDescent="0.3">
      <c r="H194" s="8"/>
      <c r="I194" s="18"/>
      <c r="K194" s="6"/>
    </row>
    <row r="195" spans="8:11" s="11" customFormat="1" x14ac:dyDescent="0.3">
      <c r="H195" s="8"/>
      <c r="I195" s="18"/>
      <c r="K195" s="6"/>
    </row>
    <row r="196" spans="8:11" s="11" customFormat="1" x14ac:dyDescent="0.3">
      <c r="H196" s="8"/>
      <c r="I196" s="18"/>
      <c r="K196" s="6"/>
    </row>
    <row r="197" spans="8:11" s="11" customFormat="1" x14ac:dyDescent="0.3">
      <c r="H197" s="8"/>
      <c r="I197" s="18"/>
      <c r="K197" s="6"/>
    </row>
    <row r="198" spans="8:11" s="11" customFormat="1" x14ac:dyDescent="0.3">
      <c r="H198" s="8"/>
      <c r="I198" s="18"/>
      <c r="K198" s="6"/>
    </row>
    <row r="199" spans="8:11" s="11" customFormat="1" x14ac:dyDescent="0.3">
      <c r="H199" s="8"/>
      <c r="I199" s="18"/>
      <c r="K199" s="6"/>
    </row>
    <row r="200" spans="8:11" s="11" customFormat="1" x14ac:dyDescent="0.3">
      <c r="H200" s="8"/>
      <c r="I200" s="18"/>
      <c r="K200" s="6"/>
    </row>
    <row r="201" spans="8:11" s="11" customFormat="1" x14ac:dyDescent="0.3">
      <c r="H201" s="8"/>
      <c r="I201" s="18"/>
      <c r="K201" s="6"/>
    </row>
    <row r="202" spans="8:11" s="11" customFormat="1" x14ac:dyDescent="0.3">
      <c r="H202" s="8"/>
      <c r="I202" s="18"/>
      <c r="K202" s="6"/>
    </row>
    <row r="203" spans="8:11" s="11" customFormat="1" x14ac:dyDescent="0.3">
      <c r="H203" s="8"/>
      <c r="I203" s="18"/>
      <c r="K203" s="6"/>
    </row>
    <row r="204" spans="8:11" s="11" customFormat="1" x14ac:dyDescent="0.3">
      <c r="H204" s="8"/>
      <c r="I204" s="18"/>
      <c r="K204" s="6"/>
    </row>
    <row r="205" spans="8:11" s="11" customFormat="1" x14ac:dyDescent="0.3">
      <c r="H205" s="8"/>
      <c r="I205" s="18"/>
      <c r="K205" s="6"/>
    </row>
    <row r="206" spans="8:11" s="11" customFormat="1" x14ac:dyDescent="0.3">
      <c r="H206" s="8"/>
      <c r="I206" s="18"/>
      <c r="K206" s="6"/>
    </row>
    <row r="207" spans="8:11" s="11" customFormat="1" x14ac:dyDescent="0.3">
      <c r="H207" s="8"/>
      <c r="I207" s="18"/>
      <c r="K207" s="6"/>
    </row>
    <row r="208" spans="8:11" s="11" customFormat="1" x14ac:dyDescent="0.3">
      <c r="H208" s="8"/>
      <c r="I208" s="18"/>
      <c r="K208" s="6"/>
    </row>
    <row r="209" spans="8:11" s="11" customFormat="1" x14ac:dyDescent="0.3">
      <c r="H209" s="8"/>
      <c r="I209" s="18"/>
      <c r="K209" s="6"/>
    </row>
    <row r="210" spans="8:11" s="11" customFormat="1" x14ac:dyDescent="0.3">
      <c r="H210" s="8"/>
      <c r="I210" s="18"/>
      <c r="K210" s="6"/>
    </row>
    <row r="211" spans="8:11" s="11" customFormat="1" x14ac:dyDescent="0.3">
      <c r="H211" s="8"/>
      <c r="I211" s="18"/>
      <c r="K211" s="6"/>
    </row>
    <row r="212" spans="8:11" s="11" customFormat="1" x14ac:dyDescent="0.3">
      <c r="H212" s="8"/>
      <c r="I212" s="18"/>
      <c r="K212" s="6"/>
    </row>
    <row r="213" spans="8:11" s="11" customFormat="1" x14ac:dyDescent="0.3">
      <c r="H213" s="8"/>
      <c r="I213" s="18"/>
      <c r="K213" s="6"/>
    </row>
    <row r="214" spans="8:11" s="11" customFormat="1" x14ac:dyDescent="0.3">
      <c r="H214" s="8"/>
      <c r="I214" s="18"/>
      <c r="K214" s="6"/>
    </row>
    <row r="215" spans="8:11" s="11" customFormat="1" x14ac:dyDescent="0.3">
      <c r="H215" s="8"/>
      <c r="I215" s="18"/>
      <c r="K215" s="6"/>
    </row>
    <row r="216" spans="8:11" s="11" customFormat="1" x14ac:dyDescent="0.3">
      <c r="H216" s="8"/>
      <c r="I216" s="18"/>
      <c r="K216" s="6"/>
    </row>
    <row r="217" spans="8:11" s="11" customFormat="1" x14ac:dyDescent="0.3">
      <c r="H217" s="8"/>
      <c r="I217" s="18"/>
      <c r="K217" s="6"/>
    </row>
    <row r="218" spans="8:11" s="11" customFormat="1" x14ac:dyDescent="0.3">
      <c r="H218" s="8"/>
      <c r="I218" s="18"/>
      <c r="K218" s="6"/>
    </row>
    <row r="219" spans="8:11" s="11" customFormat="1" x14ac:dyDescent="0.3">
      <c r="H219" s="8"/>
      <c r="I219" s="18"/>
      <c r="K219" s="6"/>
    </row>
    <row r="220" spans="8:11" s="11" customFormat="1" x14ac:dyDescent="0.3">
      <c r="H220" s="8"/>
      <c r="I220" s="18"/>
      <c r="K220" s="6"/>
    </row>
    <row r="221" spans="8:11" s="11" customFormat="1" x14ac:dyDescent="0.3">
      <c r="H221" s="8"/>
      <c r="I221" s="18"/>
      <c r="K221" s="6"/>
    </row>
    <row r="222" spans="8:11" s="11" customFormat="1" x14ac:dyDescent="0.3">
      <c r="H222" s="8"/>
      <c r="I222" s="18"/>
      <c r="K222" s="6"/>
    </row>
    <row r="223" spans="8:11" s="11" customFormat="1" x14ac:dyDescent="0.3">
      <c r="H223" s="8"/>
      <c r="I223" s="18"/>
      <c r="K223" s="6"/>
    </row>
    <row r="224" spans="8:11" s="11" customFormat="1" x14ac:dyDescent="0.3">
      <c r="H224" s="8"/>
      <c r="I224" s="18"/>
      <c r="K224" s="6"/>
    </row>
    <row r="225" spans="8:11" s="11" customFormat="1" x14ac:dyDescent="0.3">
      <c r="H225" s="8"/>
      <c r="I225" s="18"/>
      <c r="K225" s="6"/>
    </row>
    <row r="226" spans="8:11" s="11" customFormat="1" x14ac:dyDescent="0.3">
      <c r="H226" s="8"/>
      <c r="I226" s="18"/>
      <c r="K226" s="6"/>
    </row>
    <row r="227" spans="8:11" s="11" customFormat="1" x14ac:dyDescent="0.3">
      <c r="H227" s="8"/>
      <c r="I227" s="18"/>
      <c r="K227" s="6"/>
    </row>
    <row r="228" spans="8:11" s="11" customFormat="1" x14ac:dyDescent="0.3">
      <c r="H228" s="8"/>
      <c r="I228" s="18"/>
      <c r="K228" s="6"/>
    </row>
    <row r="229" spans="8:11" s="11" customFormat="1" x14ac:dyDescent="0.3">
      <c r="H229" s="8"/>
      <c r="I229" s="18"/>
      <c r="K229" s="6"/>
    </row>
    <row r="230" spans="8:11" s="11" customFormat="1" x14ac:dyDescent="0.3">
      <c r="H230" s="8"/>
      <c r="I230" s="18"/>
      <c r="K230" s="6"/>
    </row>
    <row r="231" spans="8:11" s="11" customFormat="1" x14ac:dyDescent="0.3">
      <c r="H231" s="8"/>
      <c r="I231" s="18"/>
      <c r="K231" s="6"/>
    </row>
    <row r="232" spans="8:11" s="11" customFormat="1" x14ac:dyDescent="0.3">
      <c r="H232" s="8"/>
      <c r="I232" s="18"/>
      <c r="K232" s="6"/>
    </row>
    <row r="233" spans="8:11" s="11" customFormat="1" x14ac:dyDescent="0.3">
      <c r="H233" s="8"/>
      <c r="I233" s="18"/>
      <c r="K233" s="6"/>
    </row>
    <row r="234" spans="8:11" s="11" customFormat="1" x14ac:dyDescent="0.3">
      <c r="H234" s="8"/>
      <c r="I234" s="18"/>
      <c r="K234" s="6"/>
    </row>
    <row r="235" spans="8:11" s="11" customFormat="1" x14ac:dyDescent="0.3">
      <c r="H235" s="8"/>
      <c r="I235" s="18"/>
      <c r="K235" s="6"/>
    </row>
    <row r="236" spans="8:11" s="11" customFormat="1" x14ac:dyDescent="0.3">
      <c r="H236" s="8"/>
      <c r="I236" s="18"/>
      <c r="K236" s="6"/>
    </row>
    <row r="237" spans="8:11" s="11" customFormat="1" x14ac:dyDescent="0.3">
      <c r="H237" s="8"/>
      <c r="I237" s="18"/>
      <c r="K237" s="6"/>
    </row>
    <row r="238" spans="8:11" s="11" customFormat="1" x14ac:dyDescent="0.3">
      <c r="H238" s="8"/>
      <c r="I238" s="18"/>
      <c r="K238" s="6"/>
    </row>
    <row r="239" spans="8:11" s="11" customFormat="1" x14ac:dyDescent="0.3">
      <c r="H239" s="8"/>
      <c r="I239" s="18"/>
      <c r="K239" s="6"/>
    </row>
    <row r="240" spans="8:11" s="11" customFormat="1" x14ac:dyDescent="0.3">
      <c r="H240" s="8"/>
      <c r="I240" s="18"/>
      <c r="K240" s="6"/>
    </row>
    <row r="241" spans="8:11" s="11" customFormat="1" x14ac:dyDescent="0.3">
      <c r="H241" s="8"/>
      <c r="I241" s="18"/>
      <c r="K241" s="6"/>
    </row>
    <row r="242" spans="8:11" s="11" customFormat="1" x14ac:dyDescent="0.3">
      <c r="H242" s="8"/>
      <c r="I242" s="18"/>
      <c r="K242" s="6"/>
    </row>
    <row r="243" spans="8:11" s="11" customFormat="1" x14ac:dyDescent="0.3">
      <c r="H243" s="8"/>
      <c r="I243" s="18"/>
      <c r="K243" s="6"/>
    </row>
    <row r="244" spans="8:11" s="11" customFormat="1" x14ac:dyDescent="0.3">
      <c r="H244" s="8"/>
      <c r="I244" s="18"/>
      <c r="K244" s="6"/>
    </row>
    <row r="245" spans="8:11" s="11" customFormat="1" x14ac:dyDescent="0.3">
      <c r="H245" s="8"/>
      <c r="I245" s="18"/>
      <c r="K245" s="6"/>
    </row>
    <row r="246" spans="8:11" s="11" customFormat="1" x14ac:dyDescent="0.3">
      <c r="H246" s="8"/>
      <c r="I246" s="18"/>
      <c r="K246" s="6"/>
    </row>
    <row r="247" spans="8:11" s="11" customFormat="1" x14ac:dyDescent="0.3">
      <c r="H247" s="8"/>
      <c r="I247" s="18"/>
      <c r="K247" s="6"/>
    </row>
    <row r="248" spans="8:11" s="11" customFormat="1" x14ac:dyDescent="0.3">
      <c r="H248" s="8"/>
      <c r="I248" s="18"/>
      <c r="K248" s="6"/>
    </row>
    <row r="249" spans="8:11" s="11" customFormat="1" x14ac:dyDescent="0.3">
      <c r="H249" s="8"/>
      <c r="I249" s="18"/>
      <c r="K249" s="6"/>
    </row>
    <row r="250" spans="8:11" s="11" customFormat="1" x14ac:dyDescent="0.3">
      <c r="H250" s="8"/>
      <c r="I250" s="18"/>
      <c r="K250" s="6"/>
    </row>
    <row r="251" spans="8:11" s="11" customFormat="1" x14ac:dyDescent="0.3">
      <c r="H251" s="8"/>
      <c r="I251" s="18"/>
      <c r="K251" s="6"/>
    </row>
    <row r="252" spans="8:11" s="11" customFormat="1" x14ac:dyDescent="0.3">
      <c r="H252" s="8"/>
      <c r="I252" s="18"/>
      <c r="K252" s="6"/>
    </row>
    <row r="253" spans="8:11" s="11" customFormat="1" x14ac:dyDescent="0.3">
      <c r="H253" s="8"/>
      <c r="I253" s="18"/>
      <c r="K253" s="6"/>
    </row>
    <row r="254" spans="8:11" s="11" customFormat="1" x14ac:dyDescent="0.3">
      <c r="H254" s="8"/>
      <c r="I254" s="18"/>
      <c r="K254" s="6"/>
    </row>
    <row r="255" spans="8:11" s="11" customFormat="1" x14ac:dyDescent="0.3">
      <c r="H255" s="8"/>
      <c r="I255" s="18"/>
      <c r="K255" s="6"/>
    </row>
    <row r="256" spans="8:11" s="11" customFormat="1" x14ac:dyDescent="0.3">
      <c r="H256" s="8"/>
      <c r="I256" s="18"/>
      <c r="K256" s="6"/>
    </row>
    <row r="257" spans="8:11" s="11" customFormat="1" x14ac:dyDescent="0.3">
      <c r="H257" s="8"/>
      <c r="I257" s="18"/>
      <c r="K257" s="6"/>
    </row>
    <row r="258" spans="8:11" s="11" customFormat="1" x14ac:dyDescent="0.3">
      <c r="H258" s="8"/>
      <c r="I258" s="18"/>
      <c r="K258" s="6"/>
    </row>
    <row r="259" spans="8:11" s="11" customFormat="1" x14ac:dyDescent="0.3">
      <c r="H259" s="8"/>
      <c r="I259" s="18"/>
      <c r="K259" s="6"/>
    </row>
    <row r="260" spans="8:11" s="11" customFormat="1" x14ac:dyDescent="0.3">
      <c r="H260" s="8"/>
      <c r="I260" s="18"/>
      <c r="K260" s="6"/>
    </row>
    <row r="261" spans="8:11" s="11" customFormat="1" x14ac:dyDescent="0.3">
      <c r="H261" s="8"/>
      <c r="I261" s="18"/>
      <c r="K261" s="6"/>
    </row>
    <row r="262" spans="8:11" s="11" customFormat="1" x14ac:dyDescent="0.3">
      <c r="H262" s="8"/>
      <c r="I262" s="18"/>
      <c r="K262" s="6"/>
    </row>
    <row r="263" spans="8:11" s="11" customFormat="1" x14ac:dyDescent="0.3">
      <c r="H263" s="8"/>
      <c r="I263" s="18"/>
      <c r="K263" s="6"/>
    </row>
    <row r="264" spans="8:11" s="11" customFormat="1" x14ac:dyDescent="0.3">
      <c r="H264" s="8"/>
      <c r="I264" s="18"/>
      <c r="K264" s="6"/>
    </row>
    <row r="265" spans="8:11" s="11" customFormat="1" x14ac:dyDescent="0.3">
      <c r="H265" s="8"/>
      <c r="I265" s="18"/>
      <c r="K265" s="6"/>
    </row>
    <row r="266" spans="8:11" s="11" customFormat="1" x14ac:dyDescent="0.3">
      <c r="H266" s="8"/>
      <c r="I266" s="18"/>
      <c r="K266" s="6"/>
    </row>
    <row r="267" spans="8:11" s="11" customFormat="1" x14ac:dyDescent="0.3">
      <c r="H267" s="8"/>
      <c r="I267" s="18"/>
      <c r="K267" s="6"/>
    </row>
    <row r="268" spans="8:11" s="11" customFormat="1" x14ac:dyDescent="0.3">
      <c r="H268" s="8"/>
      <c r="I268" s="18"/>
      <c r="K268" s="6"/>
    </row>
    <row r="269" spans="8:11" s="11" customFormat="1" x14ac:dyDescent="0.3">
      <c r="H269" s="8"/>
      <c r="I269" s="18"/>
      <c r="K269" s="6"/>
    </row>
    <row r="270" spans="8:11" s="11" customFormat="1" x14ac:dyDescent="0.3">
      <c r="H270" s="8"/>
      <c r="I270" s="18"/>
      <c r="K270" s="6"/>
    </row>
    <row r="271" spans="8:11" s="11" customFormat="1" x14ac:dyDescent="0.3">
      <c r="H271" s="8"/>
      <c r="I271" s="18"/>
      <c r="K271" s="6"/>
    </row>
    <row r="272" spans="8:11" s="11" customFormat="1" x14ac:dyDescent="0.3">
      <c r="H272" s="8"/>
      <c r="I272" s="18"/>
      <c r="K272" s="6"/>
    </row>
    <row r="273" spans="8:11" s="11" customFormat="1" x14ac:dyDescent="0.3">
      <c r="H273" s="8"/>
      <c r="I273" s="18"/>
      <c r="K273" s="6"/>
    </row>
    <row r="274" spans="8:11" s="11" customFormat="1" x14ac:dyDescent="0.3">
      <c r="H274" s="8"/>
      <c r="I274" s="18"/>
      <c r="K274" s="6"/>
    </row>
    <row r="275" spans="8:11" s="11" customFormat="1" x14ac:dyDescent="0.3">
      <c r="H275" s="8"/>
      <c r="I275" s="18"/>
      <c r="K275" s="6"/>
    </row>
    <row r="276" spans="8:11" s="11" customFormat="1" x14ac:dyDescent="0.3">
      <c r="H276" s="8"/>
      <c r="I276" s="18"/>
      <c r="K276" s="6"/>
    </row>
    <row r="277" spans="8:11" s="11" customFormat="1" x14ac:dyDescent="0.3">
      <c r="H277" s="8"/>
      <c r="I277" s="18"/>
      <c r="K277" s="6"/>
    </row>
    <row r="278" spans="8:11" s="11" customFormat="1" x14ac:dyDescent="0.3">
      <c r="H278" s="8"/>
      <c r="I278" s="18"/>
      <c r="K278" s="6"/>
    </row>
    <row r="279" spans="8:11" s="11" customFormat="1" x14ac:dyDescent="0.3">
      <c r="H279" s="8"/>
      <c r="I279" s="18"/>
      <c r="K279" s="6"/>
    </row>
    <row r="280" spans="8:11" s="11" customFormat="1" x14ac:dyDescent="0.3">
      <c r="H280" s="8"/>
      <c r="I280" s="18"/>
      <c r="K280" s="6"/>
    </row>
    <row r="281" spans="8:11" s="11" customFormat="1" x14ac:dyDescent="0.3">
      <c r="H281" s="8"/>
      <c r="I281" s="18"/>
      <c r="K281" s="6"/>
    </row>
    <row r="282" spans="8:11" s="11" customFormat="1" x14ac:dyDescent="0.3">
      <c r="H282" s="8"/>
      <c r="I282" s="18"/>
      <c r="K282" s="6"/>
    </row>
    <row r="283" spans="8:11" s="11" customFormat="1" x14ac:dyDescent="0.3">
      <c r="H283" s="8"/>
      <c r="I283" s="18"/>
      <c r="K283" s="6"/>
    </row>
    <row r="284" spans="8:11" s="11" customFormat="1" x14ac:dyDescent="0.3">
      <c r="H284" s="8"/>
      <c r="I284" s="18"/>
      <c r="K284" s="6"/>
    </row>
    <row r="285" spans="8:11" s="11" customFormat="1" x14ac:dyDescent="0.3">
      <c r="H285" s="8"/>
      <c r="I285" s="18"/>
      <c r="K285" s="6"/>
    </row>
    <row r="286" spans="8:11" s="11" customFormat="1" x14ac:dyDescent="0.3">
      <c r="H286" s="8"/>
      <c r="I286" s="18"/>
      <c r="K286" s="6"/>
    </row>
    <row r="287" spans="8:11" s="11" customFormat="1" x14ac:dyDescent="0.3">
      <c r="H287" s="8"/>
      <c r="I287" s="18"/>
      <c r="K287" s="6"/>
    </row>
    <row r="288" spans="8:11" s="11" customFormat="1" x14ac:dyDescent="0.3">
      <c r="H288" s="8"/>
      <c r="I288" s="18"/>
      <c r="K288" s="6"/>
    </row>
    <row r="289" spans="8:11" s="11" customFormat="1" x14ac:dyDescent="0.3">
      <c r="H289" s="8"/>
      <c r="I289" s="18"/>
      <c r="K289" s="6"/>
    </row>
    <row r="290" spans="8:11" s="11" customFormat="1" x14ac:dyDescent="0.3">
      <c r="H290" s="8"/>
      <c r="I290" s="18"/>
      <c r="K290" s="6"/>
    </row>
    <row r="291" spans="8:11" s="11" customFormat="1" x14ac:dyDescent="0.3">
      <c r="H291" s="8"/>
      <c r="I291" s="18"/>
      <c r="K291" s="6"/>
    </row>
    <row r="292" spans="8:11" s="11" customFormat="1" x14ac:dyDescent="0.3">
      <c r="H292" s="8"/>
      <c r="I292" s="18"/>
      <c r="K292" s="6"/>
    </row>
    <row r="293" spans="8:11" s="11" customFormat="1" x14ac:dyDescent="0.3">
      <c r="H293" s="8"/>
      <c r="I293" s="18"/>
      <c r="K293" s="6"/>
    </row>
    <row r="294" spans="8:11" s="11" customFormat="1" x14ac:dyDescent="0.3">
      <c r="H294" s="8"/>
      <c r="I294" s="18"/>
      <c r="K294" s="6"/>
    </row>
    <row r="295" spans="8:11" s="11" customFormat="1" x14ac:dyDescent="0.3">
      <c r="H295" s="8"/>
      <c r="I295" s="18"/>
      <c r="K295" s="6"/>
    </row>
    <row r="296" spans="8:11" s="11" customFormat="1" x14ac:dyDescent="0.3">
      <c r="H296" s="8"/>
      <c r="I296" s="18"/>
      <c r="K296" s="6"/>
    </row>
    <row r="297" spans="8:11" s="11" customFormat="1" x14ac:dyDescent="0.3">
      <c r="H297" s="8"/>
      <c r="I297" s="18"/>
      <c r="K297" s="6"/>
    </row>
    <row r="298" spans="8:11" s="11" customFormat="1" x14ac:dyDescent="0.3">
      <c r="H298" s="8"/>
      <c r="I298" s="18"/>
      <c r="K298" s="6"/>
    </row>
    <row r="299" spans="8:11" s="11" customFormat="1" x14ac:dyDescent="0.3">
      <c r="H299" s="8"/>
      <c r="I299" s="18"/>
      <c r="K299" s="6"/>
    </row>
    <row r="300" spans="8:11" s="11" customFormat="1" x14ac:dyDescent="0.3">
      <c r="H300" s="8"/>
      <c r="I300" s="18"/>
      <c r="K300" s="6"/>
    </row>
    <row r="301" spans="8:11" s="11" customFormat="1" x14ac:dyDescent="0.3">
      <c r="H301" s="8"/>
      <c r="I301" s="18"/>
      <c r="K301" s="6"/>
    </row>
    <row r="302" spans="8:11" s="11" customFormat="1" x14ac:dyDescent="0.3">
      <c r="H302" s="8"/>
      <c r="I302" s="18"/>
      <c r="K302" s="6"/>
    </row>
    <row r="303" spans="8:11" s="11" customFormat="1" x14ac:dyDescent="0.3">
      <c r="H303" s="8"/>
      <c r="I303" s="18"/>
      <c r="K303" s="6"/>
    </row>
    <row r="304" spans="8:11" s="11" customFormat="1" x14ac:dyDescent="0.3">
      <c r="H304" s="8"/>
      <c r="I304" s="18"/>
      <c r="K304" s="6"/>
    </row>
    <row r="305" spans="8:11" s="11" customFormat="1" x14ac:dyDescent="0.3">
      <c r="H305" s="8"/>
      <c r="I305" s="18"/>
      <c r="K305" s="6"/>
    </row>
    <row r="306" spans="8:11" s="11" customFormat="1" x14ac:dyDescent="0.3">
      <c r="H306" s="8"/>
      <c r="I306" s="18"/>
      <c r="K306" s="6"/>
    </row>
    <row r="307" spans="8:11" s="11" customFormat="1" x14ac:dyDescent="0.3">
      <c r="H307" s="8"/>
      <c r="I307" s="18"/>
      <c r="K307" s="6"/>
    </row>
    <row r="308" spans="8:11" s="11" customFormat="1" x14ac:dyDescent="0.3">
      <c r="H308" s="8"/>
      <c r="I308" s="18"/>
      <c r="K308" s="6"/>
    </row>
    <row r="309" spans="8:11" s="11" customFormat="1" x14ac:dyDescent="0.3">
      <c r="H309" s="8"/>
      <c r="I309" s="18"/>
      <c r="K309" s="6"/>
    </row>
    <row r="310" spans="8:11" s="11" customFormat="1" x14ac:dyDescent="0.3">
      <c r="H310" s="8"/>
      <c r="I310" s="18"/>
      <c r="K310" s="6"/>
    </row>
    <row r="311" spans="8:11" s="11" customFormat="1" x14ac:dyDescent="0.3">
      <c r="H311" s="8"/>
      <c r="I311" s="18"/>
      <c r="K311" s="6"/>
    </row>
    <row r="312" spans="8:11" s="11" customFormat="1" x14ac:dyDescent="0.3">
      <c r="H312" s="8"/>
      <c r="I312" s="18"/>
      <c r="K312" s="6"/>
    </row>
    <row r="313" spans="8:11" s="11" customFormat="1" x14ac:dyDescent="0.3">
      <c r="H313" s="8"/>
      <c r="I313" s="18"/>
      <c r="K313" s="6"/>
    </row>
    <row r="314" spans="8:11" s="11" customFormat="1" x14ac:dyDescent="0.3">
      <c r="H314" s="8"/>
      <c r="I314" s="18"/>
      <c r="K314" s="6"/>
    </row>
    <row r="315" spans="8:11" s="11" customFormat="1" x14ac:dyDescent="0.3">
      <c r="H315" s="8"/>
      <c r="I315" s="18"/>
      <c r="K315" s="6"/>
    </row>
    <row r="316" spans="8:11" s="11" customFormat="1" x14ac:dyDescent="0.3">
      <c r="H316" s="8"/>
      <c r="I316" s="18"/>
      <c r="K316" s="6"/>
    </row>
    <row r="317" spans="8:11" s="11" customFormat="1" x14ac:dyDescent="0.3">
      <c r="H317" s="8"/>
      <c r="I317" s="18"/>
      <c r="K317" s="6"/>
    </row>
    <row r="318" spans="8:11" s="11" customFormat="1" x14ac:dyDescent="0.3">
      <c r="H318" s="8"/>
      <c r="I318" s="18"/>
      <c r="K318" s="6"/>
    </row>
    <row r="319" spans="8:11" s="11" customFormat="1" x14ac:dyDescent="0.3">
      <c r="H319" s="8"/>
      <c r="I319" s="18"/>
      <c r="K319" s="6"/>
    </row>
    <row r="320" spans="8:11" s="11" customFormat="1" x14ac:dyDescent="0.3">
      <c r="H320" s="8"/>
      <c r="I320" s="18"/>
      <c r="K320" s="6"/>
    </row>
    <row r="321" spans="8:11" s="11" customFormat="1" x14ac:dyDescent="0.3">
      <c r="H321" s="8"/>
      <c r="I321" s="18"/>
      <c r="K321" s="6"/>
    </row>
    <row r="322" spans="8:11" s="11" customFormat="1" x14ac:dyDescent="0.3">
      <c r="H322" s="8"/>
      <c r="I322" s="18"/>
      <c r="K322" s="6"/>
    </row>
    <row r="323" spans="8:11" s="11" customFormat="1" x14ac:dyDescent="0.3">
      <c r="H323" s="8"/>
      <c r="I323" s="18"/>
      <c r="K323" s="6"/>
    </row>
    <row r="324" spans="8:11" s="11" customFormat="1" x14ac:dyDescent="0.3">
      <c r="H324" s="8"/>
      <c r="I324" s="18"/>
      <c r="K324" s="6"/>
    </row>
    <row r="325" spans="8:11" s="11" customFormat="1" x14ac:dyDescent="0.3">
      <c r="H325" s="8"/>
      <c r="I325" s="18"/>
      <c r="K325" s="6"/>
    </row>
    <row r="326" spans="8:11" s="11" customFormat="1" x14ac:dyDescent="0.3">
      <c r="H326" s="8"/>
      <c r="I326" s="18"/>
      <c r="K326" s="6"/>
    </row>
    <row r="327" spans="8:11" s="11" customFormat="1" x14ac:dyDescent="0.3">
      <c r="H327" s="8"/>
      <c r="I327" s="18"/>
      <c r="K327" s="6"/>
    </row>
    <row r="328" spans="8:11" s="11" customFormat="1" x14ac:dyDescent="0.3">
      <c r="H328" s="8"/>
      <c r="I328" s="18"/>
      <c r="K328" s="6"/>
    </row>
    <row r="329" spans="8:11" s="11" customFormat="1" x14ac:dyDescent="0.3">
      <c r="H329" s="8"/>
      <c r="I329" s="18"/>
      <c r="K329" s="6"/>
    </row>
    <row r="330" spans="8:11" s="11" customFormat="1" x14ac:dyDescent="0.3">
      <c r="H330" s="8"/>
      <c r="I330" s="18"/>
      <c r="K330" s="6"/>
    </row>
    <row r="331" spans="8:11" s="11" customFormat="1" x14ac:dyDescent="0.3">
      <c r="H331" s="8"/>
      <c r="I331" s="18"/>
      <c r="K331" s="6"/>
    </row>
    <row r="332" spans="8:11" s="11" customFormat="1" x14ac:dyDescent="0.3">
      <c r="H332" s="8"/>
      <c r="I332" s="18"/>
      <c r="K332" s="6"/>
    </row>
    <row r="333" spans="8:11" s="11" customFormat="1" x14ac:dyDescent="0.3">
      <c r="H333" s="8"/>
      <c r="I333" s="18"/>
      <c r="K333" s="6"/>
    </row>
    <row r="334" spans="8:11" s="11" customFormat="1" x14ac:dyDescent="0.3">
      <c r="H334" s="8"/>
      <c r="I334" s="18"/>
      <c r="K334" s="6"/>
    </row>
    <row r="335" spans="8:11" s="11" customFormat="1" x14ac:dyDescent="0.3">
      <c r="H335" s="8"/>
      <c r="I335" s="18"/>
      <c r="K335" s="6"/>
    </row>
    <row r="336" spans="8:11" s="11" customFormat="1" x14ac:dyDescent="0.3">
      <c r="H336" s="8"/>
      <c r="I336" s="18"/>
      <c r="K336" s="6"/>
    </row>
    <row r="337" spans="8:11" s="11" customFormat="1" x14ac:dyDescent="0.3">
      <c r="H337" s="8"/>
      <c r="I337" s="18"/>
      <c r="K337" s="6"/>
    </row>
    <row r="338" spans="8:11" s="11" customFormat="1" x14ac:dyDescent="0.3">
      <c r="H338" s="8"/>
      <c r="I338" s="18"/>
      <c r="K338" s="6"/>
    </row>
    <row r="339" spans="8:11" s="11" customFormat="1" x14ac:dyDescent="0.3">
      <c r="H339" s="8"/>
      <c r="I339" s="18"/>
      <c r="K339" s="6"/>
    </row>
    <row r="340" spans="8:11" s="11" customFormat="1" x14ac:dyDescent="0.3">
      <c r="H340" s="8"/>
      <c r="I340" s="18"/>
      <c r="K340" s="6"/>
    </row>
    <row r="341" spans="8:11" s="11" customFormat="1" x14ac:dyDescent="0.3">
      <c r="H341" s="8"/>
      <c r="I341" s="18"/>
      <c r="K341" s="6"/>
    </row>
    <row r="342" spans="8:11" s="11" customFormat="1" x14ac:dyDescent="0.3">
      <c r="H342" s="8"/>
      <c r="I342" s="18"/>
      <c r="K342" s="6"/>
    </row>
    <row r="343" spans="8:11" x14ac:dyDescent="0.3">
      <c r="I343" s="18"/>
    </row>
  </sheetData>
  <mergeCells count="4">
    <mergeCell ref="L11:M11"/>
    <mergeCell ref="O10:P10"/>
    <mergeCell ref="A1:F1"/>
    <mergeCell ref="L1:Q1"/>
  </mergeCells>
  <pageMargins left="0.25" right="0.25" top="0.75" bottom="0.75" header="0.3" footer="0.3"/>
  <pageSetup paperSize="9" scale="73" fitToHeight="0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2263A-7EA4-4612-99B5-75205B0EA01B}">
  <sheetPr codeName="Sheet12">
    <pageSetUpPr fitToPage="1"/>
  </sheetPr>
  <dimension ref="A1:R342"/>
  <sheetViews>
    <sheetView rightToLeft="1" zoomScale="115" zoomScaleNormal="115" workbookViewId="0">
      <pane ySplit="13" topLeftCell="A42" activePane="bottomLeft" state="frozen"/>
      <selection pane="bottomLeft" activeCell="I44" sqref="I44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7.88671875" style="2" bestFit="1" customWidth="1"/>
    <col min="4" max="4" width="9.109375" style="2" bestFit="1" customWidth="1"/>
    <col min="5" max="5" width="5.109375" style="2" bestFit="1" customWidth="1"/>
    <col min="6" max="6" width="10.44140625" style="2" bestFit="1" customWidth="1"/>
    <col min="7" max="7" width="2.44140625" style="2" customWidth="1"/>
    <col min="8" max="8" width="14.109375" style="8" bestFit="1" customWidth="1"/>
    <col min="9" max="9" width="10.88671875" style="7" bestFit="1" customWidth="1"/>
    <col min="10" max="10" width="8.5546875" style="11" bestFit="1" customWidth="1"/>
    <col min="11" max="11" width="8.5546875" style="37" customWidth="1"/>
    <col min="12" max="12" width="7" style="6" customWidth="1"/>
    <col min="13" max="13" width="9.44140625" style="2" bestFit="1" customWidth="1"/>
    <col min="14" max="14" width="5.109375" style="2" bestFit="1" customWidth="1"/>
    <col min="15" max="15" width="8.5546875" style="2" bestFit="1" customWidth="1"/>
    <col min="16" max="16" width="9.109375" style="2" bestFit="1" customWidth="1"/>
    <col min="17" max="17" width="5.109375" style="2" bestFit="1" customWidth="1"/>
    <col min="18" max="18" width="11.109375" style="2" bestFit="1" customWidth="1"/>
    <col min="19" max="16384" width="8.88671875" style="2"/>
  </cols>
  <sheetData>
    <row r="1" spans="1:18" x14ac:dyDescent="0.3">
      <c r="A1" s="65" t="s">
        <v>29</v>
      </c>
      <c r="B1" s="65"/>
      <c r="C1" s="65"/>
      <c r="D1" s="65"/>
      <c r="E1" s="65"/>
      <c r="F1" s="65"/>
      <c r="H1" s="8" t="s">
        <v>38</v>
      </c>
      <c r="I1" s="7">
        <f>SUM(Table134567810111213[اللبناني])</f>
        <v>-1860</v>
      </c>
      <c r="J1" s="7">
        <f>SUM(Table134567810111213[الدولار])</f>
        <v>898</v>
      </c>
      <c r="K1" s="34"/>
      <c r="M1" s="65" t="s">
        <v>33</v>
      </c>
      <c r="N1" s="65"/>
      <c r="O1" s="65"/>
      <c r="P1" s="65"/>
      <c r="Q1" s="65"/>
      <c r="R1" s="65"/>
    </row>
    <row r="2" spans="1:18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35" t="s">
        <v>172</v>
      </c>
      <c r="L2" s="4"/>
      <c r="M2" s="1" t="s">
        <v>2</v>
      </c>
      <c r="N2" s="1" t="s">
        <v>0</v>
      </c>
      <c r="O2" s="1" t="s">
        <v>1</v>
      </c>
      <c r="P2" s="1" t="s">
        <v>3</v>
      </c>
      <c r="Q2" s="1" t="s">
        <v>0</v>
      </c>
      <c r="R2" s="1" t="s">
        <v>1</v>
      </c>
    </row>
    <row r="3" spans="1:18" x14ac:dyDescent="0.3">
      <c r="A3" s="15">
        <v>1</v>
      </c>
      <c r="C3" s="21">
        <f>A3*B3</f>
        <v>0</v>
      </c>
      <c r="D3" s="17">
        <v>5</v>
      </c>
      <c r="E3" s="2">
        <v>86</v>
      </c>
      <c r="F3" s="23">
        <f>D3*E3</f>
        <v>430</v>
      </c>
      <c r="G3" s="5"/>
      <c r="H3" s="10" t="s">
        <v>161</v>
      </c>
      <c r="I3" s="20"/>
      <c r="J3" s="11">
        <v>200</v>
      </c>
      <c r="K3" s="36">
        <f>Table134567810111213[[#This Row],[الدولار]]+(Table134567810111213[[#This Row],[اللبناني]]/90)</f>
        <v>200</v>
      </c>
      <c r="M3" s="15">
        <v>1</v>
      </c>
      <c r="N3" s="2">
        <v>5</v>
      </c>
      <c r="O3" s="21">
        <f>M3*N3</f>
        <v>5</v>
      </c>
      <c r="P3" s="17">
        <v>5</v>
      </c>
      <c r="Q3" s="2">
        <v>84</v>
      </c>
      <c r="R3" s="23">
        <f>P3*Q3</f>
        <v>420</v>
      </c>
    </row>
    <row r="4" spans="1:18" x14ac:dyDescent="0.3">
      <c r="A4" s="15">
        <v>5</v>
      </c>
      <c r="C4" s="21">
        <f t="shared" ref="C4:C8" si="0">A4*B4</f>
        <v>0</v>
      </c>
      <c r="D4" s="17">
        <v>10</v>
      </c>
      <c r="E4" s="2">
        <v>30</v>
      </c>
      <c r="F4" s="23">
        <f t="shared" ref="F4:F7" si="1">D4*E4</f>
        <v>300</v>
      </c>
      <c r="G4" s="5"/>
      <c r="H4" s="10" t="s">
        <v>161</v>
      </c>
      <c r="I4" s="20">
        <v>120</v>
      </c>
      <c r="J4" s="11">
        <v>5</v>
      </c>
      <c r="K4" s="36">
        <f>Table134567810111213[[#This Row],[الدولار]]+(Table134567810111213[[#This Row],[اللبناني]]/90)</f>
        <v>6.333333333333333</v>
      </c>
      <c r="M4" s="15">
        <v>5</v>
      </c>
      <c r="N4" s="2">
        <v>1</v>
      </c>
      <c r="O4" s="21">
        <f t="shared" ref="O4:O8" si="2">M4*N4</f>
        <v>5</v>
      </c>
      <c r="P4" s="17">
        <v>10</v>
      </c>
      <c r="Q4" s="2">
        <v>17</v>
      </c>
      <c r="R4" s="23">
        <f t="shared" ref="R4:R7" si="3">P4*Q4</f>
        <v>170</v>
      </c>
    </row>
    <row r="5" spans="1:18" x14ac:dyDescent="0.3">
      <c r="A5" s="15">
        <v>10</v>
      </c>
      <c r="B5" s="2">
        <v>35</v>
      </c>
      <c r="C5" s="21">
        <f t="shared" si="0"/>
        <v>350</v>
      </c>
      <c r="D5" s="17">
        <v>20</v>
      </c>
      <c r="E5" s="2">
        <v>1</v>
      </c>
      <c r="F5" s="23">
        <f t="shared" si="1"/>
        <v>20</v>
      </c>
      <c r="G5" s="5"/>
      <c r="H5" s="10" t="s">
        <v>162</v>
      </c>
      <c r="I5" s="20">
        <v>200</v>
      </c>
      <c r="K5" s="36">
        <f>Table134567810111213[[#This Row],[الدولار]]+(Table134567810111213[[#This Row],[اللبناني]]/90)</f>
        <v>2.2222222222222223</v>
      </c>
      <c r="M5" s="15">
        <v>10</v>
      </c>
      <c r="N5" s="2">
        <v>42</v>
      </c>
      <c r="O5" s="21">
        <f t="shared" si="2"/>
        <v>420</v>
      </c>
      <c r="P5" s="17">
        <v>20</v>
      </c>
      <c r="Q5" s="2">
        <v>4</v>
      </c>
      <c r="R5" s="23">
        <f t="shared" si="3"/>
        <v>80</v>
      </c>
    </row>
    <row r="6" spans="1:18" x14ac:dyDescent="0.3">
      <c r="A6" s="15">
        <v>20</v>
      </c>
      <c r="B6" s="2">
        <v>16</v>
      </c>
      <c r="C6" s="21">
        <f t="shared" si="0"/>
        <v>320</v>
      </c>
      <c r="D6" s="17">
        <v>50</v>
      </c>
      <c r="F6" s="23">
        <f t="shared" si="1"/>
        <v>0</v>
      </c>
      <c r="G6" s="5"/>
      <c r="H6" s="10" t="s">
        <v>168</v>
      </c>
      <c r="I6" s="20">
        <v>-315</v>
      </c>
      <c r="J6" s="11">
        <v>-15</v>
      </c>
      <c r="K6" s="36">
        <f>Table134567810111213[[#This Row],[الدولار]]+(Table134567810111213[[#This Row],[اللبناني]]/90)</f>
        <v>-18.5</v>
      </c>
      <c r="M6" s="15">
        <v>20</v>
      </c>
      <c r="N6" s="2">
        <v>14</v>
      </c>
      <c r="O6" s="21">
        <f t="shared" si="2"/>
        <v>280</v>
      </c>
      <c r="P6" s="17">
        <v>50</v>
      </c>
      <c r="Q6" s="2">
        <v>1</v>
      </c>
      <c r="R6" s="23">
        <f t="shared" si="3"/>
        <v>50</v>
      </c>
    </row>
    <row r="7" spans="1:18" x14ac:dyDescent="0.3">
      <c r="A7" s="15">
        <v>50</v>
      </c>
      <c r="B7" s="2">
        <v>2</v>
      </c>
      <c r="C7" s="21">
        <f t="shared" si="0"/>
        <v>100</v>
      </c>
      <c r="D7" s="17">
        <v>100</v>
      </c>
      <c r="E7" s="2">
        <v>26</v>
      </c>
      <c r="F7" s="23">
        <f t="shared" si="1"/>
        <v>2600</v>
      </c>
      <c r="G7" s="5"/>
      <c r="H7" s="33" t="s">
        <v>101</v>
      </c>
      <c r="I7" s="20">
        <v>-150</v>
      </c>
      <c r="J7" s="11">
        <v>5</v>
      </c>
      <c r="K7" s="36">
        <f>Table134567810111213[[#This Row],[الدولار]]+(Table134567810111213[[#This Row],[اللبناني]]/90)</f>
        <v>3.333333333333333</v>
      </c>
      <c r="M7" s="15">
        <v>50</v>
      </c>
      <c r="N7" s="2">
        <v>5</v>
      </c>
      <c r="O7" s="21">
        <f t="shared" si="2"/>
        <v>250</v>
      </c>
      <c r="P7" s="17">
        <v>100</v>
      </c>
      <c r="Q7" s="2">
        <v>7</v>
      </c>
      <c r="R7" s="23">
        <f t="shared" si="3"/>
        <v>700</v>
      </c>
    </row>
    <row r="8" spans="1:18" x14ac:dyDescent="0.3">
      <c r="A8" s="15">
        <v>100</v>
      </c>
      <c r="B8" s="2">
        <v>4</v>
      </c>
      <c r="C8" s="21">
        <f t="shared" si="0"/>
        <v>400</v>
      </c>
      <c r="D8" s="1" t="s">
        <v>1</v>
      </c>
      <c r="E8" s="1"/>
      <c r="F8" s="19">
        <f>SUM(F3:F7)</f>
        <v>3350</v>
      </c>
      <c r="G8" s="5"/>
      <c r="H8" s="10" t="s">
        <v>163</v>
      </c>
      <c r="I8" s="20"/>
      <c r="J8" s="11">
        <v>60</v>
      </c>
      <c r="K8" s="36">
        <f>Table134567810111213[[#This Row],[الدولار]]+(Table134567810111213[[#This Row],[اللبناني]]/90)</f>
        <v>60</v>
      </c>
      <c r="M8" s="15">
        <v>100</v>
      </c>
      <c r="N8" s="2">
        <v>11</v>
      </c>
      <c r="O8" s="21">
        <f t="shared" si="2"/>
        <v>1100</v>
      </c>
      <c r="P8" s="1" t="s">
        <v>1</v>
      </c>
      <c r="Q8" s="1"/>
      <c r="R8" s="19">
        <f>SUM(R3:R7)</f>
        <v>1420</v>
      </c>
    </row>
    <row r="9" spans="1:18" x14ac:dyDescent="0.3">
      <c r="A9" s="1" t="s">
        <v>1</v>
      </c>
      <c r="B9" s="1"/>
      <c r="C9" s="22">
        <f>SUM(C3:C8)</f>
        <v>1170</v>
      </c>
      <c r="H9" s="10" t="s">
        <v>164</v>
      </c>
      <c r="I9" s="20">
        <v>65</v>
      </c>
      <c r="K9" s="36">
        <f>Table134567810111213[[#This Row],[الدولار]]+(Table134567810111213[[#This Row],[اللبناني]]/90)</f>
        <v>0.72222222222222221</v>
      </c>
      <c r="M9" s="1" t="s">
        <v>1</v>
      </c>
      <c r="N9" s="1"/>
      <c r="O9" s="22">
        <f>SUM(O3:O8)</f>
        <v>2060</v>
      </c>
      <c r="R9" s="20"/>
    </row>
    <row r="10" spans="1:18" x14ac:dyDescent="0.3">
      <c r="H10" s="10" t="s">
        <v>165</v>
      </c>
      <c r="I10" s="20"/>
      <c r="J10" s="11">
        <v>25</v>
      </c>
      <c r="K10" s="36">
        <f>Table134567810111213[[#This Row],[الدولار]]+(Table134567810111213[[#This Row],[اللبناني]]/90)</f>
        <v>25</v>
      </c>
      <c r="O10" s="27"/>
      <c r="P10" s="66" t="s">
        <v>40</v>
      </c>
      <c r="Q10" s="66"/>
      <c r="R10" s="24">
        <f>SUM(Table134567810111213[اللبناني])</f>
        <v>-1860</v>
      </c>
    </row>
    <row r="11" spans="1:18" x14ac:dyDescent="0.3">
      <c r="H11" s="10" t="s">
        <v>166</v>
      </c>
      <c r="I11" s="20">
        <v>100</v>
      </c>
      <c r="K11" s="36">
        <f>Table134567810111213[[#This Row],[الدولار]]+(Table134567810111213[[#This Row],[اللبناني]]/90)</f>
        <v>1.1111111111111112</v>
      </c>
      <c r="M11" s="66" t="s">
        <v>39</v>
      </c>
      <c r="N11" s="66"/>
      <c r="O11" s="12">
        <f>SUM(Table134567810111213[الدولار])</f>
        <v>898</v>
      </c>
      <c r="R11" s="20"/>
    </row>
    <row r="12" spans="1:18" x14ac:dyDescent="0.3">
      <c r="H12" s="10" t="s">
        <v>167</v>
      </c>
      <c r="I12" s="20">
        <v>310</v>
      </c>
      <c r="K12" s="36">
        <f>Table134567810111213[[#This Row],[الدولار]]+(Table134567810111213[[#This Row],[اللبناني]]/90)</f>
        <v>3.4444444444444446</v>
      </c>
      <c r="O12" s="27"/>
      <c r="P12" s="1" t="s">
        <v>27</v>
      </c>
      <c r="Q12" s="1"/>
      <c r="R12" s="24">
        <f>R8-R10-F8</f>
        <v>-70</v>
      </c>
    </row>
    <row r="13" spans="1:18" x14ac:dyDescent="0.3">
      <c r="C13" s="14"/>
      <c r="D13" s="14"/>
      <c r="F13" s="14"/>
      <c r="H13" s="10" t="s">
        <v>169</v>
      </c>
      <c r="I13" s="20">
        <v>30</v>
      </c>
      <c r="K13" s="36">
        <f>Table134567810111213[[#This Row],[الدولار]]+(Table134567810111213[[#This Row],[اللبناني]]/90)</f>
        <v>0.33333333333333331</v>
      </c>
      <c r="M13" s="1" t="s">
        <v>27</v>
      </c>
      <c r="N13" s="1"/>
      <c r="O13" s="12">
        <f>O9-O11-C9</f>
        <v>-8</v>
      </c>
    </row>
    <row r="14" spans="1:18" x14ac:dyDescent="0.3">
      <c r="C14" s="14"/>
      <c r="D14" s="14"/>
      <c r="F14" s="14"/>
      <c r="H14" s="10" t="s">
        <v>170</v>
      </c>
      <c r="I14" s="18">
        <v>200</v>
      </c>
      <c r="J14" s="11">
        <v>20</v>
      </c>
      <c r="K14" s="36">
        <f>Table134567810111213[[#This Row],[الدولار]]+(Table134567810111213[[#This Row],[اللبناني]]/90)</f>
        <v>22.222222222222221</v>
      </c>
    </row>
    <row r="15" spans="1:18" x14ac:dyDescent="0.3">
      <c r="C15" s="14"/>
      <c r="D15" s="14"/>
      <c r="F15" s="14"/>
      <c r="H15" s="10" t="s">
        <v>171</v>
      </c>
      <c r="I15" s="18">
        <v>-200</v>
      </c>
      <c r="J15" s="11">
        <v>5</v>
      </c>
      <c r="K15" s="36">
        <f>Table134567810111213[[#This Row],[الدولار]]+(Table134567810111213[[#This Row],[اللبناني]]/90)</f>
        <v>2.7777777777777777</v>
      </c>
    </row>
    <row r="16" spans="1:18" x14ac:dyDescent="0.3">
      <c r="C16" s="14"/>
      <c r="D16" s="14"/>
      <c r="F16" s="14"/>
      <c r="H16" s="10" t="s">
        <v>173</v>
      </c>
      <c r="I16" s="18">
        <v>150</v>
      </c>
      <c r="K16" s="36">
        <f>Table134567810111213[[#This Row],[الدولار]]+(Table134567810111213[[#This Row],[اللبناني]]/90)</f>
        <v>1.6666666666666667</v>
      </c>
    </row>
    <row r="17" spans="3:12" s="11" customFormat="1" x14ac:dyDescent="0.3">
      <c r="C17" s="14"/>
      <c r="D17" s="14"/>
      <c r="E17" s="2"/>
      <c r="F17" s="14"/>
      <c r="G17" s="2"/>
      <c r="H17" s="10" t="s">
        <v>174</v>
      </c>
      <c r="I17" s="20">
        <v>270</v>
      </c>
      <c r="K17" s="36">
        <f>Table134567810111213[[#This Row],[الدولار]]+(Table134567810111213[[#This Row],[اللبناني]]/90)</f>
        <v>3</v>
      </c>
      <c r="L17" s="6"/>
    </row>
    <row r="18" spans="3:12" s="11" customFormat="1" x14ac:dyDescent="0.3">
      <c r="C18" s="14"/>
      <c r="D18" s="2"/>
      <c r="E18" s="2"/>
      <c r="F18" s="14"/>
      <c r="G18" s="2"/>
      <c r="H18" s="10" t="s">
        <v>175</v>
      </c>
      <c r="I18" s="20">
        <v>-50</v>
      </c>
      <c r="J18" s="11">
        <v>10</v>
      </c>
      <c r="K18" s="36">
        <f>Table134567810111213[[#This Row],[الدولار]]+(Table134567810111213[[#This Row],[اللبناني]]/90)</f>
        <v>9.4444444444444446</v>
      </c>
      <c r="L18" s="6"/>
    </row>
    <row r="19" spans="3:12" s="11" customFormat="1" x14ac:dyDescent="0.3">
      <c r="C19" s="14"/>
      <c r="D19" s="2"/>
      <c r="E19" s="2"/>
      <c r="F19" s="2"/>
      <c r="G19" s="2"/>
      <c r="H19" s="10" t="s">
        <v>176</v>
      </c>
      <c r="I19" s="20"/>
      <c r="J19" s="11">
        <v>75</v>
      </c>
      <c r="K19" s="36">
        <f>Table134567810111213[[#This Row],[الدولار]]+(Table134567810111213[[#This Row],[اللبناني]]/90)</f>
        <v>75</v>
      </c>
      <c r="L19" s="6"/>
    </row>
    <row r="20" spans="3:12" s="11" customFormat="1" x14ac:dyDescent="0.3">
      <c r="C20" s="2"/>
      <c r="D20" s="2"/>
      <c r="E20" s="2"/>
      <c r="F20" s="6"/>
      <c r="G20" s="2"/>
      <c r="H20" s="10" t="s">
        <v>177</v>
      </c>
      <c r="I20" s="20">
        <v>100</v>
      </c>
      <c r="K20" s="36">
        <f>Table134567810111213[[#This Row],[الدولار]]+(Table134567810111213[[#This Row],[اللبناني]]/90)</f>
        <v>1.1111111111111112</v>
      </c>
      <c r="L20" s="6"/>
    </row>
    <row r="21" spans="3:12" s="11" customFormat="1" x14ac:dyDescent="0.3">
      <c r="C21" s="6"/>
      <c r="D21" s="2"/>
      <c r="E21" s="2"/>
      <c r="F21" s="2"/>
      <c r="G21" s="2"/>
      <c r="H21" s="10" t="s">
        <v>178</v>
      </c>
      <c r="I21" s="20">
        <v>-380</v>
      </c>
      <c r="J21" s="11">
        <v>5</v>
      </c>
      <c r="K21" s="36">
        <f>Table134567810111213[[#This Row],[الدولار]]+(Table134567810111213[[#This Row],[اللبناني]]/90)</f>
        <v>0.77777777777777768</v>
      </c>
      <c r="L21" s="6"/>
    </row>
    <row r="22" spans="3:12" s="11" customFormat="1" x14ac:dyDescent="0.3">
      <c r="C22" s="2"/>
      <c r="D22" s="2"/>
      <c r="E22" s="2"/>
      <c r="F22" s="6"/>
      <c r="G22" s="2"/>
      <c r="H22" s="10" t="s">
        <v>179</v>
      </c>
      <c r="I22" s="20">
        <v>-270</v>
      </c>
      <c r="J22" s="11">
        <v>10</v>
      </c>
      <c r="K22" s="36">
        <f>Table134567810111213[[#This Row],[الدولار]]+(Table134567810111213[[#This Row],[اللبناني]]/90)</f>
        <v>7</v>
      </c>
      <c r="L22" s="6"/>
    </row>
    <row r="23" spans="3:12" s="11" customFormat="1" x14ac:dyDescent="0.3">
      <c r="C23" s="6"/>
      <c r="D23" s="2"/>
      <c r="E23" s="2"/>
      <c r="F23" s="2"/>
      <c r="G23" s="2"/>
      <c r="H23" s="10" t="s">
        <v>180</v>
      </c>
      <c r="I23" s="20">
        <v>-180</v>
      </c>
      <c r="J23" s="11">
        <v>30</v>
      </c>
      <c r="K23" s="36">
        <f>Table134567810111213[[#This Row],[الدولار]]+(Table134567810111213[[#This Row],[اللبناني]]/90)</f>
        <v>28</v>
      </c>
      <c r="L23" s="6"/>
    </row>
    <row r="24" spans="3:12" s="11" customFormat="1" x14ac:dyDescent="0.3">
      <c r="C24" s="2"/>
      <c r="D24" s="2"/>
      <c r="E24" s="2"/>
      <c r="F24" s="2"/>
      <c r="G24" s="2"/>
      <c r="H24" s="10" t="s">
        <v>181</v>
      </c>
      <c r="I24" s="20">
        <v>-180</v>
      </c>
      <c r="J24" s="11">
        <v>10</v>
      </c>
      <c r="K24" s="36">
        <f>Table134567810111213[[#This Row],[الدولار]]+(Table134567810111213[[#This Row],[اللبناني]]/90)</f>
        <v>8</v>
      </c>
      <c r="L24" s="6"/>
    </row>
    <row r="25" spans="3:12" s="11" customFormat="1" x14ac:dyDescent="0.3">
      <c r="C25" s="2"/>
      <c r="D25" s="2"/>
      <c r="E25" s="2"/>
      <c r="F25" s="2"/>
      <c r="G25" s="2"/>
      <c r="H25" s="10" t="s">
        <v>182</v>
      </c>
      <c r="I25" s="20">
        <v>-400</v>
      </c>
      <c r="J25" s="11">
        <v>-375</v>
      </c>
      <c r="K25" s="36">
        <f>Table134567810111213[[#This Row],[الدولار]]+(Table134567810111213[[#This Row],[اللبناني]]/90)</f>
        <v>-379.44444444444446</v>
      </c>
      <c r="L25" s="6"/>
    </row>
    <row r="26" spans="3:12" s="11" customFormat="1" x14ac:dyDescent="0.3">
      <c r="C26" s="2"/>
      <c r="D26" s="2"/>
      <c r="E26" s="2"/>
      <c r="F26" s="2"/>
      <c r="G26" s="2"/>
      <c r="H26" s="10" t="s">
        <v>183</v>
      </c>
      <c r="I26" s="20"/>
      <c r="J26" s="11">
        <v>-25</v>
      </c>
      <c r="K26" s="36">
        <f>Table134567810111213[[#This Row],[الدولار]]+(Table134567810111213[[#This Row],[اللبناني]]/90)</f>
        <v>-25</v>
      </c>
      <c r="L26" s="6"/>
    </row>
    <row r="27" spans="3:12" s="11" customFormat="1" x14ac:dyDescent="0.3">
      <c r="C27" s="2"/>
      <c r="D27" s="2"/>
      <c r="E27" s="2"/>
      <c r="F27" s="2"/>
      <c r="G27" s="2"/>
      <c r="H27" s="10" t="s">
        <v>184</v>
      </c>
      <c r="I27" s="18">
        <v>300</v>
      </c>
      <c r="K27" s="36">
        <f>Table134567810111213[[#This Row],[الدولار]]+(Table134567810111213[[#This Row],[اللبناني]]/90)</f>
        <v>3.3333333333333335</v>
      </c>
      <c r="L27" s="6"/>
    </row>
    <row r="28" spans="3:12" s="11" customFormat="1" x14ac:dyDescent="0.3">
      <c r="C28" s="2"/>
      <c r="D28" s="2"/>
      <c r="E28" s="2"/>
      <c r="F28" s="2"/>
      <c r="G28" s="2"/>
      <c r="H28" s="8" t="s">
        <v>185</v>
      </c>
      <c r="I28" s="18">
        <v>-270</v>
      </c>
      <c r="J28" s="11">
        <v>10</v>
      </c>
      <c r="K28" s="36">
        <f>Table134567810111213[[#This Row],[الدولار]]+(Table134567810111213[[#This Row],[اللبناني]]/90)</f>
        <v>7</v>
      </c>
      <c r="L28" s="6"/>
    </row>
    <row r="29" spans="3:12" s="11" customFormat="1" x14ac:dyDescent="0.3">
      <c r="C29" s="2"/>
      <c r="D29" s="2"/>
      <c r="E29" s="2"/>
      <c r="F29" s="2"/>
      <c r="G29" s="2"/>
      <c r="H29" s="8" t="s">
        <v>180</v>
      </c>
      <c r="I29" s="18">
        <v>270</v>
      </c>
      <c r="J29" s="11">
        <v>11</v>
      </c>
      <c r="K29" s="36">
        <f>Table134567810111213[[#This Row],[الدولار]]+(Table134567810111213[[#This Row],[اللبناني]]/90)</f>
        <v>14</v>
      </c>
      <c r="L29" s="6"/>
    </row>
    <row r="30" spans="3:12" s="11" customFormat="1" x14ac:dyDescent="0.3">
      <c r="C30" s="2"/>
      <c r="D30" s="2"/>
      <c r="E30" s="2"/>
      <c r="F30" s="2"/>
      <c r="G30" s="2"/>
      <c r="H30" s="8" t="s">
        <v>70</v>
      </c>
      <c r="I30" s="18">
        <v>-300</v>
      </c>
      <c r="K30" s="36">
        <f>Table134567810111213[[#This Row],[الدولار]]+(Table134567810111213[[#This Row],[اللبناني]]/90)</f>
        <v>-3.3333333333333335</v>
      </c>
      <c r="L30" s="6"/>
    </row>
    <row r="31" spans="3:12" s="11" customFormat="1" x14ac:dyDescent="0.3">
      <c r="C31" s="2"/>
      <c r="D31" s="2"/>
      <c r="E31" s="2"/>
      <c r="F31" s="2"/>
      <c r="G31" s="2"/>
      <c r="H31" s="8" t="s">
        <v>186</v>
      </c>
      <c r="I31" s="18"/>
      <c r="J31" s="11">
        <v>15</v>
      </c>
      <c r="K31" s="36">
        <f>Table134567810111213[[#This Row],[الدولار]]+(Table134567810111213[[#This Row],[اللبناني]]/90)</f>
        <v>15</v>
      </c>
      <c r="L31" s="6"/>
    </row>
    <row r="32" spans="3:12" s="11" customFormat="1" x14ac:dyDescent="0.3">
      <c r="C32" s="2"/>
      <c r="D32" s="2"/>
      <c r="E32" s="2"/>
      <c r="F32" s="2"/>
      <c r="G32" s="2"/>
      <c r="H32" s="8" t="s">
        <v>175</v>
      </c>
      <c r="I32" s="18">
        <v>-100</v>
      </c>
      <c r="J32" s="11">
        <v>50</v>
      </c>
      <c r="K32" s="36">
        <f>Table134567810111213[[#This Row],[الدولار]]+(Table134567810111213[[#This Row],[اللبناني]]/90)</f>
        <v>48.888888888888886</v>
      </c>
      <c r="L32" s="6"/>
    </row>
    <row r="33" spans="8:12" s="11" customFormat="1" x14ac:dyDescent="0.3">
      <c r="H33" s="8" t="s">
        <v>187</v>
      </c>
      <c r="I33" s="18">
        <v>225</v>
      </c>
      <c r="K33" s="36">
        <f>Table134567810111213[[#This Row],[الدولار]]+(Table134567810111213[[#This Row],[اللبناني]]/90)</f>
        <v>2.5</v>
      </c>
      <c r="L33" s="6"/>
    </row>
    <row r="34" spans="8:12" s="11" customFormat="1" x14ac:dyDescent="0.3">
      <c r="H34" s="8" t="s">
        <v>48</v>
      </c>
      <c r="I34" s="18">
        <v>-270</v>
      </c>
      <c r="J34" s="11">
        <v>30</v>
      </c>
      <c r="K34" s="36">
        <f>Table134567810111213[[#This Row],[الدولار]]+(Table134567810111213[[#This Row],[اللبناني]]/90)</f>
        <v>27</v>
      </c>
      <c r="L34" s="6"/>
    </row>
    <row r="35" spans="8:12" s="11" customFormat="1" x14ac:dyDescent="0.3">
      <c r="H35" s="8" t="s">
        <v>188</v>
      </c>
      <c r="I35" s="18">
        <v>100</v>
      </c>
      <c r="K35" s="36">
        <f>Table134567810111213[[#This Row],[الدولار]]+(Table134567810111213[[#This Row],[اللبناني]]/90)</f>
        <v>1.1111111111111112</v>
      </c>
      <c r="L35" s="6"/>
    </row>
    <row r="36" spans="8:12" s="11" customFormat="1" x14ac:dyDescent="0.3">
      <c r="H36" s="8" t="s">
        <v>98</v>
      </c>
      <c r="I36" s="18"/>
      <c r="J36" s="11">
        <v>610</v>
      </c>
      <c r="K36" s="36">
        <f>Table134567810111213[[#This Row],[الدولار]]+(Table134567810111213[[#This Row],[اللبناني]]/90)</f>
        <v>610</v>
      </c>
      <c r="L36" s="6"/>
    </row>
    <row r="37" spans="8:12" s="11" customFormat="1" x14ac:dyDescent="0.3">
      <c r="H37" s="8" t="s">
        <v>84</v>
      </c>
      <c r="I37" s="18"/>
      <c r="J37" s="11">
        <v>104</v>
      </c>
      <c r="K37" s="36">
        <f>Table134567810111213[[#This Row],[الدولار]]+(Table134567810111213[[#This Row],[اللبناني]]/90)</f>
        <v>104</v>
      </c>
      <c r="L37" s="6"/>
    </row>
    <row r="38" spans="8:12" s="11" customFormat="1" x14ac:dyDescent="0.3">
      <c r="H38" s="8" t="s">
        <v>189</v>
      </c>
      <c r="I38" s="18">
        <v>-225</v>
      </c>
      <c r="J38" s="11">
        <v>10</v>
      </c>
      <c r="K38" s="36">
        <f>Table134567810111213[[#This Row],[الدولار]]+(Table134567810111213[[#This Row],[اللبناني]]/90)</f>
        <v>7.5</v>
      </c>
      <c r="L38" s="6"/>
    </row>
    <row r="39" spans="8:12" s="11" customFormat="1" x14ac:dyDescent="0.3">
      <c r="H39" s="8" t="s">
        <v>190</v>
      </c>
      <c r="I39" s="18">
        <v>570</v>
      </c>
      <c r="K39" s="36">
        <f>Table134567810111213[[#This Row],[الدولار]]+(Table134567810111213[[#This Row],[اللبناني]]/90)</f>
        <v>6.333333333333333</v>
      </c>
      <c r="L39" s="6"/>
    </row>
    <row r="40" spans="8:12" s="11" customFormat="1" x14ac:dyDescent="0.3">
      <c r="H40" s="8" t="s">
        <v>188</v>
      </c>
      <c r="I40" s="18">
        <v>50</v>
      </c>
      <c r="K40" s="36">
        <f>Table134567810111213[[#This Row],[الدولار]]+(Table134567810111213[[#This Row],[اللبناني]]/90)</f>
        <v>0.55555555555555558</v>
      </c>
      <c r="L40" s="6"/>
    </row>
    <row r="41" spans="8:12" s="11" customFormat="1" x14ac:dyDescent="0.3">
      <c r="H41" s="8" t="s">
        <v>191</v>
      </c>
      <c r="I41" s="18"/>
      <c r="J41" s="11">
        <v>5</v>
      </c>
      <c r="K41" s="36">
        <f>Table134567810111213[[#This Row],[الدولار]]+(Table134567810111213[[#This Row],[اللبناني]]/90)</f>
        <v>5</v>
      </c>
      <c r="L41" s="6" t="s">
        <v>193</v>
      </c>
    </row>
    <row r="42" spans="8:12" s="11" customFormat="1" x14ac:dyDescent="0.3">
      <c r="H42" s="8" t="s">
        <v>9</v>
      </c>
      <c r="I42" s="18">
        <v>-2000</v>
      </c>
      <c r="K42" s="36">
        <f>Table134567810111213[[#This Row],[الدولار]]+(Table134567810111213[[#This Row],[اللبناني]]/90)</f>
        <v>-22.222222222222221</v>
      </c>
      <c r="L42" s="6"/>
    </row>
    <row r="43" spans="8:12" s="11" customFormat="1" x14ac:dyDescent="0.3">
      <c r="H43" s="8" t="s">
        <v>192</v>
      </c>
      <c r="I43" s="18">
        <v>650</v>
      </c>
      <c r="K43" s="36">
        <f>Table134567810111213[[#This Row],[الدولار]]+(Table134567810111213[[#This Row],[اللبناني]]/90)</f>
        <v>7.2222222222222223</v>
      </c>
      <c r="L43" s="6"/>
    </row>
    <row r="44" spans="8:12" s="11" customFormat="1" x14ac:dyDescent="0.3">
      <c r="H44" s="8" t="s">
        <v>85</v>
      </c>
      <c r="I44" s="18">
        <v>-350</v>
      </c>
      <c r="K44" s="36">
        <f>Table134567810111213[[#This Row],[الدولار]]+(Table134567810111213[[#This Row],[اللبناني]]/90)</f>
        <v>-3.8888888888888888</v>
      </c>
      <c r="L44" s="6" t="s">
        <v>196</v>
      </c>
    </row>
    <row r="45" spans="8:12" s="11" customFormat="1" x14ac:dyDescent="0.3">
      <c r="H45" s="8" t="s">
        <v>194</v>
      </c>
      <c r="I45" s="18"/>
      <c r="J45" s="11">
        <v>4</v>
      </c>
      <c r="K45" s="36">
        <f>Table134567810111213[[#This Row],[الدولار]]+(Table134567810111213[[#This Row],[اللبناني]]/90)</f>
        <v>4</v>
      </c>
      <c r="L45" s="6"/>
    </row>
    <row r="46" spans="8:12" s="11" customFormat="1" x14ac:dyDescent="0.3">
      <c r="H46" s="8" t="s">
        <v>195</v>
      </c>
      <c r="I46" s="18">
        <v>70</v>
      </c>
      <c r="K46" s="36">
        <f>Table134567810111213[[#This Row],[الدولار]]+(Table134567810111213[[#This Row],[اللبناني]]/90)</f>
        <v>0.77777777777777779</v>
      </c>
      <c r="L46" s="6"/>
    </row>
    <row r="47" spans="8:12" s="11" customFormat="1" x14ac:dyDescent="0.3">
      <c r="H47" s="8" t="s">
        <v>197</v>
      </c>
      <c r="I47" s="18"/>
      <c r="J47" s="11">
        <v>4</v>
      </c>
      <c r="K47" s="36">
        <f>Table134567810111213[[#This Row],[الدولار]]+(Table134567810111213[[#This Row],[اللبناني]]/90)</f>
        <v>4</v>
      </c>
      <c r="L47" s="6"/>
    </row>
    <row r="48" spans="8:12" s="11" customFormat="1" x14ac:dyDescent="0.3">
      <c r="H48" s="8"/>
      <c r="I48" s="18"/>
      <c r="K48" s="36">
        <f>Table134567810111213[[#This Row],[الدولار]]+(Table134567810111213[[#This Row],[اللبناني]]/90)</f>
        <v>0</v>
      </c>
      <c r="L48" s="6"/>
    </row>
    <row r="49" spans="8:12" s="11" customFormat="1" x14ac:dyDescent="0.3">
      <c r="H49" s="8"/>
      <c r="I49" s="18"/>
      <c r="K49" s="36">
        <f>Table134567810111213[[#This Row],[الدولار]]+(Table134567810111213[[#This Row],[اللبناني]]/90)</f>
        <v>0</v>
      </c>
      <c r="L49" s="6"/>
    </row>
    <row r="50" spans="8:12" s="11" customFormat="1" x14ac:dyDescent="0.3">
      <c r="H50" s="8"/>
      <c r="I50" s="18"/>
      <c r="K50" s="36">
        <f>Table134567810111213[[#This Row],[الدولار]]+(Table134567810111213[[#This Row],[اللبناني]]/90)</f>
        <v>0</v>
      </c>
      <c r="L50" s="6"/>
    </row>
    <row r="51" spans="8:12" s="11" customFormat="1" x14ac:dyDescent="0.3">
      <c r="H51" s="8"/>
      <c r="I51" s="18"/>
      <c r="K51" s="36">
        <f>Table134567810111213[[#This Row],[الدولار]]+(Table134567810111213[[#This Row],[اللبناني]]/90)</f>
        <v>0</v>
      </c>
      <c r="L51" s="6"/>
    </row>
    <row r="52" spans="8:12" s="11" customFormat="1" x14ac:dyDescent="0.3">
      <c r="H52" s="8"/>
      <c r="I52" s="18"/>
      <c r="K52" s="36">
        <f>Table134567810111213[[#This Row],[الدولار]]+(Table134567810111213[[#This Row],[اللبناني]]/90)</f>
        <v>0</v>
      </c>
      <c r="L52" s="6"/>
    </row>
    <row r="53" spans="8:12" s="11" customFormat="1" x14ac:dyDescent="0.3">
      <c r="H53" s="8"/>
      <c r="I53" s="18"/>
      <c r="K53" s="36">
        <f>Table134567810111213[[#This Row],[الدولار]]+(Table134567810111213[[#This Row],[اللبناني]]/90)</f>
        <v>0</v>
      </c>
      <c r="L53" s="6"/>
    </row>
    <row r="54" spans="8:12" s="11" customFormat="1" x14ac:dyDescent="0.3">
      <c r="H54" s="8"/>
      <c r="I54" s="18"/>
      <c r="K54" s="36">
        <f>Table134567810111213[[#This Row],[الدولار]]+(Table134567810111213[[#This Row],[اللبناني]]/90)</f>
        <v>0</v>
      </c>
      <c r="L54" s="6"/>
    </row>
    <row r="55" spans="8:12" s="11" customFormat="1" x14ac:dyDescent="0.3">
      <c r="H55" s="8"/>
      <c r="I55" s="18"/>
      <c r="K55" s="36">
        <f>Table134567810111213[[#This Row],[الدولار]]+(Table134567810111213[[#This Row],[اللبناني]]/90)</f>
        <v>0</v>
      </c>
      <c r="L55" s="6"/>
    </row>
    <row r="56" spans="8:12" s="11" customFormat="1" x14ac:dyDescent="0.3">
      <c r="H56" s="8"/>
      <c r="I56" s="18"/>
      <c r="K56" s="36">
        <f>Table134567810111213[[#This Row],[الدولار]]+(Table134567810111213[[#This Row],[اللبناني]]/90)</f>
        <v>0</v>
      </c>
      <c r="L56" s="6"/>
    </row>
    <row r="57" spans="8:12" s="11" customFormat="1" x14ac:dyDescent="0.3">
      <c r="H57" s="8"/>
      <c r="I57" s="18"/>
      <c r="K57" s="36">
        <f>Table134567810111213[[#This Row],[الدولار]]+(Table134567810111213[[#This Row],[اللبناني]]/90)</f>
        <v>0</v>
      </c>
      <c r="L57" s="6"/>
    </row>
    <row r="58" spans="8:12" s="11" customFormat="1" x14ac:dyDescent="0.3">
      <c r="H58" s="8"/>
      <c r="I58" s="18"/>
      <c r="K58" s="36">
        <f>Table134567810111213[[#This Row],[الدولار]]+(Table134567810111213[[#This Row],[اللبناني]]/90)</f>
        <v>0</v>
      </c>
      <c r="L58" s="6"/>
    </row>
    <row r="59" spans="8:12" s="11" customFormat="1" x14ac:dyDescent="0.3">
      <c r="H59" s="8"/>
      <c r="I59" s="18"/>
      <c r="K59" s="36">
        <f>Table134567810111213[[#This Row],[الدولار]]+(Table134567810111213[[#This Row],[اللبناني]]/90)</f>
        <v>0</v>
      </c>
      <c r="L59" s="6"/>
    </row>
    <row r="60" spans="8:12" s="11" customFormat="1" x14ac:dyDescent="0.3">
      <c r="H60" s="8"/>
      <c r="I60" s="18"/>
      <c r="K60" s="36">
        <f>Table134567810111213[[#This Row],[الدولار]]+(Table134567810111213[[#This Row],[اللبناني]]/90)</f>
        <v>0</v>
      </c>
      <c r="L60" s="6"/>
    </row>
    <row r="61" spans="8:12" s="11" customFormat="1" x14ac:dyDescent="0.3">
      <c r="H61" s="8"/>
      <c r="I61" s="18"/>
      <c r="K61" s="36">
        <f>Table134567810111213[[#This Row],[الدولار]]+(Table134567810111213[[#This Row],[اللبناني]]/90)</f>
        <v>0</v>
      </c>
      <c r="L61" s="6"/>
    </row>
    <row r="62" spans="8:12" s="11" customFormat="1" x14ac:dyDescent="0.3">
      <c r="H62" s="8"/>
      <c r="I62" s="18"/>
      <c r="K62" s="36">
        <f>Table134567810111213[[#This Row],[الدولار]]+(Table134567810111213[[#This Row],[اللبناني]]/90)</f>
        <v>0</v>
      </c>
      <c r="L62" s="6"/>
    </row>
    <row r="63" spans="8:12" s="11" customFormat="1" x14ac:dyDescent="0.3">
      <c r="H63" s="8"/>
      <c r="I63" s="18"/>
      <c r="K63" s="36">
        <f>Table134567810111213[[#This Row],[الدولار]]+(Table134567810111213[[#This Row],[اللبناني]]/90)</f>
        <v>0</v>
      </c>
      <c r="L63" s="6"/>
    </row>
    <row r="64" spans="8:12" s="11" customFormat="1" x14ac:dyDescent="0.3">
      <c r="H64" s="8"/>
      <c r="I64" s="18"/>
      <c r="K64" s="36">
        <f>Table134567810111213[[#This Row],[الدولار]]+(Table134567810111213[[#This Row],[اللبناني]]/90)</f>
        <v>0</v>
      </c>
      <c r="L64" s="6"/>
    </row>
    <row r="65" spans="8:12" s="11" customFormat="1" x14ac:dyDescent="0.3">
      <c r="H65" s="8"/>
      <c r="I65" s="18"/>
      <c r="K65" s="36">
        <f>Table134567810111213[[#This Row],[الدولار]]+(Table134567810111213[[#This Row],[اللبناني]]/90)</f>
        <v>0</v>
      </c>
      <c r="L65" s="6"/>
    </row>
    <row r="66" spans="8:12" s="11" customFormat="1" x14ac:dyDescent="0.3">
      <c r="H66" s="8"/>
      <c r="I66" s="18"/>
      <c r="K66" s="36">
        <f>Table134567810111213[[#This Row],[الدولار]]+(Table134567810111213[[#This Row],[اللبناني]]/90)</f>
        <v>0</v>
      </c>
      <c r="L66" s="6"/>
    </row>
    <row r="67" spans="8:12" s="11" customFormat="1" x14ac:dyDescent="0.3">
      <c r="H67" s="8"/>
      <c r="I67" s="18"/>
      <c r="K67" s="36">
        <f>Table134567810111213[[#This Row],[الدولار]]+(Table134567810111213[[#This Row],[اللبناني]]/90)</f>
        <v>0</v>
      </c>
      <c r="L67" s="6"/>
    </row>
    <row r="68" spans="8:12" s="11" customFormat="1" x14ac:dyDescent="0.3">
      <c r="H68" s="8"/>
      <c r="I68" s="18"/>
      <c r="K68" s="36">
        <f>Table134567810111213[[#This Row],[الدولار]]+(Table134567810111213[[#This Row],[اللبناني]]/90)</f>
        <v>0</v>
      </c>
      <c r="L68" s="6"/>
    </row>
    <row r="69" spans="8:12" s="11" customFormat="1" x14ac:dyDescent="0.3">
      <c r="H69" s="8"/>
      <c r="I69" s="18"/>
      <c r="K69" s="36">
        <f>Table134567810111213[[#This Row],[الدولار]]+(Table134567810111213[[#This Row],[اللبناني]]/90)</f>
        <v>0</v>
      </c>
      <c r="L69" s="6"/>
    </row>
    <row r="70" spans="8:12" s="11" customFormat="1" x14ac:dyDescent="0.3">
      <c r="H70" s="8"/>
      <c r="I70" s="18"/>
      <c r="K70" s="36">
        <f>Table134567810111213[[#This Row],[الدولار]]+(Table134567810111213[[#This Row],[اللبناني]]/90)</f>
        <v>0</v>
      </c>
      <c r="L70" s="6"/>
    </row>
    <row r="71" spans="8:12" s="11" customFormat="1" x14ac:dyDescent="0.3">
      <c r="H71" s="8"/>
      <c r="I71" s="18"/>
      <c r="K71" s="36">
        <f>Table134567810111213[[#This Row],[الدولار]]+(Table134567810111213[[#This Row],[اللبناني]]/90)</f>
        <v>0</v>
      </c>
      <c r="L71" s="6"/>
    </row>
    <row r="72" spans="8:12" s="11" customFormat="1" x14ac:dyDescent="0.3">
      <c r="H72" s="8"/>
      <c r="I72" s="18"/>
      <c r="K72" s="36">
        <f>Table134567810111213[[#This Row],[الدولار]]+(Table134567810111213[[#This Row],[اللبناني]]/90)</f>
        <v>0</v>
      </c>
      <c r="L72" s="6"/>
    </row>
    <row r="73" spans="8:12" s="11" customFormat="1" x14ac:dyDescent="0.3">
      <c r="H73" s="8"/>
      <c r="I73" s="18"/>
      <c r="K73" s="36">
        <f>Table134567810111213[[#This Row],[الدولار]]+(Table134567810111213[[#This Row],[اللبناني]]/90)</f>
        <v>0</v>
      </c>
      <c r="L73" s="6"/>
    </row>
    <row r="74" spans="8:12" s="11" customFormat="1" x14ac:dyDescent="0.3">
      <c r="H74" s="8"/>
      <c r="I74" s="18"/>
      <c r="K74" s="36">
        <f>Table134567810111213[[#This Row],[الدولار]]+(Table134567810111213[[#This Row],[اللبناني]]/90)</f>
        <v>0</v>
      </c>
      <c r="L74" s="6"/>
    </row>
    <row r="75" spans="8:12" s="11" customFormat="1" x14ac:dyDescent="0.3">
      <c r="H75" s="8"/>
      <c r="I75" s="18"/>
      <c r="K75" s="36">
        <f>Table134567810111213[[#This Row],[الدولار]]+(Table134567810111213[[#This Row],[اللبناني]]/90)</f>
        <v>0</v>
      </c>
      <c r="L75" s="6"/>
    </row>
    <row r="76" spans="8:12" s="11" customFormat="1" x14ac:dyDescent="0.3">
      <c r="H76" s="8"/>
      <c r="I76" s="18"/>
      <c r="K76" s="36">
        <f>Table134567810111213[[#This Row],[الدولار]]+(Table134567810111213[[#This Row],[اللبناني]]/90)</f>
        <v>0</v>
      </c>
      <c r="L76" s="6"/>
    </row>
    <row r="77" spans="8:12" s="11" customFormat="1" x14ac:dyDescent="0.3">
      <c r="H77" s="8"/>
      <c r="I77" s="18"/>
      <c r="K77" s="36">
        <f>Table134567810111213[[#This Row],[الدولار]]+(Table134567810111213[[#This Row],[اللبناني]]/90)</f>
        <v>0</v>
      </c>
      <c r="L77" s="6"/>
    </row>
    <row r="78" spans="8:12" s="11" customFormat="1" x14ac:dyDescent="0.3">
      <c r="H78" s="8"/>
      <c r="I78" s="18"/>
      <c r="K78" s="36">
        <f>Table134567810111213[[#This Row],[الدولار]]+(Table134567810111213[[#This Row],[اللبناني]]/90)</f>
        <v>0</v>
      </c>
      <c r="L78" s="6"/>
    </row>
    <row r="79" spans="8:12" s="11" customFormat="1" x14ac:dyDescent="0.3">
      <c r="H79" s="8"/>
      <c r="I79" s="18"/>
      <c r="K79" s="36">
        <f>Table134567810111213[[#This Row],[الدولار]]+(Table134567810111213[[#This Row],[اللبناني]]/90)</f>
        <v>0</v>
      </c>
      <c r="L79" s="6"/>
    </row>
    <row r="80" spans="8:12" s="11" customFormat="1" x14ac:dyDescent="0.3">
      <c r="H80" s="8"/>
      <c r="I80" s="18"/>
      <c r="K80" s="36">
        <f>Table134567810111213[[#This Row],[الدولار]]+(Table134567810111213[[#This Row],[اللبناني]]/90)</f>
        <v>0</v>
      </c>
      <c r="L80" s="6"/>
    </row>
    <row r="81" spans="8:12" s="11" customFormat="1" x14ac:dyDescent="0.3">
      <c r="H81" s="8"/>
      <c r="I81" s="18"/>
      <c r="K81" s="36">
        <f>Table134567810111213[[#This Row],[الدولار]]+(Table134567810111213[[#This Row],[اللبناني]]/90)</f>
        <v>0</v>
      </c>
      <c r="L81" s="6"/>
    </row>
    <row r="82" spans="8:12" s="11" customFormat="1" x14ac:dyDescent="0.3">
      <c r="H82" s="8"/>
      <c r="I82" s="18"/>
      <c r="K82" s="36">
        <f>Table134567810111213[[#This Row],[الدولار]]+(Table134567810111213[[#This Row],[اللبناني]]/90)</f>
        <v>0</v>
      </c>
      <c r="L82" s="6"/>
    </row>
    <row r="83" spans="8:12" s="11" customFormat="1" x14ac:dyDescent="0.3">
      <c r="H83" s="8"/>
      <c r="I83" s="18"/>
      <c r="K83" s="36">
        <f>Table134567810111213[[#This Row],[الدولار]]+(Table134567810111213[[#This Row],[اللبناني]]/90)</f>
        <v>0</v>
      </c>
      <c r="L83" s="6"/>
    </row>
    <row r="84" spans="8:12" s="11" customFormat="1" x14ac:dyDescent="0.3">
      <c r="H84" s="8"/>
      <c r="I84" s="18"/>
      <c r="K84" s="36">
        <f>Table134567810111213[[#This Row],[الدولار]]+(Table134567810111213[[#This Row],[اللبناني]]/90)</f>
        <v>0</v>
      </c>
      <c r="L84" s="6"/>
    </row>
    <row r="85" spans="8:12" s="11" customFormat="1" x14ac:dyDescent="0.3">
      <c r="H85" s="8"/>
      <c r="I85" s="18"/>
      <c r="K85" s="36">
        <f>Table134567810111213[[#This Row],[الدولار]]+(Table134567810111213[[#This Row],[اللبناني]]/90)</f>
        <v>0</v>
      </c>
      <c r="L85" s="6"/>
    </row>
    <row r="86" spans="8:12" s="11" customFormat="1" x14ac:dyDescent="0.3">
      <c r="H86" s="8"/>
      <c r="I86" s="18"/>
      <c r="K86" s="36">
        <f>Table134567810111213[[#This Row],[الدولار]]+(Table134567810111213[[#This Row],[اللبناني]]/90)</f>
        <v>0</v>
      </c>
      <c r="L86" s="6"/>
    </row>
    <row r="87" spans="8:12" s="11" customFormat="1" x14ac:dyDescent="0.3">
      <c r="H87" s="8"/>
      <c r="I87" s="18"/>
      <c r="K87" s="36">
        <f>Table134567810111213[[#This Row],[الدولار]]+(Table134567810111213[[#This Row],[اللبناني]]/90)</f>
        <v>0</v>
      </c>
      <c r="L87" s="6"/>
    </row>
    <row r="88" spans="8:12" s="11" customFormat="1" x14ac:dyDescent="0.3">
      <c r="H88" s="8"/>
      <c r="I88" s="18"/>
      <c r="K88" s="36">
        <f>Table134567810111213[[#This Row],[الدولار]]+(Table134567810111213[[#This Row],[اللبناني]]/90)</f>
        <v>0</v>
      </c>
      <c r="L88" s="6"/>
    </row>
    <row r="89" spans="8:12" s="11" customFormat="1" x14ac:dyDescent="0.3">
      <c r="H89" s="8"/>
      <c r="I89" s="18"/>
      <c r="K89" s="36">
        <f>Table134567810111213[[#This Row],[الدولار]]+(Table134567810111213[[#This Row],[اللبناني]]/90)</f>
        <v>0</v>
      </c>
      <c r="L89" s="6"/>
    </row>
    <row r="90" spans="8:12" s="11" customFormat="1" x14ac:dyDescent="0.3">
      <c r="H90" s="8"/>
      <c r="I90" s="18"/>
      <c r="K90" s="36">
        <f>Table134567810111213[[#This Row],[الدولار]]+(Table134567810111213[[#This Row],[اللبناني]]/90)</f>
        <v>0</v>
      </c>
      <c r="L90" s="6"/>
    </row>
    <row r="91" spans="8:12" s="11" customFormat="1" x14ac:dyDescent="0.3">
      <c r="H91" s="8"/>
      <c r="I91" s="18"/>
      <c r="K91" s="36">
        <f>Table134567810111213[[#This Row],[الدولار]]+(Table134567810111213[[#This Row],[اللبناني]]/90)</f>
        <v>0</v>
      </c>
      <c r="L91" s="6"/>
    </row>
    <row r="92" spans="8:12" s="11" customFormat="1" x14ac:dyDescent="0.3">
      <c r="H92" s="8"/>
      <c r="I92" s="18"/>
      <c r="K92" s="36">
        <f>Table134567810111213[[#This Row],[الدولار]]+(Table134567810111213[[#This Row],[اللبناني]]/90)</f>
        <v>0</v>
      </c>
      <c r="L92" s="6"/>
    </row>
    <row r="93" spans="8:12" s="11" customFormat="1" x14ac:dyDescent="0.3">
      <c r="H93" s="8"/>
      <c r="I93" s="18"/>
      <c r="K93" s="36">
        <f>Table134567810111213[[#This Row],[الدولار]]+(Table134567810111213[[#This Row],[اللبناني]]/90)</f>
        <v>0</v>
      </c>
      <c r="L93" s="6"/>
    </row>
    <row r="94" spans="8:12" s="11" customFormat="1" x14ac:dyDescent="0.3">
      <c r="H94" s="8"/>
      <c r="I94" s="18"/>
      <c r="K94" s="36">
        <f>Table134567810111213[[#This Row],[الدولار]]+(Table134567810111213[[#This Row],[اللبناني]]/90)</f>
        <v>0</v>
      </c>
      <c r="L94" s="6"/>
    </row>
    <row r="95" spans="8:12" s="11" customFormat="1" x14ac:dyDescent="0.3">
      <c r="H95" s="8"/>
      <c r="I95" s="18"/>
      <c r="K95" s="36">
        <f>Table134567810111213[[#This Row],[الدولار]]+(Table134567810111213[[#This Row],[اللبناني]]/90)</f>
        <v>0</v>
      </c>
      <c r="L95" s="6"/>
    </row>
    <row r="96" spans="8:12" s="11" customFormat="1" x14ac:dyDescent="0.3">
      <c r="H96" s="8"/>
      <c r="I96" s="18"/>
      <c r="K96" s="36">
        <f>Table134567810111213[[#This Row],[الدولار]]+(Table134567810111213[[#This Row],[اللبناني]]/90)</f>
        <v>0</v>
      </c>
      <c r="L96" s="6"/>
    </row>
    <row r="97" spans="8:12" s="11" customFormat="1" x14ac:dyDescent="0.3">
      <c r="H97" s="8"/>
      <c r="I97" s="18"/>
      <c r="K97" s="36">
        <f>Table134567810111213[[#This Row],[الدولار]]+(Table134567810111213[[#This Row],[اللبناني]]/90)</f>
        <v>0</v>
      </c>
      <c r="L97" s="6"/>
    </row>
    <row r="98" spans="8:12" s="11" customFormat="1" x14ac:dyDescent="0.3">
      <c r="H98" s="8"/>
      <c r="I98" s="18"/>
      <c r="K98" s="36">
        <f>Table134567810111213[[#This Row],[الدولار]]+(Table134567810111213[[#This Row],[اللبناني]]/90)</f>
        <v>0</v>
      </c>
      <c r="L98" s="6"/>
    </row>
    <row r="99" spans="8:12" s="11" customFormat="1" x14ac:dyDescent="0.3">
      <c r="H99" s="8"/>
      <c r="I99" s="18"/>
      <c r="K99" s="36">
        <f>Table134567810111213[[#This Row],[الدولار]]+(Table134567810111213[[#This Row],[اللبناني]]/90)</f>
        <v>0</v>
      </c>
      <c r="L99" s="6"/>
    </row>
    <row r="100" spans="8:12" s="11" customFormat="1" x14ac:dyDescent="0.3">
      <c r="H100" s="8"/>
      <c r="I100" s="18"/>
      <c r="K100" s="36">
        <f>Table134567810111213[[#This Row],[الدولار]]+(Table134567810111213[[#This Row],[اللبناني]]/90)</f>
        <v>0</v>
      </c>
      <c r="L100" s="6"/>
    </row>
    <row r="101" spans="8:12" s="11" customFormat="1" x14ac:dyDescent="0.3">
      <c r="H101" s="8"/>
      <c r="I101" s="18"/>
      <c r="K101" s="36">
        <f>Table134567810111213[[#This Row],[الدولار]]+(Table134567810111213[[#This Row],[اللبناني]]/90)</f>
        <v>0</v>
      </c>
      <c r="L101" s="6"/>
    </row>
    <row r="102" spans="8:12" s="11" customFormat="1" x14ac:dyDescent="0.3">
      <c r="H102" s="8"/>
      <c r="I102" s="18"/>
      <c r="K102" s="36">
        <f>Table134567810111213[[#This Row],[الدولار]]+(Table134567810111213[[#This Row],[اللبناني]]/90)</f>
        <v>0</v>
      </c>
      <c r="L102" s="6"/>
    </row>
    <row r="103" spans="8:12" s="11" customFormat="1" x14ac:dyDescent="0.3">
      <c r="H103" s="8"/>
      <c r="I103" s="18"/>
      <c r="K103" s="36">
        <f>Table134567810111213[[#This Row],[الدولار]]+(Table134567810111213[[#This Row],[اللبناني]]/90)</f>
        <v>0</v>
      </c>
      <c r="L103" s="6"/>
    </row>
    <row r="104" spans="8:12" s="11" customFormat="1" x14ac:dyDescent="0.3">
      <c r="H104" s="8"/>
      <c r="I104" s="18"/>
      <c r="K104" s="36">
        <f>Table134567810111213[[#This Row],[الدولار]]+(Table134567810111213[[#This Row],[اللبناني]]/90)</f>
        <v>0</v>
      </c>
      <c r="L104" s="6"/>
    </row>
    <row r="105" spans="8:12" s="11" customFormat="1" x14ac:dyDescent="0.3">
      <c r="H105" s="8"/>
      <c r="I105" s="18"/>
      <c r="K105" s="36">
        <f>Table134567810111213[[#This Row],[الدولار]]+(Table134567810111213[[#This Row],[اللبناني]]/90)</f>
        <v>0</v>
      </c>
      <c r="L105" s="6"/>
    </row>
    <row r="106" spans="8:12" s="11" customFormat="1" x14ac:dyDescent="0.3">
      <c r="H106" s="8"/>
      <c r="I106" s="18"/>
      <c r="K106" s="36">
        <f>Table134567810111213[[#This Row],[الدولار]]+(Table134567810111213[[#This Row],[اللبناني]]/90)</f>
        <v>0</v>
      </c>
      <c r="L106" s="6"/>
    </row>
    <row r="107" spans="8:12" s="11" customFormat="1" x14ac:dyDescent="0.3">
      <c r="H107" s="8"/>
      <c r="I107" s="18"/>
      <c r="K107" s="36">
        <f>Table134567810111213[[#This Row],[الدولار]]+(Table134567810111213[[#This Row],[اللبناني]]/90)</f>
        <v>0</v>
      </c>
      <c r="L107" s="6"/>
    </row>
    <row r="108" spans="8:12" s="11" customFormat="1" x14ac:dyDescent="0.3">
      <c r="H108" s="8"/>
      <c r="I108" s="18"/>
      <c r="K108" s="36">
        <f>Table134567810111213[[#This Row],[الدولار]]+(Table134567810111213[[#This Row],[اللبناني]]/90)</f>
        <v>0</v>
      </c>
      <c r="L108" s="6"/>
    </row>
    <row r="109" spans="8:12" s="11" customFormat="1" x14ac:dyDescent="0.3">
      <c r="H109" s="8"/>
      <c r="I109" s="18"/>
      <c r="K109" s="36">
        <f>Table134567810111213[[#This Row],[الدولار]]+(Table134567810111213[[#This Row],[اللبناني]]/90)</f>
        <v>0</v>
      </c>
      <c r="L109" s="6"/>
    </row>
    <row r="110" spans="8:12" s="11" customFormat="1" x14ac:dyDescent="0.3">
      <c r="H110" s="8"/>
      <c r="I110" s="18"/>
      <c r="K110" s="36">
        <f>Table134567810111213[[#This Row],[الدولار]]+(Table134567810111213[[#This Row],[اللبناني]]/90)</f>
        <v>0</v>
      </c>
      <c r="L110" s="6"/>
    </row>
    <row r="111" spans="8:12" s="11" customFormat="1" x14ac:dyDescent="0.3">
      <c r="H111" s="8"/>
      <c r="I111" s="18"/>
      <c r="K111" s="36">
        <f>Table134567810111213[[#This Row],[الدولار]]+(Table134567810111213[[#This Row],[اللبناني]]/90)</f>
        <v>0</v>
      </c>
      <c r="L111" s="6"/>
    </row>
    <row r="112" spans="8:12" s="11" customFormat="1" x14ac:dyDescent="0.3">
      <c r="H112" s="8"/>
      <c r="I112" s="18"/>
      <c r="K112" s="36">
        <f>Table134567810111213[[#This Row],[الدولار]]+(Table134567810111213[[#This Row],[اللبناني]]/90)</f>
        <v>0</v>
      </c>
      <c r="L112" s="6"/>
    </row>
    <row r="113" spans="8:12" s="11" customFormat="1" x14ac:dyDescent="0.3">
      <c r="H113" s="8"/>
      <c r="I113" s="18"/>
      <c r="K113" s="36">
        <f>Table134567810111213[[#This Row],[الدولار]]+(Table134567810111213[[#This Row],[اللبناني]]/90)</f>
        <v>0</v>
      </c>
      <c r="L113" s="6"/>
    </row>
    <row r="114" spans="8:12" s="11" customFormat="1" x14ac:dyDescent="0.3">
      <c r="H114" s="8"/>
      <c r="I114" s="18"/>
      <c r="K114" s="36">
        <f>Table134567810111213[[#This Row],[الدولار]]+(Table134567810111213[[#This Row],[اللبناني]]/90)</f>
        <v>0</v>
      </c>
      <c r="L114" s="6"/>
    </row>
    <row r="115" spans="8:12" s="11" customFormat="1" x14ac:dyDescent="0.3">
      <c r="H115" s="8"/>
      <c r="I115" s="18"/>
      <c r="K115" s="36">
        <f>Table134567810111213[[#This Row],[الدولار]]+(Table134567810111213[[#This Row],[اللبناني]]/90)</f>
        <v>0</v>
      </c>
      <c r="L115" s="6"/>
    </row>
    <row r="116" spans="8:12" s="11" customFormat="1" x14ac:dyDescent="0.3">
      <c r="H116" s="8"/>
      <c r="I116" s="18"/>
      <c r="K116" s="36">
        <f>Table134567810111213[[#This Row],[الدولار]]+(Table134567810111213[[#This Row],[اللبناني]]/90)</f>
        <v>0</v>
      </c>
      <c r="L116" s="6"/>
    </row>
    <row r="117" spans="8:12" s="11" customFormat="1" x14ac:dyDescent="0.3">
      <c r="H117" s="8"/>
      <c r="I117" s="18"/>
      <c r="K117" s="36">
        <f>Table134567810111213[[#This Row],[الدولار]]+(Table134567810111213[[#This Row],[اللبناني]]/90)</f>
        <v>0</v>
      </c>
      <c r="L117" s="6"/>
    </row>
    <row r="118" spans="8:12" s="11" customFormat="1" x14ac:dyDescent="0.3">
      <c r="H118" s="8"/>
      <c r="I118" s="18"/>
      <c r="K118" s="36">
        <f>Table134567810111213[[#This Row],[الدولار]]+(Table134567810111213[[#This Row],[اللبناني]]/90)</f>
        <v>0</v>
      </c>
      <c r="L118" s="6"/>
    </row>
    <row r="119" spans="8:12" s="11" customFormat="1" x14ac:dyDescent="0.3">
      <c r="H119" s="8"/>
      <c r="I119" s="18"/>
      <c r="K119" s="36">
        <f>Table134567810111213[[#This Row],[الدولار]]+(Table134567810111213[[#This Row],[اللبناني]]/90)</f>
        <v>0</v>
      </c>
      <c r="L119" s="6"/>
    </row>
    <row r="120" spans="8:12" s="11" customFormat="1" x14ac:dyDescent="0.3">
      <c r="H120" s="8"/>
      <c r="I120" s="18"/>
      <c r="K120" s="36">
        <f>Table134567810111213[[#This Row],[الدولار]]+(Table134567810111213[[#This Row],[اللبناني]]/90)</f>
        <v>0</v>
      </c>
      <c r="L120" s="6"/>
    </row>
    <row r="121" spans="8:12" s="11" customFormat="1" x14ac:dyDescent="0.3">
      <c r="H121" s="8"/>
      <c r="I121" s="18"/>
      <c r="K121" s="36">
        <f>Table134567810111213[[#This Row],[الدولار]]+(Table134567810111213[[#This Row],[اللبناني]]/90)</f>
        <v>0</v>
      </c>
      <c r="L121" s="6"/>
    </row>
    <row r="122" spans="8:12" s="11" customFormat="1" x14ac:dyDescent="0.3">
      <c r="H122" s="8"/>
      <c r="I122" s="18"/>
      <c r="K122" s="36">
        <f>Table134567810111213[[#This Row],[الدولار]]+(Table134567810111213[[#This Row],[اللبناني]]/90)</f>
        <v>0</v>
      </c>
      <c r="L122" s="6"/>
    </row>
    <row r="123" spans="8:12" s="11" customFormat="1" x14ac:dyDescent="0.3">
      <c r="H123" s="8"/>
      <c r="I123" s="18"/>
      <c r="K123" s="36">
        <f>Table134567810111213[[#This Row],[الدولار]]+(Table134567810111213[[#This Row],[اللبناني]]/90)</f>
        <v>0</v>
      </c>
      <c r="L123" s="6"/>
    </row>
    <row r="124" spans="8:12" s="11" customFormat="1" x14ac:dyDescent="0.3">
      <c r="H124" s="8"/>
      <c r="I124" s="18"/>
      <c r="K124" s="36">
        <f>Table134567810111213[[#This Row],[الدولار]]+(Table134567810111213[[#This Row],[اللبناني]]/90)</f>
        <v>0</v>
      </c>
      <c r="L124" s="6"/>
    </row>
    <row r="125" spans="8:12" s="11" customFormat="1" x14ac:dyDescent="0.3">
      <c r="H125" s="8"/>
      <c r="I125" s="18"/>
      <c r="K125" s="36">
        <f>Table134567810111213[[#This Row],[الدولار]]+(Table134567810111213[[#This Row],[اللبناني]]/90)</f>
        <v>0</v>
      </c>
      <c r="L125" s="6"/>
    </row>
    <row r="126" spans="8:12" s="11" customFormat="1" x14ac:dyDescent="0.3">
      <c r="H126" s="8"/>
      <c r="I126" s="18"/>
      <c r="K126" s="36">
        <f>Table134567810111213[[#This Row],[الدولار]]+(Table134567810111213[[#This Row],[اللبناني]]/90)</f>
        <v>0</v>
      </c>
      <c r="L126" s="6"/>
    </row>
    <row r="127" spans="8:12" s="11" customFormat="1" x14ac:dyDescent="0.3">
      <c r="H127" s="8"/>
      <c r="I127" s="18"/>
      <c r="K127" s="36">
        <f>Table134567810111213[[#This Row],[الدولار]]+(Table134567810111213[[#This Row],[اللبناني]]/90)</f>
        <v>0</v>
      </c>
      <c r="L127" s="6"/>
    </row>
    <row r="128" spans="8:12" s="11" customFormat="1" x14ac:dyDescent="0.3">
      <c r="H128" s="8"/>
      <c r="I128" s="18"/>
      <c r="K128" s="36">
        <f>Table134567810111213[[#This Row],[الدولار]]+(Table134567810111213[[#This Row],[اللبناني]]/90)</f>
        <v>0</v>
      </c>
      <c r="L128" s="6"/>
    </row>
    <row r="129" spans="8:12" s="11" customFormat="1" x14ac:dyDescent="0.3">
      <c r="H129" s="8"/>
      <c r="I129" s="18"/>
      <c r="K129" s="36">
        <f>Table134567810111213[[#This Row],[الدولار]]+(Table134567810111213[[#This Row],[اللبناني]]/90)</f>
        <v>0</v>
      </c>
      <c r="L129" s="6"/>
    </row>
    <row r="130" spans="8:12" s="11" customFormat="1" x14ac:dyDescent="0.3">
      <c r="H130" s="8"/>
      <c r="I130" s="18"/>
      <c r="K130" s="36">
        <f>Table134567810111213[[#This Row],[الدولار]]+(Table134567810111213[[#This Row],[اللبناني]]/90)</f>
        <v>0</v>
      </c>
      <c r="L130" s="6"/>
    </row>
    <row r="131" spans="8:12" s="11" customFormat="1" x14ac:dyDescent="0.3">
      <c r="H131" s="8"/>
      <c r="I131" s="18"/>
      <c r="K131" s="36">
        <f>Table134567810111213[[#This Row],[الدولار]]+(Table134567810111213[[#This Row],[اللبناني]]/90)</f>
        <v>0</v>
      </c>
      <c r="L131" s="6"/>
    </row>
    <row r="132" spans="8:12" s="11" customFormat="1" x14ac:dyDescent="0.3">
      <c r="H132" s="8"/>
      <c r="I132" s="18"/>
      <c r="K132" s="36">
        <f>Table134567810111213[[#This Row],[الدولار]]+(Table134567810111213[[#This Row],[اللبناني]]/90)</f>
        <v>0</v>
      </c>
      <c r="L132" s="6"/>
    </row>
    <row r="133" spans="8:12" s="11" customFormat="1" x14ac:dyDescent="0.3">
      <c r="H133" s="8"/>
      <c r="I133" s="18"/>
      <c r="K133" s="36">
        <f>Table134567810111213[[#This Row],[الدولار]]+(Table134567810111213[[#This Row],[اللبناني]]/90)</f>
        <v>0</v>
      </c>
      <c r="L133" s="6"/>
    </row>
    <row r="134" spans="8:12" s="11" customFormat="1" x14ac:dyDescent="0.3">
      <c r="H134" s="8"/>
      <c r="I134" s="18"/>
      <c r="K134" s="36">
        <f>Table134567810111213[[#This Row],[الدولار]]+(Table134567810111213[[#This Row],[اللبناني]]/90)</f>
        <v>0</v>
      </c>
      <c r="L134" s="6"/>
    </row>
    <row r="135" spans="8:12" s="11" customFormat="1" x14ac:dyDescent="0.3">
      <c r="H135" s="8"/>
      <c r="I135" s="18"/>
      <c r="K135" s="36">
        <f>Table134567810111213[[#This Row],[الدولار]]+(Table134567810111213[[#This Row],[اللبناني]]/90)</f>
        <v>0</v>
      </c>
      <c r="L135" s="6"/>
    </row>
    <row r="136" spans="8:12" s="11" customFormat="1" x14ac:dyDescent="0.3">
      <c r="H136" s="8"/>
      <c r="I136" s="18"/>
      <c r="K136" s="36">
        <f>Table134567810111213[[#This Row],[الدولار]]+(Table134567810111213[[#This Row],[اللبناني]]/90)</f>
        <v>0</v>
      </c>
      <c r="L136" s="6"/>
    </row>
    <row r="137" spans="8:12" s="11" customFormat="1" x14ac:dyDescent="0.3">
      <c r="H137" s="8"/>
      <c r="I137" s="18"/>
      <c r="K137" s="36">
        <f>Table134567810111213[[#This Row],[الدولار]]+(Table134567810111213[[#This Row],[اللبناني]]/90)</f>
        <v>0</v>
      </c>
      <c r="L137" s="6"/>
    </row>
    <row r="138" spans="8:12" s="11" customFormat="1" x14ac:dyDescent="0.3">
      <c r="H138" s="8"/>
      <c r="I138" s="18"/>
      <c r="K138" s="36">
        <f>Table134567810111213[[#This Row],[الدولار]]+(Table134567810111213[[#This Row],[اللبناني]]/90)</f>
        <v>0</v>
      </c>
      <c r="L138" s="6"/>
    </row>
    <row r="139" spans="8:12" s="11" customFormat="1" x14ac:dyDescent="0.3">
      <c r="H139" s="8"/>
      <c r="I139" s="18"/>
      <c r="K139" s="36">
        <f>Table134567810111213[[#This Row],[الدولار]]+(Table134567810111213[[#This Row],[اللبناني]]/90)</f>
        <v>0</v>
      </c>
      <c r="L139" s="6"/>
    </row>
    <row r="140" spans="8:12" s="11" customFormat="1" x14ac:dyDescent="0.3">
      <c r="H140" s="8"/>
      <c r="I140" s="18"/>
      <c r="K140" s="36">
        <f>Table134567810111213[[#This Row],[الدولار]]+(Table134567810111213[[#This Row],[اللبناني]]/90)</f>
        <v>0</v>
      </c>
      <c r="L140" s="6"/>
    </row>
    <row r="141" spans="8:12" s="11" customFormat="1" x14ac:dyDescent="0.3">
      <c r="H141" s="8"/>
      <c r="I141" s="18"/>
      <c r="K141" s="36">
        <f>Table134567810111213[[#This Row],[الدولار]]+(Table134567810111213[[#This Row],[اللبناني]]/90)</f>
        <v>0</v>
      </c>
      <c r="L141" s="6"/>
    </row>
    <row r="142" spans="8:12" s="11" customFormat="1" x14ac:dyDescent="0.3">
      <c r="H142" s="8"/>
      <c r="I142" s="18"/>
      <c r="K142" s="36">
        <f>Table134567810111213[[#This Row],[الدولار]]+(Table134567810111213[[#This Row],[اللبناني]]/90)</f>
        <v>0</v>
      </c>
      <c r="L142" s="6"/>
    </row>
    <row r="143" spans="8:12" s="11" customFormat="1" x14ac:dyDescent="0.3">
      <c r="H143" s="8"/>
      <c r="I143" s="18"/>
      <c r="K143" s="36">
        <f>Table134567810111213[[#This Row],[الدولار]]+(Table134567810111213[[#This Row],[اللبناني]]/90)</f>
        <v>0</v>
      </c>
      <c r="L143" s="6"/>
    </row>
    <row r="144" spans="8:12" s="11" customFormat="1" x14ac:dyDescent="0.3">
      <c r="H144" s="8"/>
      <c r="I144" s="18"/>
      <c r="K144" s="36">
        <f>Table134567810111213[[#This Row],[الدولار]]+(Table134567810111213[[#This Row],[اللبناني]]/90)</f>
        <v>0</v>
      </c>
      <c r="L144" s="6"/>
    </row>
    <row r="145" spans="8:12" s="11" customFormat="1" x14ac:dyDescent="0.3">
      <c r="H145" s="8"/>
      <c r="I145" s="18"/>
      <c r="K145" s="36">
        <f>Table134567810111213[[#This Row],[الدولار]]+(Table134567810111213[[#This Row],[اللبناني]]/90)</f>
        <v>0</v>
      </c>
      <c r="L145" s="6"/>
    </row>
    <row r="146" spans="8:12" s="11" customFormat="1" x14ac:dyDescent="0.3">
      <c r="H146" s="8"/>
      <c r="I146" s="18"/>
      <c r="K146" s="36">
        <f>Table134567810111213[[#This Row],[الدولار]]+(Table134567810111213[[#This Row],[اللبناني]]/90)</f>
        <v>0</v>
      </c>
      <c r="L146" s="6"/>
    </row>
    <row r="147" spans="8:12" s="11" customFormat="1" x14ac:dyDescent="0.3">
      <c r="H147" s="8"/>
      <c r="I147" s="18"/>
      <c r="K147" s="36">
        <f>Table134567810111213[[#This Row],[الدولار]]+(Table134567810111213[[#This Row],[اللبناني]]/90)</f>
        <v>0</v>
      </c>
      <c r="L147" s="6"/>
    </row>
    <row r="148" spans="8:12" s="11" customFormat="1" x14ac:dyDescent="0.3">
      <c r="H148" s="8"/>
      <c r="I148" s="18"/>
      <c r="K148" s="36">
        <f>Table134567810111213[[#This Row],[الدولار]]+(Table134567810111213[[#This Row],[اللبناني]]/90)</f>
        <v>0</v>
      </c>
      <c r="L148" s="6"/>
    </row>
    <row r="149" spans="8:12" s="11" customFormat="1" x14ac:dyDescent="0.3">
      <c r="H149" s="8"/>
      <c r="I149" s="18"/>
      <c r="K149" s="36">
        <f>Table134567810111213[[#This Row],[الدولار]]+(Table134567810111213[[#This Row],[اللبناني]]/90)</f>
        <v>0</v>
      </c>
      <c r="L149" s="6"/>
    </row>
    <row r="150" spans="8:12" s="11" customFormat="1" x14ac:dyDescent="0.3">
      <c r="H150" s="8"/>
      <c r="I150" s="18"/>
      <c r="K150" s="36">
        <f>Table134567810111213[[#This Row],[الدولار]]+(Table134567810111213[[#This Row],[اللبناني]]/90)</f>
        <v>0</v>
      </c>
      <c r="L150" s="6"/>
    </row>
    <row r="151" spans="8:12" s="11" customFormat="1" x14ac:dyDescent="0.3">
      <c r="H151" s="8"/>
      <c r="I151" s="18"/>
      <c r="K151" s="36">
        <f>Table134567810111213[[#This Row],[الدولار]]+(Table134567810111213[[#This Row],[اللبناني]]/90)</f>
        <v>0</v>
      </c>
      <c r="L151" s="6"/>
    </row>
    <row r="152" spans="8:12" s="11" customFormat="1" x14ac:dyDescent="0.3">
      <c r="H152" s="8"/>
      <c r="I152" s="18"/>
      <c r="K152" s="36">
        <f>Table134567810111213[[#This Row],[الدولار]]+(Table134567810111213[[#This Row],[اللبناني]]/90)</f>
        <v>0</v>
      </c>
      <c r="L152" s="6"/>
    </row>
    <row r="153" spans="8:12" s="11" customFormat="1" x14ac:dyDescent="0.3">
      <c r="H153" s="8"/>
      <c r="I153" s="18"/>
      <c r="K153" s="36">
        <f>Table134567810111213[[#This Row],[الدولار]]+(Table134567810111213[[#This Row],[اللبناني]]/90)</f>
        <v>0</v>
      </c>
      <c r="L153" s="6"/>
    </row>
    <row r="154" spans="8:12" s="11" customFormat="1" x14ac:dyDescent="0.3">
      <c r="H154" s="8"/>
      <c r="I154" s="18"/>
      <c r="K154" s="36">
        <f>Table134567810111213[[#This Row],[الدولار]]+(Table134567810111213[[#This Row],[اللبناني]]/90)</f>
        <v>0</v>
      </c>
      <c r="L154" s="6"/>
    </row>
    <row r="155" spans="8:12" s="11" customFormat="1" x14ac:dyDescent="0.3">
      <c r="H155" s="8"/>
      <c r="I155" s="18"/>
      <c r="K155" s="36">
        <f>Table134567810111213[[#This Row],[الدولار]]+(Table134567810111213[[#This Row],[اللبناني]]/90)</f>
        <v>0</v>
      </c>
      <c r="L155" s="6"/>
    </row>
    <row r="156" spans="8:12" s="11" customFormat="1" x14ac:dyDescent="0.3">
      <c r="H156" s="8"/>
      <c r="I156" s="18"/>
      <c r="K156" s="36">
        <f>Table134567810111213[[#This Row],[الدولار]]+(Table134567810111213[[#This Row],[اللبناني]]/90)</f>
        <v>0</v>
      </c>
      <c r="L156" s="6"/>
    </row>
    <row r="157" spans="8:12" s="11" customFormat="1" x14ac:dyDescent="0.3">
      <c r="H157" s="8"/>
      <c r="I157" s="18"/>
      <c r="K157" s="36">
        <f>Table134567810111213[[#This Row],[الدولار]]+(Table134567810111213[[#This Row],[اللبناني]]/90)</f>
        <v>0</v>
      </c>
      <c r="L157" s="6"/>
    </row>
    <row r="158" spans="8:12" s="11" customFormat="1" x14ac:dyDescent="0.3">
      <c r="H158" s="8"/>
      <c r="I158" s="18"/>
      <c r="K158" s="36">
        <f>Table134567810111213[[#This Row],[الدولار]]+(Table134567810111213[[#This Row],[اللبناني]]/90)</f>
        <v>0</v>
      </c>
      <c r="L158" s="6"/>
    </row>
    <row r="159" spans="8:12" s="11" customFormat="1" x14ac:dyDescent="0.3">
      <c r="H159" s="8"/>
      <c r="I159" s="18"/>
      <c r="K159" s="36">
        <f>Table134567810111213[[#This Row],[الدولار]]+(Table134567810111213[[#This Row],[اللبناني]]/90)</f>
        <v>0</v>
      </c>
      <c r="L159" s="6"/>
    </row>
    <row r="160" spans="8:12" s="11" customFormat="1" x14ac:dyDescent="0.3">
      <c r="H160" s="8"/>
      <c r="I160" s="18"/>
      <c r="K160" s="36">
        <f>Table134567810111213[[#This Row],[الدولار]]+(Table134567810111213[[#This Row],[اللبناني]]/90)</f>
        <v>0</v>
      </c>
      <c r="L160" s="6"/>
    </row>
    <row r="161" spans="8:12" s="11" customFormat="1" x14ac:dyDescent="0.3">
      <c r="H161" s="8"/>
      <c r="I161" s="18"/>
      <c r="K161" s="36">
        <f>Table134567810111213[[#This Row],[الدولار]]+(Table134567810111213[[#This Row],[اللبناني]]/90)</f>
        <v>0</v>
      </c>
      <c r="L161" s="6"/>
    </row>
    <row r="162" spans="8:12" s="11" customFormat="1" x14ac:dyDescent="0.3">
      <c r="H162" s="8"/>
      <c r="I162" s="18"/>
      <c r="K162" s="36">
        <f>Table134567810111213[[#This Row],[الدولار]]+(Table134567810111213[[#This Row],[اللبناني]]/90)</f>
        <v>0</v>
      </c>
      <c r="L162" s="6"/>
    </row>
    <row r="163" spans="8:12" s="11" customFormat="1" x14ac:dyDescent="0.3">
      <c r="H163" s="8"/>
      <c r="I163" s="18"/>
      <c r="K163" s="36">
        <f>Table134567810111213[[#This Row],[الدولار]]+(Table134567810111213[[#This Row],[اللبناني]]/90)</f>
        <v>0</v>
      </c>
      <c r="L163" s="6"/>
    </row>
    <row r="164" spans="8:12" s="11" customFormat="1" x14ac:dyDescent="0.3">
      <c r="H164" s="8"/>
      <c r="I164" s="18"/>
      <c r="K164" s="36">
        <f>Table134567810111213[[#This Row],[الدولار]]+(Table134567810111213[[#This Row],[اللبناني]]/90)</f>
        <v>0</v>
      </c>
      <c r="L164" s="6"/>
    </row>
    <row r="165" spans="8:12" s="11" customFormat="1" x14ac:dyDescent="0.3">
      <c r="H165" s="8"/>
      <c r="I165" s="18"/>
      <c r="K165" s="36">
        <f>Table134567810111213[[#This Row],[الدولار]]+(Table134567810111213[[#This Row],[اللبناني]]/90)</f>
        <v>0</v>
      </c>
      <c r="L165" s="6"/>
    </row>
    <row r="166" spans="8:12" s="11" customFormat="1" x14ac:dyDescent="0.3">
      <c r="H166" s="8"/>
      <c r="I166" s="18"/>
      <c r="K166" s="36">
        <f>Table134567810111213[[#This Row],[الدولار]]+(Table134567810111213[[#This Row],[اللبناني]]/90)</f>
        <v>0</v>
      </c>
      <c r="L166" s="6"/>
    </row>
    <row r="167" spans="8:12" s="11" customFormat="1" x14ac:dyDescent="0.3">
      <c r="H167" s="8"/>
      <c r="I167" s="18"/>
      <c r="K167" s="36">
        <f>Table134567810111213[[#This Row],[الدولار]]+(Table134567810111213[[#This Row],[اللبناني]]/90)</f>
        <v>0</v>
      </c>
      <c r="L167" s="6"/>
    </row>
    <row r="168" spans="8:12" s="11" customFormat="1" x14ac:dyDescent="0.3">
      <c r="H168" s="8"/>
      <c r="I168" s="18"/>
      <c r="K168" s="36">
        <f>Table134567810111213[[#This Row],[الدولار]]+(Table134567810111213[[#This Row],[اللبناني]]/90)</f>
        <v>0</v>
      </c>
      <c r="L168" s="6"/>
    </row>
    <row r="169" spans="8:12" s="11" customFormat="1" x14ac:dyDescent="0.3">
      <c r="H169" s="8"/>
      <c r="I169" s="18"/>
      <c r="K169" s="36">
        <f>Table134567810111213[[#This Row],[الدولار]]+(Table134567810111213[[#This Row],[اللبناني]]/90)</f>
        <v>0</v>
      </c>
      <c r="L169" s="6"/>
    </row>
    <row r="170" spans="8:12" s="11" customFormat="1" x14ac:dyDescent="0.3">
      <c r="H170" s="8"/>
      <c r="I170" s="18"/>
      <c r="K170" s="36">
        <f>Table134567810111213[[#This Row],[الدولار]]+(Table134567810111213[[#This Row],[اللبناني]]/90)</f>
        <v>0</v>
      </c>
      <c r="L170" s="6"/>
    </row>
    <row r="171" spans="8:12" s="11" customFormat="1" x14ac:dyDescent="0.3">
      <c r="H171" s="8"/>
      <c r="I171" s="18"/>
      <c r="K171" s="36">
        <f>Table134567810111213[[#This Row],[الدولار]]+(Table134567810111213[[#This Row],[اللبناني]]/90)</f>
        <v>0</v>
      </c>
      <c r="L171" s="6"/>
    </row>
    <row r="172" spans="8:12" s="11" customFormat="1" x14ac:dyDescent="0.3">
      <c r="H172" s="8"/>
      <c r="I172" s="18"/>
      <c r="K172" s="36">
        <f>Table134567810111213[[#This Row],[الدولار]]+(Table134567810111213[[#This Row],[اللبناني]]/90)</f>
        <v>0</v>
      </c>
      <c r="L172" s="6"/>
    </row>
    <row r="173" spans="8:12" s="11" customFormat="1" x14ac:dyDescent="0.3">
      <c r="H173" s="8"/>
      <c r="I173" s="18"/>
      <c r="K173" s="36">
        <f>Table134567810111213[[#This Row],[الدولار]]+(Table134567810111213[[#This Row],[اللبناني]]/90)</f>
        <v>0</v>
      </c>
      <c r="L173" s="6"/>
    </row>
    <row r="174" spans="8:12" s="11" customFormat="1" x14ac:dyDescent="0.3">
      <c r="H174" s="8"/>
      <c r="I174" s="18"/>
      <c r="K174" s="36">
        <f>Table134567810111213[[#This Row],[الدولار]]+(Table134567810111213[[#This Row],[اللبناني]]/90)</f>
        <v>0</v>
      </c>
      <c r="L174" s="6"/>
    </row>
    <row r="175" spans="8:12" s="11" customFormat="1" x14ac:dyDescent="0.3">
      <c r="H175" s="8"/>
      <c r="I175" s="18"/>
      <c r="K175" s="36">
        <f>Table134567810111213[[#This Row],[الدولار]]+(Table134567810111213[[#This Row],[اللبناني]]/90)</f>
        <v>0</v>
      </c>
      <c r="L175" s="6"/>
    </row>
    <row r="176" spans="8:12" s="11" customFormat="1" x14ac:dyDescent="0.3">
      <c r="H176" s="8"/>
      <c r="I176" s="18"/>
      <c r="K176" s="36">
        <f>Table134567810111213[[#This Row],[الدولار]]+(Table134567810111213[[#This Row],[اللبناني]]/90)</f>
        <v>0</v>
      </c>
      <c r="L176" s="6"/>
    </row>
    <row r="177" spans="8:12" s="11" customFormat="1" x14ac:dyDescent="0.3">
      <c r="H177" s="8"/>
      <c r="I177" s="18"/>
      <c r="K177" s="36">
        <f>Table134567810111213[[#This Row],[الدولار]]+(Table134567810111213[[#This Row],[اللبناني]]/90)</f>
        <v>0</v>
      </c>
      <c r="L177" s="6"/>
    </row>
    <row r="178" spans="8:12" s="11" customFormat="1" x14ac:dyDescent="0.3">
      <c r="H178" s="8"/>
      <c r="I178" s="18"/>
      <c r="K178" s="36">
        <f>Table134567810111213[[#This Row],[الدولار]]+(Table134567810111213[[#This Row],[اللبناني]]/90)</f>
        <v>0</v>
      </c>
      <c r="L178" s="6"/>
    </row>
    <row r="179" spans="8:12" s="11" customFormat="1" x14ac:dyDescent="0.3">
      <c r="H179" s="8"/>
      <c r="I179" s="18"/>
      <c r="K179" s="36">
        <f>Table134567810111213[[#This Row],[الدولار]]+(Table134567810111213[[#This Row],[اللبناني]]/90)</f>
        <v>0</v>
      </c>
      <c r="L179" s="6"/>
    </row>
    <row r="180" spans="8:12" s="11" customFormat="1" x14ac:dyDescent="0.3">
      <c r="H180" s="8"/>
      <c r="I180" s="18"/>
      <c r="K180" s="36">
        <f>Table134567810111213[[#This Row],[الدولار]]+(Table134567810111213[[#This Row],[اللبناني]]/90)</f>
        <v>0</v>
      </c>
      <c r="L180" s="6"/>
    </row>
    <row r="181" spans="8:12" s="11" customFormat="1" x14ac:dyDescent="0.3">
      <c r="H181" s="8"/>
      <c r="I181" s="18"/>
      <c r="K181" s="36">
        <f>Table134567810111213[[#This Row],[الدولار]]+(Table134567810111213[[#This Row],[اللبناني]]/90)</f>
        <v>0</v>
      </c>
      <c r="L181" s="6"/>
    </row>
    <row r="182" spans="8:12" s="11" customFormat="1" x14ac:dyDescent="0.3">
      <c r="H182" s="8"/>
      <c r="I182" s="18"/>
      <c r="K182" s="36">
        <f>Table134567810111213[[#This Row],[الدولار]]+(Table134567810111213[[#This Row],[اللبناني]]/90)</f>
        <v>0</v>
      </c>
      <c r="L182" s="6"/>
    </row>
    <row r="183" spans="8:12" s="11" customFormat="1" x14ac:dyDescent="0.3">
      <c r="H183" s="8"/>
      <c r="I183" s="18"/>
      <c r="K183" s="36">
        <f>Table134567810111213[[#This Row],[الدولار]]+(Table134567810111213[[#This Row],[اللبناني]]/90)</f>
        <v>0</v>
      </c>
      <c r="L183" s="6"/>
    </row>
    <row r="184" spans="8:12" s="11" customFormat="1" x14ac:dyDescent="0.3">
      <c r="H184" s="8"/>
      <c r="I184" s="18"/>
      <c r="K184" s="36">
        <f>Table134567810111213[[#This Row],[الدولار]]+(Table134567810111213[[#This Row],[اللبناني]]/90)</f>
        <v>0</v>
      </c>
      <c r="L184" s="6"/>
    </row>
    <row r="185" spans="8:12" s="11" customFormat="1" x14ac:dyDescent="0.3">
      <c r="H185" s="8"/>
      <c r="I185" s="18"/>
      <c r="K185" s="36">
        <f>Table134567810111213[[#This Row],[الدولار]]+(Table134567810111213[[#This Row],[اللبناني]]/90)</f>
        <v>0</v>
      </c>
      <c r="L185" s="6"/>
    </row>
    <row r="186" spans="8:12" s="11" customFormat="1" x14ac:dyDescent="0.3">
      <c r="H186" s="8"/>
      <c r="I186" s="18"/>
      <c r="K186" s="36">
        <f>Table134567810111213[[#This Row],[الدولار]]+(Table134567810111213[[#This Row],[اللبناني]]/90)</f>
        <v>0</v>
      </c>
      <c r="L186" s="6"/>
    </row>
    <row r="187" spans="8:12" s="11" customFormat="1" x14ac:dyDescent="0.3">
      <c r="H187" s="8"/>
      <c r="I187" s="18"/>
      <c r="K187" s="36">
        <f>Table134567810111213[[#This Row],[الدولار]]+(Table134567810111213[[#This Row],[اللبناني]]/90)</f>
        <v>0</v>
      </c>
      <c r="L187" s="6"/>
    </row>
    <row r="188" spans="8:12" s="11" customFormat="1" x14ac:dyDescent="0.3">
      <c r="H188" s="8"/>
      <c r="I188" s="18"/>
      <c r="K188" s="36">
        <f>Table134567810111213[[#This Row],[الدولار]]+(Table134567810111213[[#This Row],[اللبناني]]/90)</f>
        <v>0</v>
      </c>
      <c r="L188" s="6"/>
    </row>
    <row r="189" spans="8:12" s="11" customFormat="1" x14ac:dyDescent="0.3">
      <c r="H189" s="8"/>
      <c r="I189" s="18"/>
      <c r="K189" s="36">
        <f>Table134567810111213[[#This Row],[الدولار]]+(Table134567810111213[[#This Row],[اللبناني]]/90)</f>
        <v>0</v>
      </c>
      <c r="L189" s="6"/>
    </row>
    <row r="190" spans="8:12" s="11" customFormat="1" x14ac:dyDescent="0.3">
      <c r="H190" s="8"/>
      <c r="I190" s="18"/>
      <c r="K190" s="36">
        <f>Table134567810111213[[#This Row],[الدولار]]+(Table134567810111213[[#This Row],[اللبناني]]/90)</f>
        <v>0</v>
      </c>
      <c r="L190" s="6"/>
    </row>
    <row r="191" spans="8:12" s="11" customFormat="1" x14ac:dyDescent="0.3">
      <c r="H191" s="8"/>
      <c r="I191" s="18"/>
      <c r="K191" s="36">
        <f>Table134567810111213[[#This Row],[الدولار]]+(Table134567810111213[[#This Row],[اللبناني]]/90)</f>
        <v>0</v>
      </c>
      <c r="L191" s="6"/>
    </row>
    <row r="192" spans="8:12" s="11" customFormat="1" x14ac:dyDescent="0.3">
      <c r="H192" s="8"/>
      <c r="I192" s="18"/>
      <c r="K192" s="36">
        <f>Table134567810111213[[#This Row],[الدولار]]+(Table134567810111213[[#This Row],[اللبناني]]/90)</f>
        <v>0</v>
      </c>
      <c r="L192" s="6"/>
    </row>
    <row r="193" spans="8:12" s="11" customFormat="1" x14ac:dyDescent="0.3">
      <c r="H193" s="8"/>
      <c r="I193" s="18"/>
      <c r="K193" s="36">
        <f>Table134567810111213[[#This Row],[الدولار]]+(Table134567810111213[[#This Row],[اللبناني]]/90)</f>
        <v>0</v>
      </c>
      <c r="L193" s="6"/>
    </row>
    <row r="194" spans="8:12" s="11" customFormat="1" x14ac:dyDescent="0.3">
      <c r="H194" s="8"/>
      <c r="I194" s="18"/>
      <c r="K194" s="36">
        <f>Table134567810111213[[#This Row],[الدولار]]+(Table134567810111213[[#This Row],[اللبناني]]/90)</f>
        <v>0</v>
      </c>
      <c r="L194" s="6"/>
    </row>
    <row r="195" spans="8:12" s="11" customFormat="1" x14ac:dyDescent="0.3">
      <c r="H195" s="8"/>
      <c r="I195" s="18"/>
      <c r="K195" s="36">
        <f>Table134567810111213[[#This Row],[الدولار]]+(Table134567810111213[[#This Row],[اللبناني]]/90)</f>
        <v>0</v>
      </c>
      <c r="L195" s="6"/>
    </row>
    <row r="196" spans="8:12" s="11" customFormat="1" x14ac:dyDescent="0.3">
      <c r="H196" s="8"/>
      <c r="I196" s="18"/>
      <c r="K196" s="36">
        <f>Table134567810111213[[#This Row],[الدولار]]+(Table134567810111213[[#This Row],[اللبناني]]/90)</f>
        <v>0</v>
      </c>
      <c r="L196" s="6"/>
    </row>
    <row r="197" spans="8:12" s="11" customFormat="1" x14ac:dyDescent="0.3">
      <c r="H197" s="8"/>
      <c r="I197" s="18"/>
      <c r="K197" s="36">
        <f>Table134567810111213[[#This Row],[الدولار]]+(Table134567810111213[[#This Row],[اللبناني]]/90)</f>
        <v>0</v>
      </c>
      <c r="L197" s="6"/>
    </row>
    <row r="198" spans="8:12" s="11" customFormat="1" x14ac:dyDescent="0.3">
      <c r="H198" s="8"/>
      <c r="I198" s="18"/>
      <c r="K198" s="36">
        <f>Table134567810111213[[#This Row],[الدولار]]+(Table134567810111213[[#This Row],[اللبناني]]/90)</f>
        <v>0</v>
      </c>
      <c r="L198" s="6"/>
    </row>
    <row r="199" spans="8:12" s="11" customFormat="1" x14ac:dyDescent="0.3">
      <c r="H199" s="8"/>
      <c r="I199" s="18"/>
      <c r="K199" s="36">
        <f>Table134567810111213[[#This Row],[الدولار]]+(Table134567810111213[[#This Row],[اللبناني]]/90)</f>
        <v>0</v>
      </c>
      <c r="L199" s="6"/>
    </row>
    <row r="200" spans="8:12" s="11" customFormat="1" x14ac:dyDescent="0.3">
      <c r="H200" s="8"/>
      <c r="I200" s="18"/>
      <c r="K200" s="36">
        <f>Table134567810111213[[#This Row],[الدولار]]+(Table134567810111213[[#This Row],[اللبناني]]/90)</f>
        <v>0</v>
      </c>
      <c r="L200" s="6"/>
    </row>
    <row r="201" spans="8:12" s="11" customFormat="1" x14ac:dyDescent="0.3">
      <c r="H201" s="8"/>
      <c r="I201" s="18"/>
      <c r="K201" s="36">
        <f>Table134567810111213[[#This Row],[الدولار]]+(Table134567810111213[[#This Row],[اللبناني]]/90)</f>
        <v>0</v>
      </c>
      <c r="L201" s="6"/>
    </row>
    <row r="202" spans="8:12" s="11" customFormat="1" x14ac:dyDescent="0.3">
      <c r="H202" s="8"/>
      <c r="I202" s="18"/>
      <c r="K202" s="36">
        <f>Table134567810111213[[#This Row],[الدولار]]+(Table134567810111213[[#This Row],[اللبناني]]/90)</f>
        <v>0</v>
      </c>
      <c r="L202" s="6"/>
    </row>
    <row r="203" spans="8:12" s="11" customFormat="1" x14ac:dyDescent="0.3">
      <c r="H203" s="8"/>
      <c r="I203" s="18"/>
      <c r="K203" s="36">
        <f>Table134567810111213[[#This Row],[الدولار]]+(Table134567810111213[[#This Row],[اللبناني]]/90)</f>
        <v>0</v>
      </c>
      <c r="L203" s="6"/>
    </row>
    <row r="204" spans="8:12" s="11" customFormat="1" x14ac:dyDescent="0.3">
      <c r="H204" s="8"/>
      <c r="I204" s="18"/>
      <c r="K204" s="36">
        <f>Table134567810111213[[#This Row],[الدولار]]+(Table134567810111213[[#This Row],[اللبناني]]/90)</f>
        <v>0</v>
      </c>
      <c r="L204" s="6"/>
    </row>
    <row r="205" spans="8:12" s="11" customFormat="1" x14ac:dyDescent="0.3">
      <c r="H205" s="8"/>
      <c r="I205" s="18"/>
      <c r="K205" s="36">
        <f>Table134567810111213[[#This Row],[الدولار]]+(Table134567810111213[[#This Row],[اللبناني]]/90)</f>
        <v>0</v>
      </c>
      <c r="L205" s="6"/>
    </row>
    <row r="206" spans="8:12" s="11" customFormat="1" x14ac:dyDescent="0.3">
      <c r="H206" s="8"/>
      <c r="I206" s="18"/>
      <c r="K206" s="36">
        <f>Table134567810111213[[#This Row],[الدولار]]+(Table134567810111213[[#This Row],[اللبناني]]/90)</f>
        <v>0</v>
      </c>
      <c r="L206" s="6"/>
    </row>
    <row r="207" spans="8:12" s="11" customFormat="1" x14ac:dyDescent="0.3">
      <c r="H207" s="8"/>
      <c r="I207" s="18"/>
      <c r="K207" s="36">
        <f>Table134567810111213[[#This Row],[الدولار]]+(Table134567810111213[[#This Row],[اللبناني]]/90)</f>
        <v>0</v>
      </c>
      <c r="L207" s="6"/>
    </row>
    <row r="208" spans="8:12" s="11" customFormat="1" x14ac:dyDescent="0.3">
      <c r="H208" s="8"/>
      <c r="I208" s="18"/>
      <c r="K208" s="36">
        <f>Table134567810111213[[#This Row],[الدولار]]+(Table134567810111213[[#This Row],[اللبناني]]/90)</f>
        <v>0</v>
      </c>
      <c r="L208" s="6"/>
    </row>
    <row r="209" spans="8:12" s="11" customFormat="1" x14ac:dyDescent="0.3">
      <c r="H209" s="8"/>
      <c r="I209" s="18"/>
      <c r="K209" s="36">
        <f>Table134567810111213[[#This Row],[الدولار]]+(Table134567810111213[[#This Row],[اللبناني]]/90)</f>
        <v>0</v>
      </c>
      <c r="L209" s="6"/>
    </row>
    <row r="210" spans="8:12" s="11" customFormat="1" x14ac:dyDescent="0.3">
      <c r="H210" s="8"/>
      <c r="I210" s="18"/>
      <c r="K210" s="36">
        <f>Table134567810111213[[#This Row],[الدولار]]+(Table134567810111213[[#This Row],[اللبناني]]/90)</f>
        <v>0</v>
      </c>
      <c r="L210" s="6"/>
    </row>
    <row r="211" spans="8:12" s="11" customFormat="1" x14ac:dyDescent="0.3">
      <c r="H211" s="8"/>
      <c r="I211" s="18"/>
      <c r="K211" s="36">
        <f>Table134567810111213[[#This Row],[الدولار]]+(Table134567810111213[[#This Row],[اللبناني]]/90)</f>
        <v>0</v>
      </c>
      <c r="L211" s="6"/>
    </row>
    <row r="212" spans="8:12" s="11" customFormat="1" x14ac:dyDescent="0.3">
      <c r="H212" s="8"/>
      <c r="I212" s="18"/>
      <c r="K212" s="36">
        <f>Table134567810111213[[#This Row],[الدولار]]+(Table134567810111213[[#This Row],[اللبناني]]/90)</f>
        <v>0</v>
      </c>
      <c r="L212" s="6"/>
    </row>
    <row r="213" spans="8:12" s="11" customFormat="1" x14ac:dyDescent="0.3">
      <c r="H213" s="8"/>
      <c r="I213" s="18"/>
      <c r="K213" s="36">
        <f>Table134567810111213[[#This Row],[الدولار]]+(Table134567810111213[[#This Row],[اللبناني]]/90)</f>
        <v>0</v>
      </c>
      <c r="L213" s="6"/>
    </row>
    <row r="214" spans="8:12" s="11" customFormat="1" x14ac:dyDescent="0.3">
      <c r="H214" s="8"/>
      <c r="I214" s="18"/>
      <c r="K214" s="36">
        <f>Table134567810111213[[#This Row],[الدولار]]+(Table134567810111213[[#This Row],[اللبناني]]/90)</f>
        <v>0</v>
      </c>
      <c r="L214" s="6"/>
    </row>
    <row r="215" spans="8:12" s="11" customFormat="1" x14ac:dyDescent="0.3">
      <c r="H215" s="8"/>
      <c r="I215" s="18"/>
      <c r="K215" s="36">
        <f>Table134567810111213[[#This Row],[الدولار]]+(Table134567810111213[[#This Row],[اللبناني]]/90)</f>
        <v>0</v>
      </c>
      <c r="L215" s="6"/>
    </row>
    <row r="216" spans="8:12" s="11" customFormat="1" x14ac:dyDescent="0.3">
      <c r="H216" s="8"/>
      <c r="I216" s="18"/>
      <c r="K216" s="36">
        <f>Table134567810111213[[#This Row],[الدولار]]+(Table134567810111213[[#This Row],[اللبناني]]/90)</f>
        <v>0</v>
      </c>
      <c r="L216" s="6"/>
    </row>
    <row r="217" spans="8:12" s="11" customFormat="1" x14ac:dyDescent="0.3">
      <c r="H217" s="8"/>
      <c r="I217" s="18"/>
      <c r="K217" s="36">
        <f>Table134567810111213[[#This Row],[الدولار]]+(Table134567810111213[[#This Row],[اللبناني]]/90)</f>
        <v>0</v>
      </c>
      <c r="L217" s="6"/>
    </row>
    <row r="218" spans="8:12" s="11" customFormat="1" x14ac:dyDescent="0.3">
      <c r="H218" s="8"/>
      <c r="I218" s="18"/>
      <c r="K218" s="36">
        <f>Table134567810111213[[#This Row],[الدولار]]+(Table134567810111213[[#This Row],[اللبناني]]/90)</f>
        <v>0</v>
      </c>
      <c r="L218" s="6"/>
    </row>
    <row r="219" spans="8:12" s="11" customFormat="1" x14ac:dyDescent="0.3">
      <c r="H219" s="8"/>
      <c r="I219" s="18"/>
      <c r="K219" s="36">
        <f>Table134567810111213[[#This Row],[الدولار]]+(Table134567810111213[[#This Row],[اللبناني]]/90)</f>
        <v>0</v>
      </c>
      <c r="L219" s="6"/>
    </row>
    <row r="220" spans="8:12" s="11" customFormat="1" x14ac:dyDescent="0.3">
      <c r="H220" s="8"/>
      <c r="I220" s="18"/>
      <c r="K220" s="36">
        <f>Table134567810111213[[#This Row],[الدولار]]+(Table134567810111213[[#This Row],[اللبناني]]/90)</f>
        <v>0</v>
      </c>
      <c r="L220" s="6"/>
    </row>
    <row r="221" spans="8:12" s="11" customFormat="1" x14ac:dyDescent="0.3">
      <c r="H221" s="8"/>
      <c r="I221" s="18"/>
      <c r="K221" s="36">
        <f>Table134567810111213[[#This Row],[الدولار]]+(Table134567810111213[[#This Row],[اللبناني]]/90)</f>
        <v>0</v>
      </c>
      <c r="L221" s="6"/>
    </row>
    <row r="222" spans="8:12" s="11" customFormat="1" x14ac:dyDescent="0.3">
      <c r="H222" s="8"/>
      <c r="I222" s="18"/>
      <c r="K222" s="36">
        <f>Table134567810111213[[#This Row],[الدولار]]+(Table134567810111213[[#This Row],[اللبناني]]/90)</f>
        <v>0</v>
      </c>
      <c r="L222" s="6"/>
    </row>
    <row r="223" spans="8:12" s="11" customFormat="1" x14ac:dyDescent="0.3">
      <c r="H223" s="8"/>
      <c r="I223" s="18"/>
      <c r="K223" s="36">
        <f>Table134567810111213[[#This Row],[الدولار]]+(Table134567810111213[[#This Row],[اللبناني]]/90)</f>
        <v>0</v>
      </c>
      <c r="L223" s="6"/>
    </row>
    <row r="224" spans="8:12" s="11" customFormat="1" x14ac:dyDescent="0.3">
      <c r="H224" s="8"/>
      <c r="I224" s="18"/>
      <c r="K224" s="36">
        <f>Table134567810111213[[#This Row],[الدولار]]+(Table134567810111213[[#This Row],[اللبناني]]/90)</f>
        <v>0</v>
      </c>
      <c r="L224" s="6"/>
    </row>
    <row r="225" spans="8:12" s="11" customFormat="1" x14ac:dyDescent="0.3">
      <c r="H225" s="8"/>
      <c r="I225" s="18"/>
      <c r="K225" s="36">
        <f>Table134567810111213[[#This Row],[الدولار]]+(Table134567810111213[[#This Row],[اللبناني]]/90)</f>
        <v>0</v>
      </c>
      <c r="L225" s="6"/>
    </row>
    <row r="226" spans="8:12" s="11" customFormat="1" x14ac:dyDescent="0.3">
      <c r="H226" s="8"/>
      <c r="I226" s="18"/>
      <c r="K226" s="36">
        <f>Table134567810111213[[#This Row],[الدولار]]+(Table134567810111213[[#This Row],[اللبناني]]/90)</f>
        <v>0</v>
      </c>
      <c r="L226" s="6"/>
    </row>
    <row r="227" spans="8:12" s="11" customFormat="1" x14ac:dyDescent="0.3">
      <c r="H227" s="8"/>
      <c r="I227" s="18"/>
      <c r="K227" s="36">
        <f>Table134567810111213[[#This Row],[الدولار]]+(Table134567810111213[[#This Row],[اللبناني]]/90)</f>
        <v>0</v>
      </c>
      <c r="L227" s="6"/>
    </row>
    <row r="228" spans="8:12" s="11" customFormat="1" x14ac:dyDescent="0.3">
      <c r="H228" s="8"/>
      <c r="I228" s="18"/>
      <c r="K228" s="36">
        <f>Table134567810111213[[#This Row],[الدولار]]+(Table134567810111213[[#This Row],[اللبناني]]/90)</f>
        <v>0</v>
      </c>
      <c r="L228" s="6"/>
    </row>
    <row r="229" spans="8:12" s="11" customFormat="1" x14ac:dyDescent="0.3">
      <c r="H229" s="8"/>
      <c r="I229" s="18"/>
      <c r="K229" s="36">
        <f>Table134567810111213[[#This Row],[الدولار]]+(Table134567810111213[[#This Row],[اللبناني]]/90)</f>
        <v>0</v>
      </c>
      <c r="L229" s="6"/>
    </row>
    <row r="230" spans="8:12" s="11" customFormat="1" x14ac:dyDescent="0.3">
      <c r="H230" s="8"/>
      <c r="I230" s="18"/>
      <c r="K230" s="36">
        <f>Table134567810111213[[#This Row],[الدولار]]+(Table134567810111213[[#This Row],[اللبناني]]/90)</f>
        <v>0</v>
      </c>
      <c r="L230" s="6"/>
    </row>
    <row r="231" spans="8:12" s="11" customFormat="1" x14ac:dyDescent="0.3">
      <c r="H231" s="8"/>
      <c r="I231" s="18"/>
      <c r="K231" s="36">
        <f>Table134567810111213[[#This Row],[الدولار]]+(Table134567810111213[[#This Row],[اللبناني]]/90)</f>
        <v>0</v>
      </c>
      <c r="L231" s="6"/>
    </row>
    <row r="232" spans="8:12" s="11" customFormat="1" x14ac:dyDescent="0.3">
      <c r="H232" s="8"/>
      <c r="I232" s="18"/>
      <c r="K232" s="36">
        <f>Table134567810111213[[#This Row],[الدولار]]+(Table134567810111213[[#This Row],[اللبناني]]/90)</f>
        <v>0</v>
      </c>
      <c r="L232" s="6"/>
    </row>
    <row r="233" spans="8:12" s="11" customFormat="1" x14ac:dyDescent="0.3">
      <c r="H233" s="8"/>
      <c r="I233" s="18"/>
      <c r="K233" s="36">
        <f>Table134567810111213[[#This Row],[الدولار]]+(Table134567810111213[[#This Row],[اللبناني]]/90)</f>
        <v>0</v>
      </c>
      <c r="L233" s="6"/>
    </row>
    <row r="234" spans="8:12" s="11" customFormat="1" x14ac:dyDescent="0.3">
      <c r="H234" s="8"/>
      <c r="I234" s="18"/>
      <c r="K234" s="36">
        <f>Table134567810111213[[#This Row],[الدولار]]+(Table134567810111213[[#This Row],[اللبناني]]/90)</f>
        <v>0</v>
      </c>
      <c r="L234" s="6"/>
    </row>
    <row r="235" spans="8:12" s="11" customFormat="1" x14ac:dyDescent="0.3">
      <c r="H235" s="8"/>
      <c r="I235" s="18"/>
      <c r="K235" s="36">
        <f>Table134567810111213[[#This Row],[الدولار]]+(Table134567810111213[[#This Row],[اللبناني]]/90)</f>
        <v>0</v>
      </c>
      <c r="L235" s="6"/>
    </row>
    <row r="236" spans="8:12" s="11" customFormat="1" x14ac:dyDescent="0.3">
      <c r="H236" s="8"/>
      <c r="I236" s="18"/>
      <c r="K236" s="36">
        <f>Table134567810111213[[#This Row],[الدولار]]+(Table134567810111213[[#This Row],[اللبناني]]/90)</f>
        <v>0</v>
      </c>
      <c r="L236" s="6"/>
    </row>
    <row r="237" spans="8:12" s="11" customFormat="1" x14ac:dyDescent="0.3">
      <c r="H237" s="8"/>
      <c r="I237" s="18"/>
      <c r="K237" s="36">
        <f>Table134567810111213[[#This Row],[الدولار]]+(Table134567810111213[[#This Row],[اللبناني]]/90)</f>
        <v>0</v>
      </c>
      <c r="L237" s="6"/>
    </row>
    <row r="238" spans="8:12" s="11" customFormat="1" x14ac:dyDescent="0.3">
      <c r="H238" s="8"/>
      <c r="I238" s="18"/>
      <c r="K238" s="36">
        <f>Table134567810111213[[#This Row],[الدولار]]+(Table134567810111213[[#This Row],[اللبناني]]/90)</f>
        <v>0</v>
      </c>
      <c r="L238" s="6"/>
    </row>
    <row r="239" spans="8:12" s="11" customFormat="1" x14ac:dyDescent="0.3">
      <c r="H239" s="8"/>
      <c r="I239" s="18"/>
      <c r="K239" s="36">
        <f>Table134567810111213[[#This Row],[الدولار]]+(Table134567810111213[[#This Row],[اللبناني]]/90)</f>
        <v>0</v>
      </c>
      <c r="L239" s="6"/>
    </row>
    <row r="240" spans="8:12" s="11" customFormat="1" x14ac:dyDescent="0.3">
      <c r="H240" s="8"/>
      <c r="I240" s="18"/>
      <c r="K240" s="36">
        <f>Table134567810111213[[#This Row],[الدولار]]+(Table134567810111213[[#This Row],[اللبناني]]/90)</f>
        <v>0</v>
      </c>
      <c r="L240" s="6"/>
    </row>
    <row r="241" spans="8:12" s="11" customFormat="1" x14ac:dyDescent="0.3">
      <c r="H241" s="8"/>
      <c r="I241" s="18"/>
      <c r="K241" s="36">
        <f>Table134567810111213[[#This Row],[الدولار]]+(Table134567810111213[[#This Row],[اللبناني]]/90)</f>
        <v>0</v>
      </c>
      <c r="L241" s="6"/>
    </row>
    <row r="242" spans="8:12" s="11" customFormat="1" x14ac:dyDescent="0.3">
      <c r="H242" s="8"/>
      <c r="I242" s="18"/>
      <c r="K242" s="36">
        <f>Table134567810111213[[#This Row],[الدولار]]+(Table134567810111213[[#This Row],[اللبناني]]/90)</f>
        <v>0</v>
      </c>
      <c r="L242" s="6"/>
    </row>
    <row r="243" spans="8:12" s="11" customFormat="1" x14ac:dyDescent="0.3">
      <c r="H243" s="8"/>
      <c r="I243" s="18"/>
      <c r="K243" s="36">
        <f>Table134567810111213[[#This Row],[الدولار]]+(Table134567810111213[[#This Row],[اللبناني]]/90)</f>
        <v>0</v>
      </c>
      <c r="L243" s="6"/>
    </row>
    <row r="244" spans="8:12" s="11" customFormat="1" x14ac:dyDescent="0.3">
      <c r="H244" s="8"/>
      <c r="I244" s="18"/>
      <c r="K244" s="36">
        <f>Table134567810111213[[#This Row],[الدولار]]+(Table134567810111213[[#This Row],[اللبناني]]/90)</f>
        <v>0</v>
      </c>
      <c r="L244" s="6"/>
    </row>
    <row r="245" spans="8:12" s="11" customFormat="1" x14ac:dyDescent="0.3">
      <c r="H245" s="8"/>
      <c r="I245" s="18"/>
      <c r="K245" s="36">
        <f>Table134567810111213[[#This Row],[الدولار]]+(Table134567810111213[[#This Row],[اللبناني]]/90)</f>
        <v>0</v>
      </c>
      <c r="L245" s="6"/>
    </row>
    <row r="246" spans="8:12" s="11" customFormat="1" x14ac:dyDescent="0.3">
      <c r="H246" s="8"/>
      <c r="I246" s="18"/>
      <c r="K246" s="36">
        <f>Table134567810111213[[#This Row],[الدولار]]+(Table134567810111213[[#This Row],[اللبناني]]/90)</f>
        <v>0</v>
      </c>
      <c r="L246" s="6"/>
    </row>
    <row r="247" spans="8:12" s="11" customFormat="1" x14ac:dyDescent="0.3">
      <c r="H247" s="8"/>
      <c r="I247" s="18"/>
      <c r="K247" s="36">
        <f>Table134567810111213[[#This Row],[الدولار]]+(Table134567810111213[[#This Row],[اللبناني]]/90)</f>
        <v>0</v>
      </c>
      <c r="L247" s="6"/>
    </row>
    <row r="248" spans="8:12" s="11" customFormat="1" x14ac:dyDescent="0.3">
      <c r="H248" s="8"/>
      <c r="I248" s="18"/>
      <c r="K248" s="36">
        <f>Table134567810111213[[#This Row],[الدولار]]+(Table134567810111213[[#This Row],[اللبناني]]/90)</f>
        <v>0</v>
      </c>
      <c r="L248" s="6"/>
    </row>
    <row r="249" spans="8:12" s="11" customFormat="1" x14ac:dyDescent="0.3">
      <c r="H249" s="8"/>
      <c r="I249" s="18"/>
      <c r="K249" s="36">
        <f>Table134567810111213[[#This Row],[الدولار]]+(Table134567810111213[[#This Row],[اللبناني]]/90)</f>
        <v>0</v>
      </c>
      <c r="L249" s="6"/>
    </row>
    <row r="250" spans="8:12" s="11" customFormat="1" x14ac:dyDescent="0.3">
      <c r="H250" s="8"/>
      <c r="I250" s="18"/>
      <c r="K250" s="36">
        <f>Table134567810111213[[#This Row],[الدولار]]+(Table134567810111213[[#This Row],[اللبناني]]/90)</f>
        <v>0</v>
      </c>
      <c r="L250" s="6"/>
    </row>
    <row r="251" spans="8:12" s="11" customFormat="1" x14ac:dyDescent="0.3">
      <c r="H251" s="8"/>
      <c r="I251" s="18"/>
      <c r="K251" s="36">
        <f>Table134567810111213[[#This Row],[الدولار]]+(Table134567810111213[[#This Row],[اللبناني]]/90)</f>
        <v>0</v>
      </c>
      <c r="L251" s="6"/>
    </row>
    <row r="252" spans="8:12" s="11" customFormat="1" x14ac:dyDescent="0.3">
      <c r="H252" s="8"/>
      <c r="I252" s="18"/>
      <c r="K252" s="36">
        <f>Table134567810111213[[#This Row],[الدولار]]+(Table134567810111213[[#This Row],[اللبناني]]/90)</f>
        <v>0</v>
      </c>
      <c r="L252" s="6"/>
    </row>
    <row r="253" spans="8:12" s="11" customFormat="1" x14ac:dyDescent="0.3">
      <c r="H253" s="8"/>
      <c r="I253" s="18"/>
      <c r="K253" s="36">
        <f>Table134567810111213[[#This Row],[الدولار]]+(Table134567810111213[[#This Row],[اللبناني]]/90)</f>
        <v>0</v>
      </c>
      <c r="L253" s="6"/>
    </row>
    <row r="254" spans="8:12" s="11" customFormat="1" x14ac:dyDescent="0.3">
      <c r="H254" s="8"/>
      <c r="I254" s="18"/>
      <c r="K254" s="36">
        <f>Table134567810111213[[#This Row],[الدولار]]+(Table134567810111213[[#This Row],[اللبناني]]/90)</f>
        <v>0</v>
      </c>
      <c r="L254" s="6"/>
    </row>
    <row r="255" spans="8:12" s="11" customFormat="1" x14ac:dyDescent="0.3">
      <c r="H255" s="8"/>
      <c r="I255" s="18"/>
      <c r="K255" s="36">
        <f>Table134567810111213[[#This Row],[الدولار]]+(Table134567810111213[[#This Row],[اللبناني]]/90)</f>
        <v>0</v>
      </c>
      <c r="L255" s="6"/>
    </row>
    <row r="256" spans="8:12" s="11" customFormat="1" x14ac:dyDescent="0.3">
      <c r="H256" s="8"/>
      <c r="I256" s="18"/>
      <c r="K256" s="36">
        <f>Table134567810111213[[#This Row],[الدولار]]+(Table134567810111213[[#This Row],[اللبناني]]/90)</f>
        <v>0</v>
      </c>
      <c r="L256" s="6"/>
    </row>
    <row r="257" spans="8:12" s="11" customFormat="1" x14ac:dyDescent="0.3">
      <c r="H257" s="8"/>
      <c r="I257" s="18"/>
      <c r="K257" s="36">
        <f>Table134567810111213[[#This Row],[الدولار]]+(Table134567810111213[[#This Row],[اللبناني]]/90)</f>
        <v>0</v>
      </c>
      <c r="L257" s="6"/>
    </row>
    <row r="258" spans="8:12" s="11" customFormat="1" x14ac:dyDescent="0.3">
      <c r="H258" s="8"/>
      <c r="I258" s="18"/>
      <c r="K258" s="36">
        <f>Table134567810111213[[#This Row],[الدولار]]+(Table134567810111213[[#This Row],[اللبناني]]/90)</f>
        <v>0</v>
      </c>
      <c r="L258" s="6"/>
    </row>
    <row r="259" spans="8:12" s="11" customFormat="1" x14ac:dyDescent="0.3">
      <c r="H259" s="8"/>
      <c r="I259" s="18"/>
      <c r="K259" s="36">
        <f>Table134567810111213[[#This Row],[الدولار]]+(Table134567810111213[[#This Row],[اللبناني]]/90)</f>
        <v>0</v>
      </c>
      <c r="L259" s="6"/>
    </row>
    <row r="260" spans="8:12" s="11" customFormat="1" x14ac:dyDescent="0.3">
      <c r="H260" s="8"/>
      <c r="I260" s="18"/>
      <c r="K260" s="36">
        <f>Table134567810111213[[#This Row],[الدولار]]+(Table134567810111213[[#This Row],[اللبناني]]/90)</f>
        <v>0</v>
      </c>
      <c r="L260" s="6"/>
    </row>
    <row r="261" spans="8:12" s="11" customFormat="1" x14ac:dyDescent="0.3">
      <c r="H261" s="8"/>
      <c r="I261" s="18"/>
      <c r="K261" s="36">
        <f>Table134567810111213[[#This Row],[الدولار]]+(Table134567810111213[[#This Row],[اللبناني]]/90)</f>
        <v>0</v>
      </c>
      <c r="L261" s="6"/>
    </row>
    <row r="262" spans="8:12" s="11" customFormat="1" x14ac:dyDescent="0.3">
      <c r="H262" s="8"/>
      <c r="I262" s="18"/>
      <c r="K262" s="36">
        <f>Table134567810111213[[#This Row],[الدولار]]+(Table134567810111213[[#This Row],[اللبناني]]/90)</f>
        <v>0</v>
      </c>
      <c r="L262" s="6"/>
    </row>
    <row r="263" spans="8:12" s="11" customFormat="1" x14ac:dyDescent="0.3">
      <c r="H263" s="8"/>
      <c r="I263" s="18"/>
      <c r="K263" s="36">
        <f>Table134567810111213[[#This Row],[الدولار]]+(Table134567810111213[[#This Row],[اللبناني]]/90)</f>
        <v>0</v>
      </c>
      <c r="L263" s="6"/>
    </row>
    <row r="264" spans="8:12" s="11" customFormat="1" x14ac:dyDescent="0.3">
      <c r="H264" s="8"/>
      <c r="I264" s="18"/>
      <c r="K264" s="36">
        <f>Table134567810111213[[#This Row],[الدولار]]+(Table134567810111213[[#This Row],[اللبناني]]/90)</f>
        <v>0</v>
      </c>
      <c r="L264" s="6"/>
    </row>
    <row r="265" spans="8:12" s="11" customFormat="1" x14ac:dyDescent="0.3">
      <c r="H265" s="8"/>
      <c r="I265" s="18"/>
      <c r="K265" s="36">
        <f>Table134567810111213[[#This Row],[الدولار]]+(Table134567810111213[[#This Row],[اللبناني]]/90)</f>
        <v>0</v>
      </c>
      <c r="L265" s="6"/>
    </row>
    <row r="266" spans="8:12" s="11" customFormat="1" x14ac:dyDescent="0.3">
      <c r="H266" s="8"/>
      <c r="I266" s="18"/>
      <c r="K266" s="36">
        <f>Table134567810111213[[#This Row],[الدولار]]+(Table134567810111213[[#This Row],[اللبناني]]/90)</f>
        <v>0</v>
      </c>
      <c r="L266" s="6"/>
    </row>
    <row r="267" spans="8:12" s="11" customFormat="1" x14ac:dyDescent="0.3">
      <c r="H267" s="8"/>
      <c r="I267" s="18"/>
      <c r="K267" s="36">
        <f>Table134567810111213[[#This Row],[الدولار]]+(Table134567810111213[[#This Row],[اللبناني]]/90)</f>
        <v>0</v>
      </c>
      <c r="L267" s="6"/>
    </row>
    <row r="268" spans="8:12" s="11" customFormat="1" x14ac:dyDescent="0.3">
      <c r="H268" s="8"/>
      <c r="I268" s="18"/>
      <c r="K268" s="36">
        <f>Table134567810111213[[#This Row],[الدولار]]+(Table134567810111213[[#This Row],[اللبناني]]/90)</f>
        <v>0</v>
      </c>
      <c r="L268" s="6"/>
    </row>
    <row r="269" spans="8:12" s="11" customFormat="1" x14ac:dyDescent="0.3">
      <c r="H269" s="8"/>
      <c r="I269" s="18"/>
      <c r="K269" s="36">
        <f>Table134567810111213[[#This Row],[الدولار]]+(Table134567810111213[[#This Row],[اللبناني]]/90)</f>
        <v>0</v>
      </c>
      <c r="L269" s="6"/>
    </row>
    <row r="270" spans="8:12" s="11" customFormat="1" x14ac:dyDescent="0.3">
      <c r="H270" s="8"/>
      <c r="I270" s="18"/>
      <c r="K270" s="36">
        <f>Table134567810111213[[#This Row],[الدولار]]+(Table134567810111213[[#This Row],[اللبناني]]/90)</f>
        <v>0</v>
      </c>
      <c r="L270" s="6"/>
    </row>
    <row r="271" spans="8:12" s="11" customFormat="1" x14ac:dyDescent="0.3">
      <c r="H271" s="8"/>
      <c r="I271" s="18"/>
      <c r="K271" s="36">
        <f>Table134567810111213[[#This Row],[الدولار]]+(Table134567810111213[[#This Row],[اللبناني]]/90)</f>
        <v>0</v>
      </c>
      <c r="L271" s="6"/>
    </row>
    <row r="272" spans="8:12" s="11" customFormat="1" x14ac:dyDescent="0.3">
      <c r="H272" s="8"/>
      <c r="I272" s="18"/>
      <c r="K272" s="36">
        <f>Table134567810111213[[#This Row],[الدولار]]+(Table134567810111213[[#This Row],[اللبناني]]/90)</f>
        <v>0</v>
      </c>
      <c r="L272" s="6"/>
    </row>
    <row r="273" spans="8:12" s="11" customFormat="1" x14ac:dyDescent="0.3">
      <c r="H273" s="8"/>
      <c r="I273" s="18"/>
      <c r="K273" s="36">
        <f>Table134567810111213[[#This Row],[الدولار]]+(Table134567810111213[[#This Row],[اللبناني]]/90)</f>
        <v>0</v>
      </c>
      <c r="L273" s="6"/>
    </row>
    <row r="274" spans="8:12" s="11" customFormat="1" x14ac:dyDescent="0.3">
      <c r="H274" s="8"/>
      <c r="I274" s="18"/>
      <c r="K274" s="36">
        <f>Table134567810111213[[#This Row],[الدولار]]+(Table134567810111213[[#This Row],[اللبناني]]/90)</f>
        <v>0</v>
      </c>
      <c r="L274" s="6"/>
    </row>
    <row r="275" spans="8:12" s="11" customFormat="1" x14ac:dyDescent="0.3">
      <c r="H275" s="8"/>
      <c r="I275" s="18"/>
      <c r="K275" s="36">
        <f>Table134567810111213[[#This Row],[الدولار]]+(Table134567810111213[[#This Row],[اللبناني]]/90)</f>
        <v>0</v>
      </c>
      <c r="L275" s="6"/>
    </row>
    <row r="276" spans="8:12" s="11" customFormat="1" x14ac:dyDescent="0.3">
      <c r="H276" s="8"/>
      <c r="I276" s="18"/>
      <c r="K276" s="36">
        <f>Table134567810111213[[#This Row],[الدولار]]+(Table134567810111213[[#This Row],[اللبناني]]/90)</f>
        <v>0</v>
      </c>
      <c r="L276" s="6"/>
    </row>
    <row r="277" spans="8:12" s="11" customFormat="1" x14ac:dyDescent="0.3">
      <c r="H277" s="8"/>
      <c r="I277" s="18"/>
      <c r="K277" s="36">
        <f>Table134567810111213[[#This Row],[الدولار]]+(Table134567810111213[[#This Row],[اللبناني]]/90)</f>
        <v>0</v>
      </c>
      <c r="L277" s="6"/>
    </row>
    <row r="278" spans="8:12" s="11" customFormat="1" x14ac:dyDescent="0.3">
      <c r="H278" s="8"/>
      <c r="I278" s="18"/>
      <c r="K278" s="36">
        <f>Table134567810111213[[#This Row],[الدولار]]+(Table134567810111213[[#This Row],[اللبناني]]/90)</f>
        <v>0</v>
      </c>
      <c r="L278" s="6"/>
    </row>
    <row r="279" spans="8:12" s="11" customFormat="1" x14ac:dyDescent="0.3">
      <c r="H279" s="8"/>
      <c r="I279" s="18"/>
      <c r="K279" s="36">
        <f>Table134567810111213[[#This Row],[الدولار]]+(Table134567810111213[[#This Row],[اللبناني]]/90)</f>
        <v>0</v>
      </c>
      <c r="L279" s="6"/>
    </row>
    <row r="280" spans="8:12" s="11" customFormat="1" x14ac:dyDescent="0.3">
      <c r="H280" s="8"/>
      <c r="I280" s="18"/>
      <c r="K280" s="36">
        <f>Table134567810111213[[#This Row],[الدولار]]+(Table134567810111213[[#This Row],[اللبناني]]/90)</f>
        <v>0</v>
      </c>
      <c r="L280" s="6"/>
    </row>
    <row r="281" spans="8:12" s="11" customFormat="1" x14ac:dyDescent="0.3">
      <c r="H281" s="8"/>
      <c r="I281" s="18"/>
      <c r="K281" s="36">
        <f>Table134567810111213[[#This Row],[الدولار]]+(Table134567810111213[[#This Row],[اللبناني]]/90)</f>
        <v>0</v>
      </c>
      <c r="L281" s="6"/>
    </row>
    <row r="282" spans="8:12" s="11" customFormat="1" x14ac:dyDescent="0.3">
      <c r="H282" s="8"/>
      <c r="I282" s="18"/>
      <c r="K282" s="36">
        <f>Table134567810111213[[#This Row],[الدولار]]+(Table134567810111213[[#This Row],[اللبناني]]/90)</f>
        <v>0</v>
      </c>
      <c r="L282" s="6"/>
    </row>
    <row r="283" spans="8:12" s="11" customFormat="1" x14ac:dyDescent="0.3">
      <c r="H283" s="8"/>
      <c r="I283" s="18"/>
      <c r="K283" s="36">
        <f>Table134567810111213[[#This Row],[الدولار]]+(Table134567810111213[[#This Row],[اللبناني]]/90)</f>
        <v>0</v>
      </c>
      <c r="L283" s="6"/>
    </row>
    <row r="284" spans="8:12" s="11" customFormat="1" x14ac:dyDescent="0.3">
      <c r="H284" s="8"/>
      <c r="I284" s="18"/>
      <c r="K284" s="36">
        <f>Table134567810111213[[#This Row],[الدولار]]+(Table134567810111213[[#This Row],[اللبناني]]/90)</f>
        <v>0</v>
      </c>
      <c r="L284" s="6"/>
    </row>
    <row r="285" spans="8:12" s="11" customFormat="1" x14ac:dyDescent="0.3">
      <c r="H285" s="8"/>
      <c r="I285" s="18"/>
      <c r="K285" s="36">
        <f>Table134567810111213[[#This Row],[الدولار]]+(Table134567810111213[[#This Row],[اللبناني]]/90)</f>
        <v>0</v>
      </c>
      <c r="L285" s="6"/>
    </row>
    <row r="286" spans="8:12" s="11" customFormat="1" x14ac:dyDescent="0.3">
      <c r="H286" s="8"/>
      <c r="I286" s="18"/>
      <c r="K286" s="36">
        <f>Table134567810111213[[#This Row],[الدولار]]+(Table134567810111213[[#This Row],[اللبناني]]/90)</f>
        <v>0</v>
      </c>
      <c r="L286" s="6"/>
    </row>
    <row r="287" spans="8:12" s="11" customFormat="1" x14ac:dyDescent="0.3">
      <c r="H287" s="8"/>
      <c r="I287" s="18"/>
      <c r="K287" s="36">
        <f>Table134567810111213[[#This Row],[الدولار]]+(Table134567810111213[[#This Row],[اللبناني]]/90)</f>
        <v>0</v>
      </c>
      <c r="L287" s="6"/>
    </row>
    <row r="288" spans="8:12" s="11" customFormat="1" x14ac:dyDescent="0.3">
      <c r="H288" s="8"/>
      <c r="I288" s="18"/>
      <c r="K288" s="36">
        <f>Table134567810111213[[#This Row],[الدولار]]+(Table134567810111213[[#This Row],[اللبناني]]/90)</f>
        <v>0</v>
      </c>
      <c r="L288" s="6"/>
    </row>
    <row r="289" spans="8:12" s="11" customFormat="1" x14ac:dyDescent="0.3">
      <c r="H289" s="8"/>
      <c r="I289" s="18"/>
      <c r="K289" s="36">
        <f>Table134567810111213[[#This Row],[الدولار]]+(Table134567810111213[[#This Row],[اللبناني]]/90)</f>
        <v>0</v>
      </c>
      <c r="L289" s="6"/>
    </row>
    <row r="290" spans="8:12" s="11" customFormat="1" x14ac:dyDescent="0.3">
      <c r="H290" s="8"/>
      <c r="I290" s="18"/>
      <c r="K290" s="36">
        <f>Table134567810111213[[#This Row],[الدولار]]+(Table134567810111213[[#This Row],[اللبناني]]/90)</f>
        <v>0</v>
      </c>
      <c r="L290" s="6"/>
    </row>
    <row r="291" spans="8:12" s="11" customFormat="1" x14ac:dyDescent="0.3">
      <c r="H291" s="8"/>
      <c r="I291" s="18"/>
      <c r="K291" s="36">
        <f>Table134567810111213[[#This Row],[الدولار]]+(Table134567810111213[[#This Row],[اللبناني]]/90)</f>
        <v>0</v>
      </c>
      <c r="L291" s="6"/>
    </row>
    <row r="292" spans="8:12" s="11" customFormat="1" x14ac:dyDescent="0.3">
      <c r="H292" s="8"/>
      <c r="I292" s="18"/>
      <c r="K292" s="36">
        <f>Table134567810111213[[#This Row],[الدولار]]+(Table134567810111213[[#This Row],[اللبناني]]/90)</f>
        <v>0</v>
      </c>
      <c r="L292" s="6"/>
    </row>
    <row r="293" spans="8:12" s="11" customFormat="1" x14ac:dyDescent="0.3">
      <c r="H293" s="8"/>
      <c r="I293" s="18"/>
      <c r="K293" s="36">
        <f>Table134567810111213[[#This Row],[الدولار]]+(Table134567810111213[[#This Row],[اللبناني]]/90)</f>
        <v>0</v>
      </c>
      <c r="L293" s="6"/>
    </row>
    <row r="294" spans="8:12" s="11" customFormat="1" x14ac:dyDescent="0.3">
      <c r="H294" s="8"/>
      <c r="I294" s="18"/>
      <c r="K294" s="36">
        <f>Table134567810111213[[#This Row],[الدولار]]+(Table134567810111213[[#This Row],[اللبناني]]/90)</f>
        <v>0</v>
      </c>
      <c r="L294" s="6"/>
    </row>
    <row r="295" spans="8:12" s="11" customFormat="1" x14ac:dyDescent="0.3">
      <c r="H295" s="8"/>
      <c r="I295" s="18"/>
      <c r="K295" s="36">
        <f>Table134567810111213[[#This Row],[الدولار]]+(Table134567810111213[[#This Row],[اللبناني]]/90)</f>
        <v>0</v>
      </c>
      <c r="L295" s="6"/>
    </row>
    <row r="296" spans="8:12" s="11" customFormat="1" x14ac:dyDescent="0.3">
      <c r="H296" s="8"/>
      <c r="I296" s="18"/>
      <c r="K296" s="36">
        <f>Table134567810111213[[#This Row],[الدولار]]+(Table134567810111213[[#This Row],[اللبناني]]/90)</f>
        <v>0</v>
      </c>
      <c r="L296" s="6"/>
    </row>
    <row r="297" spans="8:12" s="11" customFormat="1" x14ac:dyDescent="0.3">
      <c r="H297" s="8"/>
      <c r="I297" s="18"/>
      <c r="K297" s="36">
        <f>Table134567810111213[[#This Row],[الدولار]]+(Table134567810111213[[#This Row],[اللبناني]]/90)</f>
        <v>0</v>
      </c>
      <c r="L297" s="6"/>
    </row>
    <row r="298" spans="8:12" s="11" customFormat="1" x14ac:dyDescent="0.3">
      <c r="H298" s="8"/>
      <c r="I298" s="18"/>
      <c r="K298" s="36">
        <f>Table134567810111213[[#This Row],[الدولار]]+(Table134567810111213[[#This Row],[اللبناني]]/90)</f>
        <v>0</v>
      </c>
      <c r="L298" s="6"/>
    </row>
    <row r="299" spans="8:12" s="11" customFormat="1" x14ac:dyDescent="0.3">
      <c r="H299" s="8"/>
      <c r="I299" s="18"/>
      <c r="K299" s="36">
        <f>Table134567810111213[[#This Row],[الدولار]]+(Table134567810111213[[#This Row],[اللبناني]]/90)</f>
        <v>0</v>
      </c>
      <c r="L299" s="6"/>
    </row>
    <row r="300" spans="8:12" s="11" customFormat="1" x14ac:dyDescent="0.3">
      <c r="H300" s="8"/>
      <c r="I300" s="18"/>
      <c r="K300" s="36">
        <f>Table134567810111213[[#This Row],[الدولار]]+(Table134567810111213[[#This Row],[اللبناني]]/90)</f>
        <v>0</v>
      </c>
      <c r="L300" s="6"/>
    </row>
    <row r="301" spans="8:12" s="11" customFormat="1" x14ac:dyDescent="0.3">
      <c r="H301" s="8"/>
      <c r="I301" s="18"/>
      <c r="K301" s="36">
        <f>Table134567810111213[[#This Row],[الدولار]]+(Table134567810111213[[#This Row],[اللبناني]]/90)</f>
        <v>0</v>
      </c>
      <c r="L301" s="6"/>
    </row>
    <row r="302" spans="8:12" s="11" customFormat="1" x14ac:dyDescent="0.3">
      <c r="H302" s="8"/>
      <c r="I302" s="18"/>
      <c r="K302" s="36">
        <f>Table134567810111213[[#This Row],[الدولار]]+(Table134567810111213[[#This Row],[اللبناني]]/90)</f>
        <v>0</v>
      </c>
      <c r="L302" s="6"/>
    </row>
    <row r="303" spans="8:12" s="11" customFormat="1" x14ac:dyDescent="0.3">
      <c r="H303" s="8"/>
      <c r="I303" s="18"/>
      <c r="K303" s="36">
        <f>Table134567810111213[[#This Row],[الدولار]]+(Table134567810111213[[#This Row],[اللبناني]]/90)</f>
        <v>0</v>
      </c>
      <c r="L303" s="6"/>
    </row>
    <row r="304" spans="8:12" s="11" customFormat="1" x14ac:dyDescent="0.3">
      <c r="H304" s="8"/>
      <c r="I304" s="18"/>
      <c r="K304" s="36">
        <f>Table134567810111213[[#This Row],[الدولار]]+(Table134567810111213[[#This Row],[اللبناني]]/90)</f>
        <v>0</v>
      </c>
      <c r="L304" s="6"/>
    </row>
    <row r="305" spans="8:12" s="11" customFormat="1" x14ac:dyDescent="0.3">
      <c r="H305" s="8"/>
      <c r="I305" s="18"/>
      <c r="K305" s="36">
        <f>Table134567810111213[[#This Row],[الدولار]]+(Table134567810111213[[#This Row],[اللبناني]]/90)</f>
        <v>0</v>
      </c>
      <c r="L305" s="6"/>
    </row>
    <row r="306" spans="8:12" s="11" customFormat="1" x14ac:dyDescent="0.3">
      <c r="H306" s="8"/>
      <c r="I306" s="18"/>
      <c r="K306" s="36">
        <f>Table134567810111213[[#This Row],[الدولار]]+(Table134567810111213[[#This Row],[اللبناني]]/90)</f>
        <v>0</v>
      </c>
      <c r="L306" s="6"/>
    </row>
    <row r="307" spans="8:12" s="11" customFormat="1" x14ac:dyDescent="0.3">
      <c r="H307" s="8"/>
      <c r="I307" s="18"/>
      <c r="K307" s="36">
        <f>Table134567810111213[[#This Row],[الدولار]]+(Table134567810111213[[#This Row],[اللبناني]]/90)</f>
        <v>0</v>
      </c>
      <c r="L307" s="6"/>
    </row>
    <row r="308" spans="8:12" s="11" customFormat="1" x14ac:dyDescent="0.3">
      <c r="H308" s="8"/>
      <c r="I308" s="18"/>
      <c r="K308" s="36">
        <f>Table134567810111213[[#This Row],[الدولار]]+(Table134567810111213[[#This Row],[اللبناني]]/90)</f>
        <v>0</v>
      </c>
      <c r="L308" s="6"/>
    </row>
    <row r="309" spans="8:12" s="11" customFormat="1" x14ac:dyDescent="0.3">
      <c r="H309" s="8"/>
      <c r="I309" s="18"/>
      <c r="K309" s="36">
        <f>Table134567810111213[[#This Row],[الدولار]]+(Table134567810111213[[#This Row],[اللبناني]]/90)</f>
        <v>0</v>
      </c>
      <c r="L309" s="6"/>
    </row>
    <row r="310" spans="8:12" s="11" customFormat="1" x14ac:dyDescent="0.3">
      <c r="H310" s="8"/>
      <c r="I310" s="18"/>
      <c r="K310" s="36">
        <f>Table134567810111213[[#This Row],[الدولار]]+(Table134567810111213[[#This Row],[اللبناني]]/90)</f>
        <v>0</v>
      </c>
      <c r="L310" s="6"/>
    </row>
    <row r="311" spans="8:12" s="11" customFormat="1" x14ac:dyDescent="0.3">
      <c r="H311" s="8"/>
      <c r="I311" s="18"/>
      <c r="K311" s="36">
        <f>Table134567810111213[[#This Row],[الدولار]]+(Table134567810111213[[#This Row],[اللبناني]]/90)</f>
        <v>0</v>
      </c>
      <c r="L311" s="6"/>
    </row>
    <row r="312" spans="8:12" s="11" customFormat="1" x14ac:dyDescent="0.3">
      <c r="H312" s="8"/>
      <c r="I312" s="18"/>
      <c r="K312" s="36">
        <f>Table134567810111213[[#This Row],[الدولار]]+(Table134567810111213[[#This Row],[اللبناني]]/90)</f>
        <v>0</v>
      </c>
      <c r="L312" s="6"/>
    </row>
    <row r="313" spans="8:12" s="11" customFormat="1" x14ac:dyDescent="0.3">
      <c r="H313" s="8"/>
      <c r="I313" s="18"/>
      <c r="K313" s="36">
        <f>Table134567810111213[[#This Row],[الدولار]]+(Table134567810111213[[#This Row],[اللبناني]]/90)</f>
        <v>0</v>
      </c>
      <c r="L313" s="6"/>
    </row>
    <row r="314" spans="8:12" s="11" customFormat="1" x14ac:dyDescent="0.3">
      <c r="H314" s="8"/>
      <c r="I314" s="18"/>
      <c r="K314" s="36">
        <f>Table134567810111213[[#This Row],[الدولار]]+(Table134567810111213[[#This Row],[اللبناني]]/90)</f>
        <v>0</v>
      </c>
      <c r="L314" s="6"/>
    </row>
    <row r="315" spans="8:12" s="11" customFormat="1" x14ac:dyDescent="0.3">
      <c r="H315" s="8"/>
      <c r="I315" s="18"/>
      <c r="K315" s="36">
        <f>Table134567810111213[[#This Row],[الدولار]]+(Table134567810111213[[#This Row],[اللبناني]]/90)</f>
        <v>0</v>
      </c>
      <c r="L315" s="6"/>
    </row>
    <row r="316" spans="8:12" s="11" customFormat="1" x14ac:dyDescent="0.3">
      <c r="H316" s="8"/>
      <c r="I316" s="18"/>
      <c r="K316" s="36">
        <f>Table134567810111213[[#This Row],[الدولار]]+(Table134567810111213[[#This Row],[اللبناني]]/90)</f>
        <v>0</v>
      </c>
      <c r="L316" s="6"/>
    </row>
    <row r="317" spans="8:12" s="11" customFormat="1" x14ac:dyDescent="0.3">
      <c r="H317" s="8"/>
      <c r="I317" s="18"/>
      <c r="K317" s="36">
        <f>Table134567810111213[[#This Row],[الدولار]]+(Table134567810111213[[#This Row],[اللبناني]]/90)</f>
        <v>0</v>
      </c>
      <c r="L317" s="6"/>
    </row>
    <row r="318" spans="8:12" s="11" customFormat="1" x14ac:dyDescent="0.3">
      <c r="H318" s="8"/>
      <c r="I318" s="18"/>
      <c r="K318" s="36">
        <f>Table134567810111213[[#This Row],[الدولار]]+(Table134567810111213[[#This Row],[اللبناني]]/90)</f>
        <v>0</v>
      </c>
      <c r="L318" s="6"/>
    </row>
    <row r="319" spans="8:12" s="11" customFormat="1" x14ac:dyDescent="0.3">
      <c r="H319" s="8"/>
      <c r="I319" s="18"/>
      <c r="K319" s="36">
        <f>Table134567810111213[[#This Row],[الدولار]]+(Table134567810111213[[#This Row],[اللبناني]]/90)</f>
        <v>0</v>
      </c>
      <c r="L319" s="6"/>
    </row>
    <row r="320" spans="8:12" s="11" customFormat="1" x14ac:dyDescent="0.3">
      <c r="H320" s="8"/>
      <c r="I320" s="18"/>
      <c r="K320" s="36">
        <f>Table134567810111213[[#This Row],[الدولار]]+(Table134567810111213[[#This Row],[اللبناني]]/90)</f>
        <v>0</v>
      </c>
      <c r="L320" s="6"/>
    </row>
    <row r="321" spans="8:12" s="11" customFormat="1" x14ac:dyDescent="0.3">
      <c r="H321" s="8"/>
      <c r="I321" s="18"/>
      <c r="K321" s="36">
        <f>Table134567810111213[[#This Row],[الدولار]]+(Table134567810111213[[#This Row],[اللبناني]]/90)</f>
        <v>0</v>
      </c>
      <c r="L321" s="6"/>
    </row>
    <row r="322" spans="8:12" s="11" customFormat="1" x14ac:dyDescent="0.3">
      <c r="H322" s="8"/>
      <c r="I322" s="18"/>
      <c r="K322" s="36">
        <f>Table134567810111213[[#This Row],[الدولار]]+(Table134567810111213[[#This Row],[اللبناني]]/90)</f>
        <v>0</v>
      </c>
      <c r="L322" s="6"/>
    </row>
    <row r="323" spans="8:12" s="11" customFormat="1" x14ac:dyDescent="0.3">
      <c r="H323" s="8"/>
      <c r="I323" s="18"/>
      <c r="K323" s="36">
        <f>Table134567810111213[[#This Row],[الدولار]]+(Table134567810111213[[#This Row],[اللبناني]]/90)</f>
        <v>0</v>
      </c>
      <c r="L323" s="6"/>
    </row>
    <row r="324" spans="8:12" s="11" customFormat="1" x14ac:dyDescent="0.3">
      <c r="H324" s="8"/>
      <c r="I324" s="18"/>
      <c r="K324" s="36">
        <f>Table134567810111213[[#This Row],[الدولار]]+(Table134567810111213[[#This Row],[اللبناني]]/90)</f>
        <v>0</v>
      </c>
      <c r="L324" s="6"/>
    </row>
    <row r="325" spans="8:12" s="11" customFormat="1" x14ac:dyDescent="0.3">
      <c r="H325" s="8"/>
      <c r="I325" s="18"/>
      <c r="K325" s="36">
        <f>Table134567810111213[[#This Row],[الدولار]]+(Table134567810111213[[#This Row],[اللبناني]]/90)</f>
        <v>0</v>
      </c>
      <c r="L325" s="6"/>
    </row>
    <row r="326" spans="8:12" s="11" customFormat="1" x14ac:dyDescent="0.3">
      <c r="H326" s="8"/>
      <c r="I326" s="18"/>
      <c r="K326" s="36">
        <f>Table134567810111213[[#This Row],[الدولار]]+(Table134567810111213[[#This Row],[اللبناني]]/90)</f>
        <v>0</v>
      </c>
      <c r="L326" s="6"/>
    </row>
    <row r="327" spans="8:12" s="11" customFormat="1" x14ac:dyDescent="0.3">
      <c r="H327" s="8"/>
      <c r="I327" s="18"/>
      <c r="K327" s="36">
        <f>Table134567810111213[[#This Row],[الدولار]]+(Table134567810111213[[#This Row],[اللبناني]]/90)</f>
        <v>0</v>
      </c>
      <c r="L327" s="6"/>
    </row>
    <row r="328" spans="8:12" s="11" customFormat="1" x14ac:dyDescent="0.3">
      <c r="H328" s="8"/>
      <c r="I328" s="18"/>
      <c r="K328" s="36">
        <f>Table134567810111213[[#This Row],[الدولار]]+(Table134567810111213[[#This Row],[اللبناني]]/90)</f>
        <v>0</v>
      </c>
      <c r="L328" s="6"/>
    </row>
    <row r="329" spans="8:12" s="11" customFormat="1" x14ac:dyDescent="0.3">
      <c r="H329" s="8"/>
      <c r="I329" s="18"/>
      <c r="K329" s="36">
        <f>Table134567810111213[[#This Row],[الدولار]]+(Table134567810111213[[#This Row],[اللبناني]]/90)</f>
        <v>0</v>
      </c>
      <c r="L329" s="6"/>
    </row>
    <row r="330" spans="8:12" s="11" customFormat="1" x14ac:dyDescent="0.3">
      <c r="H330" s="8"/>
      <c r="I330" s="18"/>
      <c r="K330" s="36">
        <f>Table134567810111213[[#This Row],[الدولار]]+(Table134567810111213[[#This Row],[اللبناني]]/90)</f>
        <v>0</v>
      </c>
      <c r="L330" s="6"/>
    </row>
    <row r="331" spans="8:12" s="11" customFormat="1" x14ac:dyDescent="0.3">
      <c r="H331" s="8"/>
      <c r="I331" s="18"/>
      <c r="K331" s="36">
        <f>Table134567810111213[[#This Row],[الدولار]]+(Table134567810111213[[#This Row],[اللبناني]]/90)</f>
        <v>0</v>
      </c>
      <c r="L331" s="6"/>
    </row>
    <row r="332" spans="8:12" s="11" customFormat="1" x14ac:dyDescent="0.3">
      <c r="H332" s="8"/>
      <c r="I332" s="18"/>
      <c r="K332" s="36">
        <f>Table134567810111213[[#This Row],[الدولار]]+(Table134567810111213[[#This Row],[اللبناني]]/90)</f>
        <v>0</v>
      </c>
      <c r="L332" s="6"/>
    </row>
    <row r="333" spans="8:12" s="11" customFormat="1" x14ac:dyDescent="0.3">
      <c r="H333" s="8"/>
      <c r="I333" s="18"/>
      <c r="K333" s="36">
        <f>Table134567810111213[[#This Row],[الدولار]]+(Table134567810111213[[#This Row],[اللبناني]]/90)</f>
        <v>0</v>
      </c>
      <c r="L333" s="6"/>
    </row>
    <row r="334" spans="8:12" s="11" customFormat="1" x14ac:dyDescent="0.3">
      <c r="H334" s="8"/>
      <c r="I334" s="18"/>
      <c r="K334" s="36">
        <f>Table134567810111213[[#This Row],[الدولار]]+(Table134567810111213[[#This Row],[اللبناني]]/90)</f>
        <v>0</v>
      </c>
      <c r="L334" s="6"/>
    </row>
    <row r="335" spans="8:12" s="11" customFormat="1" x14ac:dyDescent="0.3">
      <c r="H335" s="8"/>
      <c r="I335" s="18"/>
      <c r="K335" s="36">
        <f>Table134567810111213[[#This Row],[الدولار]]+(Table134567810111213[[#This Row],[اللبناني]]/90)</f>
        <v>0</v>
      </c>
      <c r="L335" s="6"/>
    </row>
    <row r="336" spans="8:12" s="11" customFormat="1" x14ac:dyDescent="0.3">
      <c r="H336" s="8"/>
      <c r="I336" s="18"/>
      <c r="K336" s="36">
        <f>Table134567810111213[[#This Row],[الدولار]]+(Table134567810111213[[#This Row],[اللبناني]]/90)</f>
        <v>0</v>
      </c>
      <c r="L336" s="6"/>
    </row>
    <row r="337" spans="8:12" s="11" customFormat="1" x14ac:dyDescent="0.3">
      <c r="H337" s="8"/>
      <c r="I337" s="18"/>
      <c r="K337" s="36">
        <f>Table134567810111213[[#This Row],[الدولار]]+(Table134567810111213[[#This Row],[اللبناني]]/90)</f>
        <v>0</v>
      </c>
      <c r="L337" s="6"/>
    </row>
    <row r="338" spans="8:12" s="11" customFormat="1" x14ac:dyDescent="0.3">
      <c r="H338" s="8"/>
      <c r="I338" s="18"/>
      <c r="K338" s="36">
        <f>Table134567810111213[[#This Row],[الدولار]]+(Table134567810111213[[#This Row],[اللبناني]]/90)</f>
        <v>0</v>
      </c>
      <c r="L338" s="6"/>
    </row>
    <row r="339" spans="8:12" s="11" customFormat="1" x14ac:dyDescent="0.3">
      <c r="H339" s="8"/>
      <c r="I339" s="18"/>
      <c r="K339" s="36">
        <f>Table134567810111213[[#This Row],[الدولار]]+(Table134567810111213[[#This Row],[اللبناني]]/90)</f>
        <v>0</v>
      </c>
      <c r="L339" s="6"/>
    </row>
    <row r="340" spans="8:12" s="11" customFormat="1" x14ac:dyDescent="0.3">
      <c r="H340" s="8"/>
      <c r="I340" s="18"/>
      <c r="K340" s="36">
        <f>Table134567810111213[[#This Row],[الدولار]]+(Table134567810111213[[#This Row],[اللبناني]]/90)</f>
        <v>0</v>
      </c>
      <c r="L340" s="6"/>
    </row>
    <row r="341" spans="8:12" s="11" customFormat="1" x14ac:dyDescent="0.3">
      <c r="H341" s="8"/>
      <c r="I341" s="18"/>
      <c r="K341" s="36">
        <f>Table134567810111213[[#This Row],[الدولار]]+(Table134567810111213[[#This Row],[اللبناني]]/90)</f>
        <v>0</v>
      </c>
      <c r="L341" s="6"/>
    </row>
    <row r="342" spans="8:12" s="11" customFormat="1" x14ac:dyDescent="0.3">
      <c r="H342" s="8"/>
      <c r="I342" s="18"/>
      <c r="K342" s="36">
        <f>Table134567810111213[[#This Row],[الدولار]]+(Table134567810111213[[#This Row],[اللبناني]]/90)</f>
        <v>0</v>
      </c>
      <c r="L342" s="6"/>
    </row>
  </sheetData>
  <mergeCells count="4">
    <mergeCell ref="A1:F1"/>
    <mergeCell ref="M1:R1"/>
    <mergeCell ref="P10:Q10"/>
    <mergeCell ref="M11:N11"/>
  </mergeCells>
  <pageMargins left="0.25" right="0.25" top="0.75" bottom="0.75" header="0.3" footer="0.3"/>
  <pageSetup paperSize="9" scale="74" fitToHeight="0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1AD3-3BEF-41AF-83B5-1B4009EECFBF}">
  <sheetPr codeName="Sheet13">
    <pageSetUpPr fitToPage="1"/>
  </sheetPr>
  <dimension ref="A1:Q342"/>
  <sheetViews>
    <sheetView rightToLeft="1" zoomScale="115" zoomScaleNormal="115" workbookViewId="0">
      <pane ySplit="13" topLeftCell="A47" activePane="bottomLeft" state="frozen"/>
      <selection pane="bottomLeft" activeCell="I53" sqref="I53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7.88671875" style="2" bestFit="1" customWidth="1"/>
    <col min="4" max="4" width="9.109375" style="2" bestFit="1" customWidth="1"/>
    <col min="5" max="5" width="5.109375" style="2" bestFit="1" customWidth="1"/>
    <col min="6" max="6" width="10.44140625" style="2" bestFit="1" customWidth="1"/>
    <col min="7" max="7" width="2.44140625" style="2" customWidth="1"/>
    <col min="8" max="8" width="14.109375" style="8" bestFit="1" customWidth="1"/>
    <col min="9" max="9" width="9.44140625" style="7" bestFit="1" customWidth="1"/>
    <col min="10" max="10" width="8.5546875" style="11" bestFit="1" customWidth="1"/>
    <col min="11" max="11" width="3.33203125" style="6" customWidth="1"/>
    <col min="12" max="12" width="9.44140625" style="2" bestFit="1" customWidth="1"/>
    <col min="13" max="13" width="5.109375" style="2" bestFit="1" customWidth="1"/>
    <col min="14" max="14" width="8.5546875" style="2" bestFit="1" customWidth="1"/>
    <col min="15" max="15" width="9.109375" style="2" bestFit="1" customWidth="1"/>
    <col min="16" max="16" width="5.109375" style="2" bestFit="1" customWidth="1"/>
    <col min="17" max="17" width="11.109375" style="2" bestFit="1" customWidth="1"/>
    <col min="18" max="16384" width="8.88671875" style="2"/>
  </cols>
  <sheetData>
    <row r="1" spans="1:17" x14ac:dyDescent="0.3">
      <c r="A1" s="65" t="s">
        <v>29</v>
      </c>
      <c r="B1" s="65"/>
      <c r="C1" s="65"/>
      <c r="D1" s="65"/>
      <c r="E1" s="65"/>
      <c r="F1" s="65"/>
      <c r="H1" s="8" t="s">
        <v>38</v>
      </c>
      <c r="I1" s="7">
        <f>SUM(Table13456781011121314[اللبناني])</f>
        <v>-2260</v>
      </c>
      <c r="J1" s="7">
        <f>SUM(Table13456781011121314[الدولار])</f>
        <v>1070</v>
      </c>
      <c r="L1" s="65" t="s">
        <v>33</v>
      </c>
      <c r="M1" s="65"/>
      <c r="N1" s="65"/>
      <c r="O1" s="65"/>
      <c r="P1" s="65"/>
      <c r="Q1" s="65"/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C3" s="21">
        <f>A3*B3</f>
        <v>0</v>
      </c>
      <c r="D3" s="17">
        <v>5</v>
      </c>
      <c r="E3" s="2">
        <v>71</v>
      </c>
      <c r="F3" s="23">
        <f>D3*E3</f>
        <v>355</v>
      </c>
      <c r="G3" s="5"/>
      <c r="H3" s="10" t="s">
        <v>198</v>
      </c>
      <c r="I3" s="20"/>
      <c r="J3" s="11">
        <v>40</v>
      </c>
      <c r="L3" s="15">
        <v>1</v>
      </c>
      <c r="M3" s="2">
        <v>1</v>
      </c>
      <c r="N3" s="21">
        <f>L3*M3</f>
        <v>1</v>
      </c>
      <c r="O3" s="17">
        <v>5</v>
      </c>
      <c r="P3" s="2">
        <v>70</v>
      </c>
      <c r="Q3" s="23">
        <f>O3*P3</f>
        <v>350</v>
      </c>
    </row>
    <row r="4" spans="1:17" x14ac:dyDescent="0.3">
      <c r="A4" s="15">
        <v>5</v>
      </c>
      <c r="B4" s="2">
        <v>3</v>
      </c>
      <c r="C4" s="21">
        <f t="shared" ref="C4:C8" si="0">A4*B4</f>
        <v>15</v>
      </c>
      <c r="D4" s="17">
        <v>10</v>
      </c>
      <c r="E4" s="2">
        <v>11</v>
      </c>
      <c r="F4" s="23">
        <f t="shared" ref="F4:F7" si="1">D4*E4</f>
        <v>110</v>
      </c>
      <c r="G4" s="5"/>
      <c r="H4" s="10" t="s">
        <v>199</v>
      </c>
      <c r="I4" s="20"/>
      <c r="J4" s="11">
        <v>150</v>
      </c>
      <c r="L4" s="15">
        <v>5</v>
      </c>
      <c r="M4" s="2">
        <v>5</v>
      </c>
      <c r="N4" s="21">
        <f t="shared" ref="N4:N8" si="2">L4*M4</f>
        <v>25</v>
      </c>
      <c r="O4" s="17">
        <v>10</v>
      </c>
      <c r="P4" s="2">
        <v>5</v>
      </c>
      <c r="Q4" s="23">
        <f t="shared" ref="Q4:Q7" si="3">O4*P4</f>
        <v>50</v>
      </c>
    </row>
    <row r="5" spans="1:17" x14ac:dyDescent="0.3">
      <c r="A5" s="15">
        <v>10</v>
      </c>
      <c r="B5" s="2">
        <v>40</v>
      </c>
      <c r="C5" s="21">
        <f t="shared" si="0"/>
        <v>400</v>
      </c>
      <c r="D5" s="17">
        <v>20</v>
      </c>
      <c r="F5" s="23">
        <f t="shared" si="1"/>
        <v>0</v>
      </c>
      <c r="G5" s="5"/>
      <c r="H5" s="10" t="s">
        <v>200</v>
      </c>
      <c r="I5" s="20">
        <v>140</v>
      </c>
      <c r="L5" s="15">
        <v>10</v>
      </c>
      <c r="M5" s="2">
        <v>46</v>
      </c>
      <c r="N5" s="21">
        <f t="shared" si="2"/>
        <v>460</v>
      </c>
      <c r="O5" s="17">
        <v>20</v>
      </c>
      <c r="P5" s="2">
        <v>1</v>
      </c>
      <c r="Q5" s="23">
        <f t="shared" si="3"/>
        <v>20</v>
      </c>
    </row>
    <row r="6" spans="1:17" x14ac:dyDescent="0.3">
      <c r="A6" s="15">
        <v>20</v>
      </c>
      <c r="B6" s="2">
        <v>7</v>
      </c>
      <c r="C6" s="21">
        <f t="shared" si="0"/>
        <v>140</v>
      </c>
      <c r="D6" s="17">
        <v>50</v>
      </c>
      <c r="F6" s="23">
        <f t="shared" si="1"/>
        <v>0</v>
      </c>
      <c r="G6" s="5"/>
      <c r="H6" s="10" t="s">
        <v>201</v>
      </c>
      <c r="I6" s="20">
        <v>50</v>
      </c>
      <c r="L6" s="15">
        <v>20</v>
      </c>
      <c r="M6" s="2">
        <v>13</v>
      </c>
      <c r="N6" s="21">
        <f t="shared" si="2"/>
        <v>260</v>
      </c>
      <c r="O6" s="17">
        <v>50</v>
      </c>
      <c r="Q6" s="23">
        <f t="shared" si="3"/>
        <v>0</v>
      </c>
    </row>
    <row r="7" spans="1:17" x14ac:dyDescent="0.3">
      <c r="A7" s="15">
        <v>50</v>
      </c>
      <c r="B7" s="2">
        <v>1</v>
      </c>
      <c r="C7" s="21">
        <f t="shared" si="0"/>
        <v>50</v>
      </c>
      <c r="D7" s="17">
        <v>100</v>
      </c>
      <c r="E7" s="2">
        <v>59</v>
      </c>
      <c r="F7" s="23">
        <f t="shared" si="1"/>
        <v>5900</v>
      </c>
      <c r="G7" s="5"/>
      <c r="H7" s="33" t="s">
        <v>202</v>
      </c>
      <c r="I7" s="20">
        <v>-100</v>
      </c>
      <c r="J7" s="11">
        <v>140</v>
      </c>
      <c r="L7" s="15">
        <v>50</v>
      </c>
      <c r="M7" s="2">
        <v>5</v>
      </c>
      <c r="N7" s="21">
        <f t="shared" si="2"/>
        <v>250</v>
      </c>
      <c r="O7" s="17">
        <v>100</v>
      </c>
      <c r="P7" s="2">
        <v>36</v>
      </c>
      <c r="Q7" s="23">
        <f t="shared" si="3"/>
        <v>3600</v>
      </c>
    </row>
    <row r="8" spans="1:17" x14ac:dyDescent="0.3">
      <c r="A8" s="15">
        <v>100</v>
      </c>
      <c r="B8" s="2">
        <v>1</v>
      </c>
      <c r="C8" s="21">
        <f t="shared" si="0"/>
        <v>100</v>
      </c>
      <c r="D8" s="1" t="s">
        <v>1</v>
      </c>
      <c r="E8" s="1"/>
      <c r="F8" s="19">
        <f>SUM(F3:F7)</f>
        <v>6365</v>
      </c>
      <c r="G8" s="5"/>
      <c r="H8" s="10" t="s">
        <v>10</v>
      </c>
      <c r="I8" s="20"/>
      <c r="J8" s="11">
        <v>300</v>
      </c>
      <c r="L8" s="15">
        <v>100</v>
      </c>
      <c r="M8" s="2">
        <v>11</v>
      </c>
      <c r="N8" s="21">
        <f t="shared" si="2"/>
        <v>1100</v>
      </c>
      <c r="O8" s="1" t="s">
        <v>1</v>
      </c>
      <c r="P8" s="1"/>
      <c r="Q8" s="19">
        <f>SUM(Q3:Q7)</f>
        <v>4020</v>
      </c>
    </row>
    <row r="9" spans="1:17" x14ac:dyDescent="0.3">
      <c r="A9" s="1" t="s">
        <v>1</v>
      </c>
      <c r="B9" s="1"/>
      <c r="C9" s="22">
        <f>SUM(C3:C8)</f>
        <v>705</v>
      </c>
      <c r="H9" s="10" t="s">
        <v>161</v>
      </c>
      <c r="I9" s="20"/>
      <c r="J9" s="11">
        <v>50</v>
      </c>
      <c r="L9" s="1" t="s">
        <v>1</v>
      </c>
      <c r="M9" s="1"/>
      <c r="N9" s="22">
        <f>SUM(N3:N8)</f>
        <v>2096</v>
      </c>
      <c r="Q9" s="20"/>
    </row>
    <row r="10" spans="1:17" x14ac:dyDescent="0.3">
      <c r="H10" s="10" t="s">
        <v>107</v>
      </c>
      <c r="I10" s="20">
        <v>180</v>
      </c>
      <c r="N10" s="27"/>
      <c r="O10" s="66" t="s">
        <v>40</v>
      </c>
      <c r="P10" s="66"/>
      <c r="Q10" s="24">
        <f>SUM(Table13456781011121314[اللبناني])</f>
        <v>-2260</v>
      </c>
    </row>
    <row r="11" spans="1:17" x14ac:dyDescent="0.3">
      <c r="H11" s="10" t="s">
        <v>203</v>
      </c>
      <c r="I11" s="20"/>
      <c r="J11" s="11">
        <v>5</v>
      </c>
      <c r="L11" s="66" t="s">
        <v>39</v>
      </c>
      <c r="M11" s="66"/>
      <c r="N11" s="12">
        <f>SUM(Table13456781011121314[الدولار])</f>
        <v>1070</v>
      </c>
      <c r="Q11" s="20"/>
    </row>
    <row r="12" spans="1:17" x14ac:dyDescent="0.3">
      <c r="H12" s="10" t="s">
        <v>204</v>
      </c>
      <c r="I12" s="20">
        <v>50</v>
      </c>
      <c r="N12" s="27"/>
      <c r="O12" s="1" t="s">
        <v>27</v>
      </c>
      <c r="P12" s="1"/>
      <c r="Q12" s="24">
        <f>Q8-Q10-F8</f>
        <v>-85</v>
      </c>
    </row>
    <row r="13" spans="1:17" x14ac:dyDescent="0.3">
      <c r="C13" s="14"/>
      <c r="D13" s="14"/>
      <c r="F13" s="14"/>
      <c r="H13" s="10" t="s">
        <v>205</v>
      </c>
      <c r="I13" s="20">
        <v>-270</v>
      </c>
      <c r="J13" s="11">
        <v>125</v>
      </c>
      <c r="L13" s="1" t="s">
        <v>27</v>
      </c>
      <c r="M13" s="1"/>
      <c r="N13" s="12">
        <f>N9-N11-C9</f>
        <v>321</v>
      </c>
    </row>
    <row r="14" spans="1:17" x14ac:dyDescent="0.3">
      <c r="C14" s="14"/>
      <c r="D14" s="14"/>
      <c r="F14" s="14"/>
      <c r="H14" s="10" t="s">
        <v>206</v>
      </c>
      <c r="I14" s="18"/>
      <c r="J14" s="11">
        <v>70</v>
      </c>
    </row>
    <row r="15" spans="1:17" x14ac:dyDescent="0.3">
      <c r="C15" s="14"/>
      <c r="D15" s="14"/>
      <c r="F15" s="14"/>
      <c r="H15" s="10" t="s">
        <v>207</v>
      </c>
      <c r="I15" s="18"/>
      <c r="J15" s="11">
        <v>7</v>
      </c>
    </row>
    <row r="16" spans="1:17" x14ac:dyDescent="0.3">
      <c r="C16" s="14"/>
      <c r="D16" s="14"/>
      <c r="F16" s="14"/>
      <c r="H16" s="10" t="s">
        <v>111</v>
      </c>
      <c r="I16" s="18">
        <v>40</v>
      </c>
    </row>
    <row r="17" spans="3:11" s="11" customFormat="1" x14ac:dyDescent="0.3">
      <c r="C17" s="14"/>
      <c r="D17" s="14"/>
      <c r="E17" s="2"/>
      <c r="F17" s="14"/>
      <c r="G17" s="2"/>
      <c r="H17" s="10" t="s">
        <v>49</v>
      </c>
      <c r="I17" s="20">
        <v>150</v>
      </c>
      <c r="J17" s="11">
        <v>5</v>
      </c>
      <c r="K17" s="6"/>
    </row>
    <row r="18" spans="3:11" s="11" customFormat="1" x14ac:dyDescent="0.3">
      <c r="C18" s="14"/>
      <c r="D18" s="2"/>
      <c r="E18" s="2"/>
      <c r="F18" s="14"/>
      <c r="G18" s="2"/>
      <c r="H18" s="10" t="s">
        <v>208</v>
      </c>
      <c r="I18" s="20">
        <v>-135</v>
      </c>
      <c r="J18" s="11">
        <v>150</v>
      </c>
      <c r="K18" s="6"/>
    </row>
    <row r="19" spans="3:11" s="11" customFormat="1" x14ac:dyDescent="0.3">
      <c r="C19" s="14"/>
      <c r="D19" s="2"/>
      <c r="E19" s="2"/>
      <c r="F19" s="2"/>
      <c r="G19" s="2"/>
      <c r="H19" s="10" t="s">
        <v>209</v>
      </c>
      <c r="I19" s="20">
        <v>-270</v>
      </c>
      <c r="J19" s="11">
        <v>60</v>
      </c>
      <c r="K19" s="6"/>
    </row>
    <row r="20" spans="3:11" s="11" customFormat="1" x14ac:dyDescent="0.3">
      <c r="C20" s="2"/>
      <c r="D20" s="2"/>
      <c r="E20" s="2"/>
      <c r="F20" s="6"/>
      <c r="G20" s="2"/>
      <c r="H20" s="10" t="s">
        <v>67</v>
      </c>
      <c r="I20" s="20"/>
      <c r="J20" s="11">
        <v>40</v>
      </c>
      <c r="K20" s="6"/>
    </row>
    <row r="21" spans="3:11" s="11" customFormat="1" x14ac:dyDescent="0.3">
      <c r="C21" s="6"/>
      <c r="D21" s="2"/>
      <c r="E21" s="2"/>
      <c r="F21" s="2"/>
      <c r="G21" s="2"/>
      <c r="H21" s="10" t="s">
        <v>210</v>
      </c>
      <c r="I21" s="20">
        <v>-270</v>
      </c>
      <c r="J21" s="11">
        <v>25</v>
      </c>
      <c r="K21" s="6"/>
    </row>
    <row r="22" spans="3:11" s="11" customFormat="1" x14ac:dyDescent="0.3">
      <c r="C22" s="2"/>
      <c r="D22" s="2"/>
      <c r="E22" s="2"/>
      <c r="F22" s="6"/>
      <c r="G22" s="2"/>
      <c r="H22" s="10" t="s">
        <v>211</v>
      </c>
      <c r="I22" s="20">
        <v>300</v>
      </c>
      <c r="K22" s="6"/>
    </row>
    <row r="23" spans="3:11" s="11" customFormat="1" x14ac:dyDescent="0.3">
      <c r="C23" s="6"/>
      <c r="D23" s="2"/>
      <c r="E23" s="2"/>
      <c r="F23" s="2"/>
      <c r="G23" s="2"/>
      <c r="H23" s="10" t="s">
        <v>176</v>
      </c>
      <c r="I23" s="20">
        <v>-200</v>
      </c>
      <c r="J23" s="11">
        <v>40</v>
      </c>
      <c r="K23" s="6"/>
    </row>
    <row r="24" spans="3:11" s="11" customFormat="1" x14ac:dyDescent="0.3">
      <c r="C24" s="2"/>
      <c r="D24" s="2"/>
      <c r="E24" s="2"/>
      <c r="F24" s="2"/>
      <c r="G24" s="2"/>
      <c r="H24" s="10" t="s">
        <v>69</v>
      </c>
      <c r="I24" s="20"/>
      <c r="J24" s="11">
        <v>70</v>
      </c>
      <c r="K24" s="6"/>
    </row>
    <row r="25" spans="3:11" s="11" customFormat="1" x14ac:dyDescent="0.3">
      <c r="C25" s="2"/>
      <c r="D25" s="2"/>
      <c r="E25" s="2"/>
      <c r="F25" s="2"/>
      <c r="G25" s="2"/>
      <c r="H25" s="10" t="s">
        <v>72</v>
      </c>
      <c r="I25" s="20">
        <v>90</v>
      </c>
      <c r="J25" s="11">
        <v>10</v>
      </c>
      <c r="K25" s="6"/>
    </row>
    <row r="26" spans="3:11" s="11" customFormat="1" x14ac:dyDescent="0.3">
      <c r="C26" s="2"/>
      <c r="D26" s="2"/>
      <c r="E26" s="2"/>
      <c r="F26" s="2"/>
      <c r="G26" s="2"/>
      <c r="H26" s="10" t="s">
        <v>212</v>
      </c>
      <c r="I26" s="20">
        <v>-400</v>
      </c>
      <c r="J26" s="11">
        <v>10</v>
      </c>
      <c r="K26" s="6"/>
    </row>
    <row r="27" spans="3:11" s="11" customFormat="1" x14ac:dyDescent="0.3">
      <c r="C27" s="2"/>
      <c r="D27" s="2"/>
      <c r="E27" s="2"/>
      <c r="F27" s="2"/>
      <c r="G27" s="2"/>
      <c r="H27" s="10" t="s">
        <v>70</v>
      </c>
      <c r="I27" s="18">
        <v>-300</v>
      </c>
      <c r="K27" s="6"/>
    </row>
    <row r="28" spans="3:11" s="11" customFormat="1" x14ac:dyDescent="0.3">
      <c r="C28" s="2"/>
      <c r="D28" s="2"/>
      <c r="E28" s="2"/>
      <c r="F28" s="2"/>
      <c r="G28" s="2"/>
      <c r="H28" s="8" t="s">
        <v>213</v>
      </c>
      <c r="I28" s="18">
        <v>-800</v>
      </c>
      <c r="J28" s="11">
        <v>10</v>
      </c>
      <c r="K28" s="6"/>
    </row>
    <row r="29" spans="3:11" s="11" customFormat="1" x14ac:dyDescent="0.3">
      <c r="C29" s="2"/>
      <c r="D29" s="2"/>
      <c r="E29" s="2"/>
      <c r="F29" s="2"/>
      <c r="G29" s="2"/>
      <c r="H29" s="8" t="s">
        <v>200</v>
      </c>
      <c r="I29" s="18">
        <v>140</v>
      </c>
      <c r="K29" s="6"/>
    </row>
    <row r="30" spans="3:11" s="11" customFormat="1" x14ac:dyDescent="0.3">
      <c r="C30" s="2"/>
      <c r="D30" s="2"/>
      <c r="E30" s="2"/>
      <c r="F30" s="2"/>
      <c r="G30" s="2"/>
      <c r="H30" s="8" t="s">
        <v>216</v>
      </c>
      <c r="I30" s="18">
        <v>-400</v>
      </c>
      <c r="J30" s="11">
        <v>10</v>
      </c>
      <c r="K30" s="6"/>
    </row>
    <row r="31" spans="3:11" s="11" customFormat="1" x14ac:dyDescent="0.3">
      <c r="C31" s="2"/>
      <c r="D31" s="2"/>
      <c r="E31" s="2"/>
      <c r="F31" s="2"/>
      <c r="G31" s="2"/>
      <c r="H31" s="8" t="s">
        <v>214</v>
      </c>
      <c r="I31" s="18"/>
      <c r="J31" s="11">
        <v>10</v>
      </c>
      <c r="K31" s="6"/>
    </row>
    <row r="32" spans="3:11" s="11" customFormat="1" x14ac:dyDescent="0.3">
      <c r="C32" s="2"/>
      <c r="D32" s="2"/>
      <c r="E32" s="2"/>
      <c r="F32" s="2"/>
      <c r="G32" s="2"/>
      <c r="H32" s="8" t="s">
        <v>219</v>
      </c>
      <c r="I32" s="18"/>
      <c r="J32" s="11">
        <v>149</v>
      </c>
      <c r="K32" s="6"/>
    </row>
    <row r="33" spans="8:12" s="11" customFormat="1" x14ac:dyDescent="0.3">
      <c r="H33" s="8" t="s">
        <v>215</v>
      </c>
      <c r="I33" s="18">
        <v>-400</v>
      </c>
      <c r="J33" s="11">
        <v>-90</v>
      </c>
      <c r="K33" s="6"/>
    </row>
    <row r="34" spans="8:12" s="11" customFormat="1" x14ac:dyDescent="0.3">
      <c r="H34" s="8" t="s">
        <v>217</v>
      </c>
      <c r="I34" s="18">
        <v>50</v>
      </c>
      <c r="K34" s="6"/>
    </row>
    <row r="35" spans="8:12" s="11" customFormat="1" x14ac:dyDescent="0.3">
      <c r="H35" s="8" t="s">
        <v>218</v>
      </c>
      <c r="I35" s="18"/>
      <c r="J35" s="11">
        <v>5</v>
      </c>
      <c r="K35" s="6"/>
      <c r="L35" s="11" t="s">
        <v>193</v>
      </c>
    </row>
    <row r="36" spans="8:12" s="11" customFormat="1" x14ac:dyDescent="0.3">
      <c r="H36" s="8" t="s">
        <v>220</v>
      </c>
      <c r="I36" s="18">
        <v>10</v>
      </c>
      <c r="K36" s="6"/>
      <c r="L36" s="11" t="s">
        <v>193</v>
      </c>
    </row>
    <row r="37" spans="8:12" s="11" customFormat="1" x14ac:dyDescent="0.3">
      <c r="H37" s="8" t="s">
        <v>72</v>
      </c>
      <c r="I37" s="18">
        <v>610</v>
      </c>
      <c r="K37" s="6"/>
    </row>
    <row r="38" spans="8:12" s="11" customFormat="1" x14ac:dyDescent="0.3">
      <c r="H38" s="8" t="s">
        <v>227</v>
      </c>
      <c r="I38" s="18">
        <v>250</v>
      </c>
      <c r="K38" s="6"/>
    </row>
    <row r="39" spans="8:12" s="11" customFormat="1" x14ac:dyDescent="0.3">
      <c r="H39" s="8" t="s">
        <v>226</v>
      </c>
      <c r="I39" s="18"/>
      <c r="J39" s="11">
        <v>20</v>
      </c>
      <c r="K39" s="6"/>
    </row>
    <row r="40" spans="8:12" s="11" customFormat="1" x14ac:dyDescent="0.3">
      <c r="H40" s="8" t="s">
        <v>72</v>
      </c>
      <c r="I40" s="18"/>
      <c r="J40" s="11">
        <v>10</v>
      </c>
      <c r="K40" s="6"/>
    </row>
    <row r="41" spans="8:12" s="11" customFormat="1" x14ac:dyDescent="0.3">
      <c r="H41" s="8" t="s">
        <v>225</v>
      </c>
      <c r="I41" s="18">
        <v>200</v>
      </c>
      <c r="K41" s="6"/>
    </row>
    <row r="42" spans="8:12" s="11" customFormat="1" x14ac:dyDescent="0.3">
      <c r="H42" s="8" t="s">
        <v>224</v>
      </c>
      <c r="I42" s="18"/>
      <c r="J42" s="11">
        <v>-500</v>
      </c>
      <c r="K42" s="6"/>
    </row>
    <row r="43" spans="8:12" s="11" customFormat="1" x14ac:dyDescent="0.3">
      <c r="H43" s="8"/>
      <c r="I43" s="18">
        <v>-360</v>
      </c>
      <c r="J43" s="11">
        <v>15</v>
      </c>
      <c r="K43" s="6"/>
    </row>
    <row r="44" spans="8:12" s="11" customFormat="1" x14ac:dyDescent="0.3">
      <c r="H44" s="8" t="s">
        <v>85</v>
      </c>
      <c r="I44" s="18">
        <v>-360</v>
      </c>
      <c r="J44" s="11">
        <v>-140</v>
      </c>
      <c r="K44" s="6"/>
    </row>
    <row r="45" spans="8:12" s="11" customFormat="1" x14ac:dyDescent="0.3">
      <c r="H45" s="8" t="s">
        <v>223</v>
      </c>
      <c r="I45" s="18">
        <v>180</v>
      </c>
      <c r="K45" s="6"/>
    </row>
    <row r="46" spans="8:12" s="11" customFormat="1" x14ac:dyDescent="0.3">
      <c r="H46" s="8" t="s">
        <v>222</v>
      </c>
      <c r="I46" s="18">
        <v>300</v>
      </c>
      <c r="K46" s="6"/>
    </row>
    <row r="47" spans="8:12" s="11" customFormat="1" x14ac:dyDescent="0.3">
      <c r="H47" s="8" t="s">
        <v>221</v>
      </c>
      <c r="I47" s="18">
        <v>-550</v>
      </c>
      <c r="J47" s="11">
        <v>10</v>
      </c>
      <c r="K47" s="6"/>
    </row>
    <row r="48" spans="8:12" s="11" customFormat="1" x14ac:dyDescent="0.3">
      <c r="H48" s="8" t="s">
        <v>228</v>
      </c>
      <c r="I48" s="18"/>
      <c r="J48" s="11">
        <v>140</v>
      </c>
      <c r="K48" s="6"/>
    </row>
    <row r="49" spans="8:11" s="11" customFormat="1" x14ac:dyDescent="0.3">
      <c r="H49" s="8" t="s">
        <v>229</v>
      </c>
      <c r="I49" s="18">
        <v>140</v>
      </c>
      <c r="K49" s="6"/>
    </row>
    <row r="50" spans="8:11" s="11" customFormat="1" x14ac:dyDescent="0.3">
      <c r="H50" s="8" t="s">
        <v>230</v>
      </c>
      <c r="I50" s="18"/>
      <c r="J50" s="11">
        <v>-16</v>
      </c>
      <c r="K50" s="6"/>
    </row>
    <row r="51" spans="8:11" s="11" customFormat="1" x14ac:dyDescent="0.3">
      <c r="H51" s="8" t="s">
        <v>231</v>
      </c>
      <c r="I51" s="18">
        <v>-100</v>
      </c>
      <c r="J51" s="11">
        <v>45</v>
      </c>
      <c r="K51" s="6"/>
    </row>
    <row r="52" spans="8:11" s="11" customFormat="1" x14ac:dyDescent="0.3">
      <c r="H52" s="8" t="s">
        <v>232</v>
      </c>
      <c r="I52" s="18">
        <v>-200</v>
      </c>
      <c r="J52" s="11">
        <v>30</v>
      </c>
      <c r="K52" s="6"/>
    </row>
    <row r="53" spans="8:11" s="11" customFormat="1" x14ac:dyDescent="0.3">
      <c r="H53" s="8" t="s">
        <v>233</v>
      </c>
      <c r="I53" s="18"/>
      <c r="J53" s="11">
        <v>60</v>
      </c>
      <c r="K53" s="6"/>
    </row>
    <row r="54" spans="8:11" s="11" customFormat="1" x14ac:dyDescent="0.3">
      <c r="H54" s="8"/>
      <c r="I54" s="18">
        <v>-25</v>
      </c>
      <c r="J54" s="11">
        <v>5</v>
      </c>
      <c r="K54" s="6"/>
    </row>
    <row r="55" spans="8:11" s="11" customFormat="1" x14ac:dyDescent="0.3">
      <c r="H55" s="8"/>
      <c r="I55" s="18"/>
      <c r="K55" s="6"/>
    </row>
    <row r="56" spans="8:11" s="11" customFormat="1" x14ac:dyDescent="0.3">
      <c r="H56" s="8"/>
      <c r="I56" s="18"/>
      <c r="K56" s="6"/>
    </row>
    <row r="57" spans="8:11" s="11" customFormat="1" x14ac:dyDescent="0.3">
      <c r="H57" s="8"/>
      <c r="I57" s="18"/>
      <c r="K57" s="6"/>
    </row>
    <row r="58" spans="8:11" s="11" customFormat="1" x14ac:dyDescent="0.3">
      <c r="H58" s="8"/>
      <c r="I58" s="18"/>
      <c r="K58" s="6"/>
    </row>
    <row r="59" spans="8:11" s="11" customFormat="1" x14ac:dyDescent="0.3">
      <c r="H59" s="8"/>
      <c r="I59" s="18"/>
      <c r="K59" s="6"/>
    </row>
    <row r="60" spans="8:11" s="11" customFormat="1" x14ac:dyDescent="0.3">
      <c r="H60" s="8"/>
      <c r="I60" s="18"/>
      <c r="K60" s="6"/>
    </row>
    <row r="61" spans="8:11" s="11" customFormat="1" x14ac:dyDescent="0.3">
      <c r="H61" s="8"/>
      <c r="I61" s="18"/>
      <c r="K61" s="6"/>
    </row>
    <row r="62" spans="8:11" s="11" customFormat="1" x14ac:dyDescent="0.3">
      <c r="H62" s="8"/>
      <c r="I62" s="18"/>
      <c r="K62" s="6"/>
    </row>
    <row r="63" spans="8:11" s="11" customFormat="1" x14ac:dyDescent="0.3">
      <c r="H63" s="8"/>
      <c r="I63" s="18"/>
      <c r="K63" s="6"/>
    </row>
    <row r="64" spans="8:11" s="11" customFormat="1" x14ac:dyDescent="0.3">
      <c r="H64" s="8"/>
      <c r="I64" s="18"/>
      <c r="K64" s="6"/>
    </row>
    <row r="65" spans="8:11" s="11" customFormat="1" x14ac:dyDescent="0.3">
      <c r="H65" s="8"/>
      <c r="I65" s="18"/>
      <c r="K65" s="6"/>
    </row>
    <row r="66" spans="8:11" s="11" customFormat="1" x14ac:dyDescent="0.3">
      <c r="H66" s="8"/>
      <c r="I66" s="18"/>
      <c r="K66" s="6"/>
    </row>
    <row r="67" spans="8:11" s="11" customFormat="1" x14ac:dyDescent="0.3">
      <c r="H67" s="8"/>
      <c r="I67" s="18"/>
      <c r="K67" s="6"/>
    </row>
    <row r="68" spans="8:11" s="11" customFormat="1" x14ac:dyDescent="0.3">
      <c r="H68" s="8"/>
      <c r="I68" s="18"/>
      <c r="K68" s="6"/>
    </row>
    <row r="69" spans="8:11" s="11" customFormat="1" x14ac:dyDescent="0.3">
      <c r="H69" s="8"/>
      <c r="I69" s="18"/>
      <c r="K69" s="6"/>
    </row>
    <row r="70" spans="8:11" s="11" customFormat="1" x14ac:dyDescent="0.3">
      <c r="H70" s="8"/>
      <c r="I70" s="18"/>
      <c r="K70" s="6"/>
    </row>
    <row r="71" spans="8:11" s="11" customFormat="1" x14ac:dyDescent="0.3">
      <c r="H71" s="8"/>
      <c r="I71" s="18"/>
      <c r="K71" s="6"/>
    </row>
    <row r="72" spans="8:11" s="11" customFormat="1" x14ac:dyDescent="0.3">
      <c r="H72" s="8"/>
      <c r="I72" s="18"/>
      <c r="K72" s="6"/>
    </row>
    <row r="73" spans="8:11" s="11" customFormat="1" x14ac:dyDescent="0.3">
      <c r="H73" s="8"/>
      <c r="I73" s="18"/>
      <c r="K73" s="6"/>
    </row>
    <row r="74" spans="8:11" s="11" customFormat="1" x14ac:dyDescent="0.3">
      <c r="H74" s="8"/>
      <c r="I74" s="18"/>
      <c r="K74" s="6"/>
    </row>
    <row r="75" spans="8:11" s="11" customFormat="1" x14ac:dyDescent="0.3">
      <c r="H75" s="8"/>
      <c r="I75" s="18"/>
      <c r="K75" s="6"/>
    </row>
    <row r="76" spans="8:11" s="11" customFormat="1" x14ac:dyDescent="0.3">
      <c r="H76" s="8"/>
      <c r="I76" s="18"/>
      <c r="K76" s="6"/>
    </row>
    <row r="77" spans="8:11" s="11" customFormat="1" x14ac:dyDescent="0.3">
      <c r="H77" s="8"/>
      <c r="I77" s="18"/>
      <c r="K77" s="6"/>
    </row>
    <row r="78" spans="8:11" s="11" customFormat="1" x14ac:dyDescent="0.3">
      <c r="H78" s="8"/>
      <c r="I78" s="18"/>
      <c r="K78" s="6"/>
    </row>
    <row r="79" spans="8:11" s="11" customFormat="1" x14ac:dyDescent="0.3">
      <c r="H79" s="8"/>
      <c r="I79" s="18"/>
      <c r="K79" s="6"/>
    </row>
    <row r="80" spans="8:11" s="11" customFormat="1" x14ac:dyDescent="0.3">
      <c r="H80" s="8"/>
      <c r="I80" s="18"/>
      <c r="K80" s="6"/>
    </row>
    <row r="81" spans="8:11" s="11" customFormat="1" x14ac:dyDescent="0.3">
      <c r="H81" s="8"/>
      <c r="I81" s="18"/>
      <c r="K81" s="6"/>
    </row>
    <row r="82" spans="8:11" s="11" customFormat="1" x14ac:dyDescent="0.3">
      <c r="H82" s="8"/>
      <c r="I82" s="18"/>
      <c r="K82" s="6"/>
    </row>
    <row r="83" spans="8:11" s="11" customFormat="1" x14ac:dyDescent="0.3">
      <c r="H83" s="8"/>
      <c r="I83" s="18"/>
      <c r="K83" s="6"/>
    </row>
    <row r="84" spans="8:11" s="11" customFormat="1" x14ac:dyDescent="0.3">
      <c r="H84" s="8"/>
      <c r="I84" s="18"/>
      <c r="K84" s="6"/>
    </row>
    <row r="85" spans="8:11" s="11" customFormat="1" x14ac:dyDescent="0.3">
      <c r="H85" s="8"/>
      <c r="I85" s="18"/>
      <c r="K85" s="6"/>
    </row>
    <row r="86" spans="8:11" s="11" customFormat="1" x14ac:dyDescent="0.3">
      <c r="H86" s="8"/>
      <c r="I86" s="18"/>
      <c r="K86" s="6"/>
    </row>
    <row r="87" spans="8:11" s="11" customFormat="1" x14ac:dyDescent="0.3">
      <c r="H87" s="8"/>
      <c r="I87" s="18"/>
      <c r="K87" s="6"/>
    </row>
    <row r="88" spans="8:11" s="11" customFormat="1" x14ac:dyDescent="0.3">
      <c r="H88" s="8"/>
      <c r="I88" s="18"/>
      <c r="K88" s="6"/>
    </row>
    <row r="89" spans="8:11" s="11" customFormat="1" x14ac:dyDescent="0.3">
      <c r="H89" s="8"/>
      <c r="I89" s="18"/>
      <c r="K89" s="6"/>
    </row>
    <row r="90" spans="8:11" s="11" customFormat="1" x14ac:dyDescent="0.3">
      <c r="H90" s="8"/>
      <c r="I90" s="18"/>
      <c r="K90" s="6"/>
    </row>
    <row r="91" spans="8:11" s="11" customFormat="1" x14ac:dyDescent="0.3">
      <c r="H91" s="8"/>
      <c r="I91" s="18"/>
      <c r="K91" s="6"/>
    </row>
    <row r="92" spans="8:11" s="11" customFormat="1" x14ac:dyDescent="0.3">
      <c r="H92" s="8"/>
      <c r="I92" s="18"/>
      <c r="K92" s="6"/>
    </row>
    <row r="93" spans="8:11" s="11" customFormat="1" x14ac:dyDescent="0.3">
      <c r="H93" s="8"/>
      <c r="I93" s="18"/>
      <c r="K93" s="6"/>
    </row>
    <row r="94" spans="8:11" s="11" customFormat="1" x14ac:dyDescent="0.3">
      <c r="H94" s="8"/>
      <c r="I94" s="18"/>
      <c r="K94" s="6"/>
    </row>
    <row r="95" spans="8:11" s="11" customFormat="1" x14ac:dyDescent="0.3">
      <c r="H95" s="8"/>
      <c r="I95" s="18"/>
      <c r="K95" s="6"/>
    </row>
    <row r="96" spans="8:11" s="11" customFormat="1" x14ac:dyDescent="0.3">
      <c r="H96" s="8"/>
      <c r="I96" s="18"/>
      <c r="K96" s="6"/>
    </row>
    <row r="97" spans="8:11" s="11" customFormat="1" x14ac:dyDescent="0.3">
      <c r="H97" s="8"/>
      <c r="I97" s="18"/>
      <c r="K97" s="6"/>
    </row>
    <row r="98" spans="8:11" s="11" customFormat="1" x14ac:dyDescent="0.3">
      <c r="H98" s="8"/>
      <c r="I98" s="18"/>
      <c r="K98" s="6"/>
    </row>
    <row r="99" spans="8:11" s="11" customFormat="1" x14ac:dyDescent="0.3">
      <c r="H99" s="8"/>
      <c r="I99" s="18"/>
      <c r="K99" s="6"/>
    </row>
    <row r="100" spans="8:11" s="11" customFormat="1" x14ac:dyDescent="0.3">
      <c r="H100" s="8"/>
      <c r="I100" s="18"/>
      <c r="K100" s="6"/>
    </row>
    <row r="101" spans="8:11" s="11" customFormat="1" x14ac:dyDescent="0.3">
      <c r="H101" s="8"/>
      <c r="I101" s="18"/>
      <c r="K101" s="6"/>
    </row>
    <row r="102" spans="8:11" s="11" customFormat="1" x14ac:dyDescent="0.3">
      <c r="H102" s="8"/>
      <c r="I102" s="18"/>
      <c r="K102" s="6"/>
    </row>
    <row r="103" spans="8:11" s="11" customFormat="1" x14ac:dyDescent="0.3">
      <c r="H103" s="8"/>
      <c r="I103" s="18"/>
      <c r="K103" s="6"/>
    </row>
    <row r="104" spans="8:11" s="11" customFormat="1" x14ac:dyDescent="0.3">
      <c r="H104" s="8"/>
      <c r="I104" s="18"/>
      <c r="K104" s="6"/>
    </row>
    <row r="105" spans="8:11" s="11" customFormat="1" x14ac:dyDescent="0.3">
      <c r="H105" s="8"/>
      <c r="I105" s="18"/>
      <c r="K105" s="6"/>
    </row>
    <row r="106" spans="8:11" s="11" customFormat="1" x14ac:dyDescent="0.3">
      <c r="H106" s="8"/>
      <c r="I106" s="18"/>
      <c r="K106" s="6"/>
    </row>
    <row r="107" spans="8:11" s="11" customFormat="1" x14ac:dyDescent="0.3">
      <c r="H107" s="8"/>
      <c r="I107" s="18"/>
      <c r="K107" s="6"/>
    </row>
    <row r="108" spans="8:11" s="11" customFormat="1" x14ac:dyDescent="0.3">
      <c r="H108" s="8"/>
      <c r="I108" s="18"/>
      <c r="K108" s="6"/>
    </row>
    <row r="109" spans="8:11" s="11" customFormat="1" x14ac:dyDescent="0.3">
      <c r="H109" s="8"/>
      <c r="I109" s="18"/>
      <c r="K109" s="6"/>
    </row>
    <row r="110" spans="8:11" s="11" customFormat="1" x14ac:dyDescent="0.3">
      <c r="H110" s="8"/>
      <c r="I110" s="18"/>
      <c r="K110" s="6"/>
    </row>
    <row r="111" spans="8:11" s="11" customFormat="1" x14ac:dyDescent="0.3">
      <c r="H111" s="8"/>
      <c r="I111" s="18"/>
      <c r="K111" s="6"/>
    </row>
    <row r="112" spans="8:11" s="11" customFormat="1" x14ac:dyDescent="0.3">
      <c r="H112" s="8"/>
      <c r="I112" s="18"/>
      <c r="K112" s="6"/>
    </row>
    <row r="113" spans="8:11" s="11" customFormat="1" x14ac:dyDescent="0.3">
      <c r="H113" s="8"/>
      <c r="I113" s="18"/>
      <c r="K113" s="6"/>
    </row>
    <row r="114" spans="8:11" s="11" customFormat="1" x14ac:dyDescent="0.3">
      <c r="H114" s="8"/>
      <c r="I114" s="18"/>
      <c r="K114" s="6"/>
    </row>
    <row r="115" spans="8:11" s="11" customFormat="1" x14ac:dyDescent="0.3">
      <c r="H115" s="8"/>
      <c r="I115" s="18"/>
      <c r="K115" s="6"/>
    </row>
    <row r="116" spans="8:11" s="11" customFormat="1" x14ac:dyDescent="0.3">
      <c r="H116" s="8"/>
      <c r="I116" s="18"/>
      <c r="K116" s="6"/>
    </row>
    <row r="117" spans="8:11" s="11" customFormat="1" x14ac:dyDescent="0.3">
      <c r="H117" s="8"/>
      <c r="I117" s="18"/>
      <c r="K117" s="6"/>
    </row>
    <row r="118" spans="8:11" s="11" customFormat="1" x14ac:dyDescent="0.3">
      <c r="H118" s="8"/>
      <c r="I118" s="18"/>
      <c r="K118" s="6"/>
    </row>
    <row r="119" spans="8:11" s="11" customFormat="1" x14ac:dyDescent="0.3">
      <c r="H119" s="8"/>
      <c r="I119" s="18"/>
      <c r="K119" s="6"/>
    </row>
    <row r="120" spans="8:11" s="11" customFormat="1" x14ac:dyDescent="0.3">
      <c r="H120" s="8"/>
      <c r="I120" s="18"/>
      <c r="K120" s="6"/>
    </row>
    <row r="121" spans="8:11" s="11" customFormat="1" x14ac:dyDescent="0.3">
      <c r="H121" s="8"/>
      <c r="I121" s="18"/>
      <c r="K121" s="6"/>
    </row>
    <row r="122" spans="8:11" s="11" customFormat="1" x14ac:dyDescent="0.3">
      <c r="H122" s="8"/>
      <c r="I122" s="18"/>
      <c r="K122" s="6"/>
    </row>
    <row r="123" spans="8:11" s="11" customFormat="1" x14ac:dyDescent="0.3">
      <c r="H123" s="8"/>
      <c r="I123" s="18"/>
      <c r="K123" s="6"/>
    </row>
    <row r="124" spans="8:11" s="11" customFormat="1" x14ac:dyDescent="0.3">
      <c r="H124" s="8"/>
      <c r="I124" s="18"/>
      <c r="K124" s="6"/>
    </row>
    <row r="125" spans="8:11" s="11" customFormat="1" x14ac:dyDescent="0.3">
      <c r="H125" s="8"/>
      <c r="I125" s="18"/>
      <c r="K125" s="6"/>
    </row>
    <row r="126" spans="8:11" s="11" customFormat="1" x14ac:dyDescent="0.3">
      <c r="H126" s="8"/>
      <c r="I126" s="18"/>
      <c r="K126" s="6"/>
    </row>
    <row r="127" spans="8:11" s="11" customFormat="1" x14ac:dyDescent="0.3">
      <c r="H127" s="8"/>
      <c r="I127" s="18"/>
      <c r="K127" s="6"/>
    </row>
    <row r="128" spans="8:11" s="11" customFormat="1" x14ac:dyDescent="0.3">
      <c r="H128" s="8"/>
      <c r="I128" s="18"/>
      <c r="K128" s="6"/>
    </row>
    <row r="129" spans="8:11" s="11" customFormat="1" x14ac:dyDescent="0.3">
      <c r="H129" s="8"/>
      <c r="I129" s="18"/>
      <c r="K129" s="6"/>
    </row>
    <row r="130" spans="8:11" s="11" customFormat="1" x14ac:dyDescent="0.3">
      <c r="H130" s="8"/>
      <c r="I130" s="18"/>
      <c r="K130" s="6"/>
    </row>
    <row r="131" spans="8:11" s="11" customFormat="1" x14ac:dyDescent="0.3">
      <c r="H131" s="8"/>
      <c r="I131" s="18"/>
      <c r="K131" s="6"/>
    </row>
    <row r="132" spans="8:11" s="11" customFormat="1" x14ac:dyDescent="0.3">
      <c r="H132" s="8"/>
      <c r="I132" s="18"/>
      <c r="K132" s="6"/>
    </row>
    <row r="133" spans="8:11" s="11" customFormat="1" x14ac:dyDescent="0.3">
      <c r="H133" s="8"/>
      <c r="I133" s="18"/>
      <c r="K133" s="6"/>
    </row>
    <row r="134" spans="8:11" s="11" customFormat="1" x14ac:dyDescent="0.3">
      <c r="H134" s="8"/>
      <c r="I134" s="18"/>
      <c r="K134" s="6"/>
    </row>
    <row r="135" spans="8:11" s="11" customFormat="1" x14ac:dyDescent="0.3">
      <c r="H135" s="8"/>
      <c r="I135" s="18"/>
      <c r="K135" s="6"/>
    </row>
    <row r="136" spans="8:11" s="11" customFormat="1" x14ac:dyDescent="0.3">
      <c r="H136" s="8"/>
      <c r="I136" s="18"/>
      <c r="K136" s="6"/>
    </row>
    <row r="137" spans="8:11" s="11" customFormat="1" x14ac:dyDescent="0.3">
      <c r="H137" s="8"/>
      <c r="I137" s="18"/>
      <c r="K137" s="6"/>
    </row>
    <row r="138" spans="8:11" s="11" customFormat="1" x14ac:dyDescent="0.3">
      <c r="H138" s="8"/>
      <c r="I138" s="18"/>
      <c r="K138" s="6"/>
    </row>
    <row r="139" spans="8:11" s="11" customFormat="1" x14ac:dyDescent="0.3">
      <c r="H139" s="8"/>
      <c r="I139" s="18"/>
      <c r="K139" s="6"/>
    </row>
    <row r="140" spans="8:11" s="11" customFormat="1" x14ac:dyDescent="0.3">
      <c r="H140" s="8"/>
      <c r="I140" s="18"/>
      <c r="K140" s="6"/>
    </row>
    <row r="141" spans="8:11" s="11" customFormat="1" x14ac:dyDescent="0.3">
      <c r="H141" s="8"/>
      <c r="I141" s="18"/>
      <c r="K141" s="6"/>
    </row>
    <row r="142" spans="8:11" s="11" customFormat="1" x14ac:dyDescent="0.3">
      <c r="H142" s="8"/>
      <c r="I142" s="18"/>
      <c r="K142" s="6"/>
    </row>
    <row r="143" spans="8:11" s="11" customFormat="1" x14ac:dyDescent="0.3">
      <c r="H143" s="8"/>
      <c r="I143" s="18"/>
      <c r="K143" s="6"/>
    </row>
    <row r="144" spans="8:11" s="11" customFormat="1" x14ac:dyDescent="0.3">
      <c r="H144" s="8"/>
      <c r="I144" s="18"/>
      <c r="K144" s="6"/>
    </row>
    <row r="145" spans="8:11" s="11" customFormat="1" x14ac:dyDescent="0.3">
      <c r="H145" s="8"/>
      <c r="I145" s="18"/>
      <c r="K145" s="6"/>
    </row>
    <row r="146" spans="8:11" s="11" customFormat="1" x14ac:dyDescent="0.3">
      <c r="H146" s="8"/>
      <c r="I146" s="18"/>
      <c r="K146" s="6"/>
    </row>
    <row r="147" spans="8:11" s="11" customFormat="1" x14ac:dyDescent="0.3">
      <c r="H147" s="8"/>
      <c r="I147" s="18"/>
      <c r="K147" s="6"/>
    </row>
    <row r="148" spans="8:11" s="11" customFormat="1" x14ac:dyDescent="0.3">
      <c r="H148" s="8"/>
      <c r="I148" s="18"/>
      <c r="K148" s="6"/>
    </row>
    <row r="149" spans="8:11" s="11" customFormat="1" x14ac:dyDescent="0.3">
      <c r="H149" s="8"/>
      <c r="I149" s="18"/>
      <c r="K149" s="6"/>
    </row>
    <row r="150" spans="8:11" s="11" customFormat="1" x14ac:dyDescent="0.3">
      <c r="H150" s="8"/>
      <c r="I150" s="18"/>
      <c r="K150" s="6"/>
    </row>
    <row r="151" spans="8:11" s="11" customFormat="1" x14ac:dyDescent="0.3">
      <c r="H151" s="8"/>
      <c r="I151" s="18"/>
      <c r="K151" s="6"/>
    </row>
    <row r="152" spans="8:11" s="11" customFormat="1" x14ac:dyDescent="0.3">
      <c r="H152" s="8"/>
      <c r="I152" s="18"/>
      <c r="K152" s="6"/>
    </row>
    <row r="153" spans="8:11" s="11" customFormat="1" x14ac:dyDescent="0.3">
      <c r="H153" s="8"/>
      <c r="I153" s="18"/>
      <c r="K153" s="6"/>
    </row>
    <row r="154" spans="8:11" s="11" customFormat="1" x14ac:dyDescent="0.3">
      <c r="H154" s="8"/>
      <c r="I154" s="18"/>
      <c r="K154" s="6"/>
    </row>
    <row r="155" spans="8:11" s="11" customFormat="1" x14ac:dyDescent="0.3">
      <c r="H155" s="8"/>
      <c r="I155" s="18"/>
      <c r="K155" s="6"/>
    </row>
    <row r="156" spans="8:11" s="11" customFormat="1" x14ac:dyDescent="0.3">
      <c r="H156" s="8"/>
      <c r="I156" s="18"/>
      <c r="K156" s="6"/>
    </row>
    <row r="157" spans="8:11" s="11" customFormat="1" x14ac:dyDescent="0.3">
      <c r="H157" s="8"/>
      <c r="I157" s="18"/>
      <c r="K157" s="6"/>
    </row>
    <row r="158" spans="8:11" s="11" customFormat="1" x14ac:dyDescent="0.3">
      <c r="H158" s="8"/>
      <c r="I158" s="18"/>
      <c r="K158" s="6"/>
    </row>
    <row r="159" spans="8:11" s="11" customFormat="1" x14ac:dyDescent="0.3">
      <c r="H159" s="8"/>
      <c r="I159" s="18"/>
      <c r="K159" s="6"/>
    </row>
    <row r="160" spans="8:11" s="11" customFormat="1" x14ac:dyDescent="0.3">
      <c r="H160" s="8"/>
      <c r="I160" s="18"/>
      <c r="K160" s="6"/>
    </row>
    <row r="161" spans="8:11" s="11" customFormat="1" x14ac:dyDescent="0.3">
      <c r="H161" s="8"/>
      <c r="I161" s="18"/>
      <c r="K161" s="6"/>
    </row>
    <row r="162" spans="8:11" s="11" customFormat="1" x14ac:dyDescent="0.3">
      <c r="H162" s="8"/>
      <c r="I162" s="18"/>
      <c r="K162" s="6"/>
    </row>
    <row r="163" spans="8:11" s="11" customFormat="1" x14ac:dyDescent="0.3">
      <c r="H163" s="8"/>
      <c r="I163" s="18"/>
      <c r="K163" s="6"/>
    </row>
    <row r="164" spans="8:11" s="11" customFormat="1" x14ac:dyDescent="0.3">
      <c r="H164" s="8"/>
      <c r="I164" s="18"/>
      <c r="K164" s="6"/>
    </row>
    <row r="165" spans="8:11" s="11" customFormat="1" x14ac:dyDescent="0.3">
      <c r="H165" s="8"/>
      <c r="I165" s="18"/>
      <c r="K165" s="6"/>
    </row>
    <row r="166" spans="8:11" s="11" customFormat="1" x14ac:dyDescent="0.3">
      <c r="H166" s="8"/>
      <c r="I166" s="18"/>
      <c r="K166" s="6"/>
    </row>
    <row r="167" spans="8:11" s="11" customFormat="1" x14ac:dyDescent="0.3">
      <c r="H167" s="8"/>
      <c r="I167" s="18"/>
      <c r="K167" s="6"/>
    </row>
    <row r="168" spans="8:11" s="11" customFormat="1" x14ac:dyDescent="0.3">
      <c r="H168" s="8"/>
      <c r="I168" s="18"/>
      <c r="K168" s="6"/>
    </row>
    <row r="169" spans="8:11" s="11" customFormat="1" x14ac:dyDescent="0.3">
      <c r="H169" s="8"/>
      <c r="I169" s="18"/>
      <c r="K169" s="6"/>
    </row>
    <row r="170" spans="8:11" s="11" customFormat="1" x14ac:dyDescent="0.3">
      <c r="H170" s="8"/>
      <c r="I170" s="18"/>
      <c r="K170" s="6"/>
    </row>
    <row r="171" spans="8:11" s="11" customFormat="1" x14ac:dyDescent="0.3">
      <c r="H171" s="8"/>
      <c r="I171" s="18"/>
      <c r="K171" s="6"/>
    </row>
    <row r="172" spans="8:11" s="11" customFormat="1" x14ac:dyDescent="0.3">
      <c r="H172" s="8"/>
      <c r="I172" s="18"/>
      <c r="K172" s="6"/>
    </row>
    <row r="173" spans="8:11" s="11" customFormat="1" x14ac:dyDescent="0.3">
      <c r="H173" s="8"/>
      <c r="I173" s="18"/>
      <c r="K173" s="6"/>
    </row>
    <row r="174" spans="8:11" s="11" customFormat="1" x14ac:dyDescent="0.3">
      <c r="H174" s="8"/>
      <c r="I174" s="18"/>
      <c r="K174" s="6"/>
    </row>
    <row r="175" spans="8:11" s="11" customFormat="1" x14ac:dyDescent="0.3">
      <c r="H175" s="8"/>
      <c r="I175" s="18"/>
      <c r="K175" s="6"/>
    </row>
    <row r="176" spans="8:11" s="11" customFormat="1" x14ac:dyDescent="0.3">
      <c r="H176" s="8"/>
      <c r="I176" s="18"/>
      <c r="K176" s="6"/>
    </row>
    <row r="177" spans="8:11" s="11" customFormat="1" x14ac:dyDescent="0.3">
      <c r="H177" s="8"/>
      <c r="I177" s="18"/>
      <c r="K177" s="6"/>
    </row>
    <row r="178" spans="8:11" s="11" customFormat="1" x14ac:dyDescent="0.3">
      <c r="H178" s="8"/>
      <c r="I178" s="18"/>
      <c r="K178" s="6"/>
    </row>
    <row r="179" spans="8:11" s="11" customFormat="1" x14ac:dyDescent="0.3">
      <c r="H179" s="8"/>
      <c r="I179" s="18"/>
      <c r="K179" s="6"/>
    </row>
    <row r="180" spans="8:11" s="11" customFormat="1" x14ac:dyDescent="0.3">
      <c r="H180" s="8"/>
      <c r="I180" s="18"/>
      <c r="K180" s="6"/>
    </row>
    <row r="181" spans="8:11" s="11" customFormat="1" x14ac:dyDescent="0.3">
      <c r="H181" s="8"/>
      <c r="I181" s="18"/>
      <c r="K181" s="6"/>
    </row>
    <row r="182" spans="8:11" s="11" customFormat="1" x14ac:dyDescent="0.3">
      <c r="H182" s="8"/>
      <c r="I182" s="18"/>
      <c r="K182" s="6"/>
    </row>
    <row r="183" spans="8:11" s="11" customFormat="1" x14ac:dyDescent="0.3">
      <c r="H183" s="8"/>
      <c r="I183" s="18"/>
      <c r="K183" s="6"/>
    </row>
    <row r="184" spans="8:11" s="11" customFormat="1" x14ac:dyDescent="0.3">
      <c r="H184" s="8"/>
      <c r="I184" s="18"/>
      <c r="K184" s="6"/>
    </row>
    <row r="185" spans="8:11" s="11" customFormat="1" x14ac:dyDescent="0.3">
      <c r="H185" s="8"/>
      <c r="I185" s="18"/>
      <c r="K185" s="6"/>
    </row>
    <row r="186" spans="8:11" s="11" customFormat="1" x14ac:dyDescent="0.3">
      <c r="H186" s="8"/>
      <c r="I186" s="18"/>
      <c r="K186" s="6"/>
    </row>
    <row r="187" spans="8:11" s="11" customFormat="1" x14ac:dyDescent="0.3">
      <c r="H187" s="8"/>
      <c r="I187" s="18"/>
      <c r="K187" s="6"/>
    </row>
    <row r="188" spans="8:11" s="11" customFormat="1" x14ac:dyDescent="0.3">
      <c r="H188" s="8"/>
      <c r="I188" s="18"/>
      <c r="K188" s="6"/>
    </row>
    <row r="189" spans="8:11" s="11" customFormat="1" x14ac:dyDescent="0.3">
      <c r="H189" s="8"/>
      <c r="I189" s="18"/>
      <c r="K189" s="6"/>
    </row>
    <row r="190" spans="8:11" s="11" customFormat="1" x14ac:dyDescent="0.3">
      <c r="H190" s="8"/>
      <c r="I190" s="18"/>
      <c r="K190" s="6"/>
    </row>
    <row r="191" spans="8:11" s="11" customFormat="1" x14ac:dyDescent="0.3">
      <c r="H191" s="8"/>
      <c r="I191" s="18"/>
      <c r="K191" s="6"/>
    </row>
    <row r="192" spans="8:11" s="11" customFormat="1" x14ac:dyDescent="0.3">
      <c r="H192" s="8"/>
      <c r="I192" s="18"/>
      <c r="K192" s="6"/>
    </row>
    <row r="193" spans="8:11" s="11" customFormat="1" x14ac:dyDescent="0.3">
      <c r="H193" s="8"/>
      <c r="I193" s="18"/>
      <c r="K193" s="6"/>
    </row>
    <row r="194" spans="8:11" s="11" customFormat="1" x14ac:dyDescent="0.3">
      <c r="H194" s="8"/>
      <c r="I194" s="18"/>
      <c r="K194" s="6"/>
    </row>
    <row r="195" spans="8:11" s="11" customFormat="1" x14ac:dyDescent="0.3">
      <c r="H195" s="8"/>
      <c r="I195" s="18"/>
      <c r="K195" s="6"/>
    </row>
    <row r="196" spans="8:11" s="11" customFormat="1" x14ac:dyDescent="0.3">
      <c r="H196" s="8"/>
      <c r="I196" s="18"/>
      <c r="K196" s="6"/>
    </row>
    <row r="197" spans="8:11" s="11" customFormat="1" x14ac:dyDescent="0.3">
      <c r="H197" s="8"/>
      <c r="I197" s="18"/>
      <c r="K197" s="6"/>
    </row>
    <row r="198" spans="8:11" s="11" customFormat="1" x14ac:dyDescent="0.3">
      <c r="H198" s="8"/>
      <c r="I198" s="18"/>
      <c r="K198" s="6"/>
    </row>
    <row r="199" spans="8:11" s="11" customFormat="1" x14ac:dyDescent="0.3">
      <c r="H199" s="8"/>
      <c r="I199" s="18"/>
      <c r="K199" s="6"/>
    </row>
    <row r="200" spans="8:11" s="11" customFormat="1" x14ac:dyDescent="0.3">
      <c r="H200" s="8"/>
      <c r="I200" s="18"/>
      <c r="K200" s="6"/>
    </row>
    <row r="201" spans="8:11" s="11" customFormat="1" x14ac:dyDescent="0.3">
      <c r="H201" s="8"/>
      <c r="I201" s="18"/>
      <c r="K201" s="6"/>
    </row>
    <row r="202" spans="8:11" s="11" customFormat="1" x14ac:dyDescent="0.3">
      <c r="H202" s="8"/>
      <c r="I202" s="18"/>
      <c r="K202" s="6"/>
    </row>
    <row r="203" spans="8:11" s="11" customFormat="1" x14ac:dyDescent="0.3">
      <c r="H203" s="8"/>
      <c r="I203" s="18"/>
      <c r="K203" s="6"/>
    </row>
    <row r="204" spans="8:11" s="11" customFormat="1" x14ac:dyDescent="0.3">
      <c r="H204" s="8"/>
      <c r="I204" s="18"/>
      <c r="K204" s="6"/>
    </row>
    <row r="205" spans="8:11" s="11" customFormat="1" x14ac:dyDescent="0.3">
      <c r="H205" s="8"/>
      <c r="I205" s="18"/>
      <c r="K205" s="6"/>
    </row>
    <row r="206" spans="8:11" s="11" customFormat="1" x14ac:dyDescent="0.3">
      <c r="H206" s="8"/>
      <c r="I206" s="18"/>
      <c r="K206" s="6"/>
    </row>
    <row r="207" spans="8:11" s="11" customFormat="1" x14ac:dyDescent="0.3">
      <c r="H207" s="8"/>
      <c r="I207" s="18"/>
      <c r="K207" s="6"/>
    </row>
    <row r="208" spans="8:11" s="11" customFormat="1" x14ac:dyDescent="0.3">
      <c r="H208" s="8"/>
      <c r="I208" s="18"/>
      <c r="K208" s="6"/>
    </row>
    <row r="209" spans="8:11" s="11" customFormat="1" x14ac:dyDescent="0.3">
      <c r="H209" s="8"/>
      <c r="I209" s="18"/>
      <c r="K209" s="6"/>
    </row>
    <row r="210" spans="8:11" s="11" customFormat="1" x14ac:dyDescent="0.3">
      <c r="H210" s="8"/>
      <c r="I210" s="18"/>
      <c r="K210" s="6"/>
    </row>
    <row r="211" spans="8:11" s="11" customFormat="1" x14ac:dyDescent="0.3">
      <c r="H211" s="8"/>
      <c r="I211" s="18"/>
      <c r="K211" s="6"/>
    </row>
    <row r="212" spans="8:11" s="11" customFormat="1" x14ac:dyDescent="0.3">
      <c r="H212" s="8"/>
      <c r="I212" s="18"/>
      <c r="K212" s="6"/>
    </row>
    <row r="213" spans="8:11" s="11" customFormat="1" x14ac:dyDescent="0.3">
      <c r="H213" s="8"/>
      <c r="I213" s="18"/>
      <c r="K213" s="6"/>
    </row>
    <row r="214" spans="8:11" s="11" customFormat="1" x14ac:dyDescent="0.3">
      <c r="H214" s="8"/>
      <c r="I214" s="18"/>
      <c r="K214" s="6"/>
    </row>
    <row r="215" spans="8:11" s="11" customFormat="1" x14ac:dyDescent="0.3">
      <c r="H215" s="8"/>
      <c r="I215" s="18"/>
      <c r="K215" s="6"/>
    </row>
    <row r="216" spans="8:11" s="11" customFormat="1" x14ac:dyDescent="0.3">
      <c r="H216" s="8"/>
      <c r="I216" s="18"/>
      <c r="K216" s="6"/>
    </row>
    <row r="217" spans="8:11" s="11" customFormat="1" x14ac:dyDescent="0.3">
      <c r="H217" s="8"/>
      <c r="I217" s="18"/>
      <c r="K217" s="6"/>
    </row>
    <row r="218" spans="8:11" s="11" customFormat="1" x14ac:dyDescent="0.3">
      <c r="H218" s="8"/>
      <c r="I218" s="18"/>
      <c r="K218" s="6"/>
    </row>
    <row r="219" spans="8:11" s="11" customFormat="1" x14ac:dyDescent="0.3">
      <c r="H219" s="8"/>
      <c r="I219" s="18"/>
      <c r="K219" s="6"/>
    </row>
    <row r="220" spans="8:11" s="11" customFormat="1" x14ac:dyDescent="0.3">
      <c r="H220" s="8"/>
      <c r="I220" s="18"/>
      <c r="K220" s="6"/>
    </row>
    <row r="221" spans="8:11" s="11" customFormat="1" x14ac:dyDescent="0.3">
      <c r="H221" s="8"/>
      <c r="I221" s="18"/>
      <c r="K221" s="6"/>
    </row>
    <row r="222" spans="8:11" s="11" customFormat="1" x14ac:dyDescent="0.3">
      <c r="H222" s="8"/>
      <c r="I222" s="18"/>
      <c r="K222" s="6"/>
    </row>
    <row r="223" spans="8:11" s="11" customFormat="1" x14ac:dyDescent="0.3">
      <c r="H223" s="8"/>
      <c r="I223" s="18"/>
      <c r="K223" s="6"/>
    </row>
    <row r="224" spans="8:11" s="11" customFormat="1" x14ac:dyDescent="0.3">
      <c r="H224" s="8"/>
      <c r="I224" s="18"/>
      <c r="K224" s="6"/>
    </row>
    <row r="225" spans="8:11" s="11" customFormat="1" x14ac:dyDescent="0.3">
      <c r="H225" s="8"/>
      <c r="I225" s="18"/>
      <c r="K225" s="6"/>
    </row>
    <row r="226" spans="8:11" s="11" customFormat="1" x14ac:dyDescent="0.3">
      <c r="H226" s="8"/>
      <c r="I226" s="18"/>
      <c r="K226" s="6"/>
    </row>
    <row r="227" spans="8:11" s="11" customFormat="1" x14ac:dyDescent="0.3">
      <c r="H227" s="8"/>
      <c r="I227" s="18"/>
      <c r="K227" s="6"/>
    </row>
    <row r="228" spans="8:11" s="11" customFormat="1" x14ac:dyDescent="0.3">
      <c r="H228" s="8"/>
      <c r="I228" s="18"/>
      <c r="K228" s="6"/>
    </row>
    <row r="229" spans="8:11" s="11" customFormat="1" x14ac:dyDescent="0.3">
      <c r="H229" s="8"/>
      <c r="I229" s="18"/>
      <c r="K229" s="6"/>
    </row>
    <row r="230" spans="8:11" s="11" customFormat="1" x14ac:dyDescent="0.3">
      <c r="H230" s="8"/>
      <c r="I230" s="18"/>
      <c r="K230" s="6"/>
    </row>
    <row r="231" spans="8:11" s="11" customFormat="1" x14ac:dyDescent="0.3">
      <c r="H231" s="8"/>
      <c r="I231" s="18"/>
      <c r="K231" s="6"/>
    </row>
    <row r="232" spans="8:11" s="11" customFormat="1" x14ac:dyDescent="0.3">
      <c r="H232" s="8"/>
      <c r="I232" s="18"/>
      <c r="K232" s="6"/>
    </row>
    <row r="233" spans="8:11" s="11" customFormat="1" x14ac:dyDescent="0.3">
      <c r="H233" s="8"/>
      <c r="I233" s="18"/>
      <c r="K233" s="6"/>
    </row>
    <row r="234" spans="8:11" s="11" customFormat="1" x14ac:dyDescent="0.3">
      <c r="H234" s="8"/>
      <c r="I234" s="18"/>
      <c r="K234" s="6"/>
    </row>
    <row r="235" spans="8:11" s="11" customFormat="1" x14ac:dyDescent="0.3">
      <c r="H235" s="8"/>
      <c r="I235" s="18"/>
      <c r="K235" s="6"/>
    </row>
    <row r="236" spans="8:11" s="11" customFormat="1" x14ac:dyDescent="0.3">
      <c r="H236" s="8"/>
      <c r="I236" s="18"/>
      <c r="K236" s="6"/>
    </row>
    <row r="237" spans="8:11" s="11" customFormat="1" x14ac:dyDescent="0.3">
      <c r="H237" s="8"/>
      <c r="I237" s="18"/>
      <c r="K237" s="6"/>
    </row>
    <row r="238" spans="8:11" s="11" customFormat="1" x14ac:dyDescent="0.3">
      <c r="H238" s="8"/>
      <c r="I238" s="18"/>
      <c r="K238" s="6"/>
    </row>
    <row r="239" spans="8:11" s="11" customFormat="1" x14ac:dyDescent="0.3">
      <c r="H239" s="8"/>
      <c r="I239" s="18"/>
      <c r="K239" s="6"/>
    </row>
    <row r="240" spans="8:11" s="11" customFormat="1" x14ac:dyDescent="0.3">
      <c r="H240" s="8"/>
      <c r="I240" s="18"/>
      <c r="K240" s="6"/>
    </row>
    <row r="241" spans="8:11" s="11" customFormat="1" x14ac:dyDescent="0.3">
      <c r="H241" s="8"/>
      <c r="I241" s="18"/>
      <c r="K241" s="6"/>
    </row>
    <row r="242" spans="8:11" s="11" customFormat="1" x14ac:dyDescent="0.3">
      <c r="H242" s="8"/>
      <c r="I242" s="18"/>
      <c r="K242" s="6"/>
    </row>
    <row r="243" spans="8:11" s="11" customFormat="1" x14ac:dyDescent="0.3">
      <c r="H243" s="8"/>
      <c r="I243" s="18"/>
      <c r="K243" s="6"/>
    </row>
    <row r="244" spans="8:11" s="11" customFormat="1" x14ac:dyDescent="0.3">
      <c r="H244" s="8"/>
      <c r="I244" s="18"/>
      <c r="K244" s="6"/>
    </row>
    <row r="245" spans="8:11" s="11" customFormat="1" x14ac:dyDescent="0.3">
      <c r="H245" s="8"/>
      <c r="I245" s="18"/>
      <c r="K245" s="6"/>
    </row>
    <row r="246" spans="8:11" s="11" customFormat="1" x14ac:dyDescent="0.3">
      <c r="H246" s="8"/>
      <c r="I246" s="18"/>
      <c r="K246" s="6"/>
    </row>
    <row r="247" spans="8:11" s="11" customFormat="1" x14ac:dyDescent="0.3">
      <c r="H247" s="8"/>
      <c r="I247" s="18"/>
      <c r="K247" s="6"/>
    </row>
    <row r="248" spans="8:11" s="11" customFormat="1" x14ac:dyDescent="0.3">
      <c r="H248" s="8"/>
      <c r="I248" s="18"/>
      <c r="K248" s="6"/>
    </row>
    <row r="249" spans="8:11" s="11" customFormat="1" x14ac:dyDescent="0.3">
      <c r="H249" s="8"/>
      <c r="I249" s="18"/>
      <c r="K249" s="6"/>
    </row>
    <row r="250" spans="8:11" s="11" customFormat="1" x14ac:dyDescent="0.3">
      <c r="H250" s="8"/>
      <c r="I250" s="18"/>
      <c r="K250" s="6"/>
    </row>
    <row r="251" spans="8:11" s="11" customFormat="1" x14ac:dyDescent="0.3">
      <c r="H251" s="8"/>
      <c r="I251" s="18"/>
      <c r="K251" s="6"/>
    </row>
    <row r="252" spans="8:11" s="11" customFormat="1" x14ac:dyDescent="0.3">
      <c r="H252" s="8"/>
      <c r="I252" s="18"/>
      <c r="K252" s="6"/>
    </row>
    <row r="253" spans="8:11" s="11" customFormat="1" x14ac:dyDescent="0.3">
      <c r="H253" s="8"/>
      <c r="I253" s="18"/>
      <c r="K253" s="6"/>
    </row>
    <row r="254" spans="8:11" s="11" customFormat="1" x14ac:dyDescent="0.3">
      <c r="H254" s="8"/>
      <c r="I254" s="18"/>
      <c r="K254" s="6"/>
    </row>
    <row r="255" spans="8:11" s="11" customFormat="1" x14ac:dyDescent="0.3">
      <c r="H255" s="8"/>
      <c r="I255" s="18"/>
      <c r="K255" s="6"/>
    </row>
    <row r="256" spans="8:11" s="11" customFormat="1" x14ac:dyDescent="0.3">
      <c r="H256" s="8"/>
      <c r="I256" s="18"/>
      <c r="K256" s="6"/>
    </row>
    <row r="257" spans="8:11" s="11" customFormat="1" x14ac:dyDescent="0.3">
      <c r="H257" s="8"/>
      <c r="I257" s="18"/>
      <c r="K257" s="6"/>
    </row>
    <row r="258" spans="8:11" s="11" customFormat="1" x14ac:dyDescent="0.3">
      <c r="H258" s="8"/>
      <c r="I258" s="18"/>
      <c r="K258" s="6"/>
    </row>
    <row r="259" spans="8:11" s="11" customFormat="1" x14ac:dyDescent="0.3">
      <c r="H259" s="8"/>
      <c r="I259" s="18"/>
      <c r="K259" s="6"/>
    </row>
    <row r="260" spans="8:11" s="11" customFormat="1" x14ac:dyDescent="0.3">
      <c r="H260" s="8"/>
      <c r="I260" s="18"/>
      <c r="K260" s="6"/>
    </row>
    <row r="261" spans="8:11" s="11" customFormat="1" x14ac:dyDescent="0.3">
      <c r="H261" s="8"/>
      <c r="I261" s="18"/>
      <c r="K261" s="6"/>
    </row>
    <row r="262" spans="8:11" s="11" customFormat="1" x14ac:dyDescent="0.3">
      <c r="H262" s="8"/>
      <c r="I262" s="18"/>
      <c r="K262" s="6"/>
    </row>
    <row r="263" spans="8:11" s="11" customFormat="1" x14ac:dyDescent="0.3">
      <c r="H263" s="8"/>
      <c r="I263" s="18"/>
      <c r="K263" s="6"/>
    </row>
    <row r="264" spans="8:11" s="11" customFormat="1" x14ac:dyDescent="0.3">
      <c r="H264" s="8"/>
      <c r="I264" s="18"/>
      <c r="K264" s="6"/>
    </row>
    <row r="265" spans="8:11" s="11" customFormat="1" x14ac:dyDescent="0.3">
      <c r="H265" s="8"/>
      <c r="I265" s="18"/>
      <c r="K265" s="6"/>
    </row>
    <row r="266" spans="8:11" s="11" customFormat="1" x14ac:dyDescent="0.3">
      <c r="H266" s="8"/>
      <c r="I266" s="18"/>
      <c r="K266" s="6"/>
    </row>
    <row r="267" spans="8:11" s="11" customFormat="1" x14ac:dyDescent="0.3">
      <c r="H267" s="8"/>
      <c r="I267" s="18"/>
      <c r="K267" s="6"/>
    </row>
    <row r="268" spans="8:11" s="11" customFormat="1" x14ac:dyDescent="0.3">
      <c r="H268" s="8"/>
      <c r="I268" s="18"/>
      <c r="K268" s="6"/>
    </row>
    <row r="269" spans="8:11" s="11" customFormat="1" x14ac:dyDescent="0.3">
      <c r="H269" s="8"/>
      <c r="I269" s="18"/>
      <c r="K269" s="6"/>
    </row>
    <row r="270" spans="8:11" s="11" customFormat="1" x14ac:dyDescent="0.3">
      <c r="H270" s="8"/>
      <c r="I270" s="18"/>
      <c r="K270" s="6"/>
    </row>
    <row r="271" spans="8:11" s="11" customFormat="1" x14ac:dyDescent="0.3">
      <c r="H271" s="8"/>
      <c r="I271" s="18"/>
      <c r="K271" s="6"/>
    </row>
    <row r="272" spans="8:11" s="11" customFormat="1" x14ac:dyDescent="0.3">
      <c r="H272" s="8"/>
      <c r="I272" s="18"/>
      <c r="K272" s="6"/>
    </row>
    <row r="273" spans="8:11" s="11" customFormat="1" x14ac:dyDescent="0.3">
      <c r="H273" s="8"/>
      <c r="I273" s="18"/>
      <c r="K273" s="6"/>
    </row>
    <row r="274" spans="8:11" s="11" customFormat="1" x14ac:dyDescent="0.3">
      <c r="H274" s="8"/>
      <c r="I274" s="18"/>
      <c r="K274" s="6"/>
    </row>
    <row r="275" spans="8:11" s="11" customFormat="1" x14ac:dyDescent="0.3">
      <c r="H275" s="8"/>
      <c r="I275" s="18"/>
      <c r="K275" s="6"/>
    </row>
    <row r="276" spans="8:11" s="11" customFormat="1" x14ac:dyDescent="0.3">
      <c r="H276" s="8"/>
      <c r="I276" s="18"/>
      <c r="K276" s="6"/>
    </row>
    <row r="277" spans="8:11" s="11" customFormat="1" x14ac:dyDescent="0.3">
      <c r="H277" s="8"/>
      <c r="I277" s="18"/>
      <c r="K277" s="6"/>
    </row>
    <row r="278" spans="8:11" s="11" customFormat="1" x14ac:dyDescent="0.3">
      <c r="H278" s="8"/>
      <c r="I278" s="18"/>
      <c r="K278" s="6"/>
    </row>
    <row r="279" spans="8:11" s="11" customFormat="1" x14ac:dyDescent="0.3">
      <c r="H279" s="8"/>
      <c r="I279" s="18"/>
      <c r="K279" s="6"/>
    </row>
    <row r="280" spans="8:11" s="11" customFormat="1" x14ac:dyDescent="0.3">
      <c r="H280" s="8"/>
      <c r="I280" s="18"/>
      <c r="K280" s="6"/>
    </row>
    <row r="281" spans="8:11" s="11" customFormat="1" x14ac:dyDescent="0.3">
      <c r="H281" s="8"/>
      <c r="I281" s="18"/>
      <c r="K281" s="6"/>
    </row>
    <row r="282" spans="8:11" s="11" customFormat="1" x14ac:dyDescent="0.3">
      <c r="H282" s="8"/>
      <c r="I282" s="18"/>
      <c r="K282" s="6"/>
    </row>
    <row r="283" spans="8:11" s="11" customFormat="1" x14ac:dyDescent="0.3">
      <c r="H283" s="8"/>
      <c r="I283" s="18"/>
      <c r="K283" s="6"/>
    </row>
    <row r="284" spans="8:11" s="11" customFormat="1" x14ac:dyDescent="0.3">
      <c r="H284" s="8"/>
      <c r="I284" s="18"/>
      <c r="K284" s="6"/>
    </row>
    <row r="285" spans="8:11" s="11" customFormat="1" x14ac:dyDescent="0.3">
      <c r="H285" s="8"/>
      <c r="I285" s="18"/>
      <c r="K285" s="6"/>
    </row>
    <row r="286" spans="8:11" s="11" customFormat="1" x14ac:dyDescent="0.3">
      <c r="H286" s="8"/>
      <c r="I286" s="18"/>
      <c r="K286" s="6"/>
    </row>
    <row r="287" spans="8:11" s="11" customFormat="1" x14ac:dyDescent="0.3">
      <c r="H287" s="8"/>
      <c r="I287" s="18"/>
      <c r="K287" s="6"/>
    </row>
    <row r="288" spans="8:11" s="11" customFormat="1" x14ac:dyDescent="0.3">
      <c r="H288" s="8"/>
      <c r="I288" s="18"/>
      <c r="K288" s="6"/>
    </row>
    <row r="289" spans="8:11" s="11" customFormat="1" x14ac:dyDescent="0.3">
      <c r="H289" s="8"/>
      <c r="I289" s="18"/>
      <c r="K289" s="6"/>
    </row>
    <row r="290" spans="8:11" s="11" customFormat="1" x14ac:dyDescent="0.3">
      <c r="H290" s="8"/>
      <c r="I290" s="18"/>
      <c r="K290" s="6"/>
    </row>
    <row r="291" spans="8:11" s="11" customFormat="1" x14ac:dyDescent="0.3">
      <c r="H291" s="8"/>
      <c r="I291" s="18"/>
      <c r="K291" s="6"/>
    </row>
    <row r="292" spans="8:11" s="11" customFormat="1" x14ac:dyDescent="0.3">
      <c r="H292" s="8"/>
      <c r="I292" s="18"/>
      <c r="K292" s="6"/>
    </row>
    <row r="293" spans="8:11" s="11" customFormat="1" x14ac:dyDescent="0.3">
      <c r="H293" s="8"/>
      <c r="I293" s="18"/>
      <c r="K293" s="6"/>
    </row>
    <row r="294" spans="8:11" s="11" customFormat="1" x14ac:dyDescent="0.3">
      <c r="H294" s="8"/>
      <c r="I294" s="18"/>
      <c r="K294" s="6"/>
    </row>
    <row r="295" spans="8:11" s="11" customFormat="1" x14ac:dyDescent="0.3">
      <c r="H295" s="8"/>
      <c r="I295" s="18"/>
      <c r="K295" s="6"/>
    </row>
    <row r="296" spans="8:11" s="11" customFormat="1" x14ac:dyDescent="0.3">
      <c r="H296" s="8"/>
      <c r="I296" s="18"/>
      <c r="K296" s="6"/>
    </row>
    <row r="297" spans="8:11" s="11" customFormat="1" x14ac:dyDescent="0.3">
      <c r="H297" s="8"/>
      <c r="I297" s="18"/>
      <c r="K297" s="6"/>
    </row>
    <row r="298" spans="8:11" s="11" customFormat="1" x14ac:dyDescent="0.3">
      <c r="H298" s="8"/>
      <c r="I298" s="18"/>
      <c r="K298" s="6"/>
    </row>
    <row r="299" spans="8:11" s="11" customFormat="1" x14ac:dyDescent="0.3">
      <c r="H299" s="8"/>
      <c r="I299" s="18"/>
      <c r="K299" s="6"/>
    </row>
    <row r="300" spans="8:11" s="11" customFormat="1" x14ac:dyDescent="0.3">
      <c r="H300" s="8"/>
      <c r="I300" s="18"/>
      <c r="K300" s="6"/>
    </row>
    <row r="301" spans="8:11" s="11" customFormat="1" x14ac:dyDescent="0.3">
      <c r="H301" s="8"/>
      <c r="I301" s="18"/>
      <c r="K301" s="6"/>
    </row>
    <row r="302" spans="8:11" s="11" customFormat="1" x14ac:dyDescent="0.3">
      <c r="H302" s="8"/>
      <c r="I302" s="18"/>
      <c r="K302" s="6"/>
    </row>
    <row r="303" spans="8:11" s="11" customFormat="1" x14ac:dyDescent="0.3">
      <c r="H303" s="8"/>
      <c r="I303" s="18"/>
      <c r="K303" s="6"/>
    </row>
    <row r="304" spans="8:11" s="11" customFormat="1" x14ac:dyDescent="0.3">
      <c r="H304" s="8"/>
      <c r="I304" s="18"/>
      <c r="K304" s="6"/>
    </row>
    <row r="305" spans="8:11" s="11" customFormat="1" x14ac:dyDescent="0.3">
      <c r="H305" s="8"/>
      <c r="I305" s="18"/>
      <c r="K305" s="6"/>
    </row>
    <row r="306" spans="8:11" s="11" customFormat="1" x14ac:dyDescent="0.3">
      <c r="H306" s="8"/>
      <c r="I306" s="18"/>
      <c r="K306" s="6"/>
    </row>
    <row r="307" spans="8:11" s="11" customFormat="1" x14ac:dyDescent="0.3">
      <c r="H307" s="8"/>
      <c r="I307" s="18"/>
      <c r="K307" s="6"/>
    </row>
    <row r="308" spans="8:11" s="11" customFormat="1" x14ac:dyDescent="0.3">
      <c r="H308" s="8"/>
      <c r="I308" s="18"/>
      <c r="K308" s="6"/>
    </row>
    <row r="309" spans="8:11" s="11" customFormat="1" x14ac:dyDescent="0.3">
      <c r="H309" s="8"/>
      <c r="I309" s="18"/>
      <c r="K309" s="6"/>
    </row>
    <row r="310" spans="8:11" s="11" customFormat="1" x14ac:dyDescent="0.3">
      <c r="H310" s="8"/>
      <c r="I310" s="18"/>
      <c r="K310" s="6"/>
    </row>
    <row r="311" spans="8:11" s="11" customFormat="1" x14ac:dyDescent="0.3">
      <c r="H311" s="8"/>
      <c r="I311" s="18"/>
      <c r="K311" s="6"/>
    </row>
    <row r="312" spans="8:11" s="11" customFormat="1" x14ac:dyDescent="0.3">
      <c r="H312" s="8"/>
      <c r="I312" s="18"/>
      <c r="K312" s="6"/>
    </row>
    <row r="313" spans="8:11" s="11" customFormat="1" x14ac:dyDescent="0.3">
      <c r="H313" s="8"/>
      <c r="I313" s="18"/>
      <c r="K313" s="6"/>
    </row>
    <row r="314" spans="8:11" s="11" customFormat="1" x14ac:dyDescent="0.3">
      <c r="H314" s="8"/>
      <c r="I314" s="18"/>
      <c r="K314" s="6"/>
    </row>
    <row r="315" spans="8:11" s="11" customFormat="1" x14ac:dyDescent="0.3">
      <c r="H315" s="8"/>
      <c r="I315" s="18"/>
      <c r="K315" s="6"/>
    </row>
    <row r="316" spans="8:11" s="11" customFormat="1" x14ac:dyDescent="0.3">
      <c r="H316" s="8"/>
      <c r="I316" s="18"/>
      <c r="K316" s="6"/>
    </row>
    <row r="317" spans="8:11" s="11" customFormat="1" x14ac:dyDescent="0.3">
      <c r="H317" s="8"/>
      <c r="I317" s="18"/>
      <c r="K317" s="6"/>
    </row>
    <row r="318" spans="8:11" s="11" customFormat="1" x14ac:dyDescent="0.3">
      <c r="H318" s="8"/>
      <c r="I318" s="18"/>
      <c r="K318" s="6"/>
    </row>
    <row r="319" spans="8:11" s="11" customFormat="1" x14ac:dyDescent="0.3">
      <c r="H319" s="8"/>
      <c r="I319" s="18"/>
      <c r="K319" s="6"/>
    </row>
    <row r="320" spans="8:11" s="11" customFormat="1" x14ac:dyDescent="0.3">
      <c r="H320" s="8"/>
      <c r="I320" s="18"/>
      <c r="K320" s="6"/>
    </row>
    <row r="321" spans="8:11" s="11" customFormat="1" x14ac:dyDescent="0.3">
      <c r="H321" s="8"/>
      <c r="I321" s="18"/>
      <c r="K321" s="6"/>
    </row>
    <row r="322" spans="8:11" s="11" customFormat="1" x14ac:dyDescent="0.3">
      <c r="H322" s="8"/>
      <c r="I322" s="18"/>
      <c r="K322" s="6"/>
    </row>
    <row r="323" spans="8:11" s="11" customFormat="1" x14ac:dyDescent="0.3">
      <c r="H323" s="8"/>
      <c r="I323" s="18"/>
      <c r="K323" s="6"/>
    </row>
    <row r="324" spans="8:11" s="11" customFormat="1" x14ac:dyDescent="0.3">
      <c r="H324" s="8"/>
      <c r="I324" s="18"/>
      <c r="K324" s="6"/>
    </row>
    <row r="325" spans="8:11" s="11" customFormat="1" x14ac:dyDescent="0.3">
      <c r="H325" s="8"/>
      <c r="I325" s="18"/>
      <c r="K325" s="6"/>
    </row>
    <row r="326" spans="8:11" s="11" customFormat="1" x14ac:dyDescent="0.3">
      <c r="H326" s="8"/>
      <c r="I326" s="18"/>
      <c r="K326" s="6"/>
    </row>
    <row r="327" spans="8:11" s="11" customFormat="1" x14ac:dyDescent="0.3">
      <c r="H327" s="8"/>
      <c r="I327" s="18"/>
      <c r="K327" s="6"/>
    </row>
    <row r="328" spans="8:11" s="11" customFormat="1" x14ac:dyDescent="0.3">
      <c r="H328" s="8"/>
      <c r="I328" s="18"/>
      <c r="K328" s="6"/>
    </row>
    <row r="329" spans="8:11" s="11" customFormat="1" x14ac:dyDescent="0.3">
      <c r="H329" s="8"/>
      <c r="I329" s="18"/>
      <c r="K329" s="6"/>
    </row>
    <row r="330" spans="8:11" s="11" customFormat="1" x14ac:dyDescent="0.3">
      <c r="H330" s="8"/>
      <c r="I330" s="18"/>
      <c r="K330" s="6"/>
    </row>
    <row r="331" spans="8:11" s="11" customFormat="1" x14ac:dyDescent="0.3">
      <c r="H331" s="8"/>
      <c r="I331" s="18"/>
      <c r="K331" s="6"/>
    </row>
    <row r="332" spans="8:11" s="11" customFormat="1" x14ac:dyDescent="0.3">
      <c r="H332" s="8"/>
      <c r="I332" s="18"/>
      <c r="K332" s="6"/>
    </row>
    <row r="333" spans="8:11" s="11" customFormat="1" x14ac:dyDescent="0.3">
      <c r="H333" s="8"/>
      <c r="I333" s="18"/>
      <c r="K333" s="6"/>
    </row>
    <row r="334" spans="8:11" s="11" customFormat="1" x14ac:dyDescent="0.3">
      <c r="H334" s="8"/>
      <c r="I334" s="18"/>
      <c r="K334" s="6"/>
    </row>
    <row r="335" spans="8:11" s="11" customFormat="1" x14ac:dyDescent="0.3">
      <c r="H335" s="8"/>
      <c r="I335" s="18"/>
      <c r="K335" s="6"/>
    </row>
    <row r="336" spans="8:11" s="11" customFormat="1" x14ac:dyDescent="0.3">
      <c r="H336" s="8"/>
      <c r="I336" s="18"/>
      <c r="K336" s="6"/>
    </row>
    <row r="337" spans="8:11" s="11" customFormat="1" x14ac:dyDescent="0.3">
      <c r="H337" s="8"/>
      <c r="I337" s="18"/>
      <c r="K337" s="6"/>
    </row>
    <row r="338" spans="8:11" s="11" customFormat="1" x14ac:dyDescent="0.3">
      <c r="H338" s="8"/>
      <c r="I338" s="18"/>
      <c r="K338" s="6"/>
    </row>
    <row r="339" spans="8:11" s="11" customFormat="1" x14ac:dyDescent="0.3">
      <c r="H339" s="8"/>
      <c r="I339" s="18"/>
      <c r="K339" s="6"/>
    </row>
    <row r="340" spans="8:11" s="11" customFormat="1" x14ac:dyDescent="0.3">
      <c r="H340" s="8"/>
      <c r="I340" s="18"/>
      <c r="K340" s="6"/>
    </row>
    <row r="341" spans="8:11" s="11" customFormat="1" x14ac:dyDescent="0.3">
      <c r="H341" s="8"/>
      <c r="I341" s="18"/>
      <c r="K341" s="6"/>
    </row>
    <row r="342" spans="8:11" s="11" customFormat="1" x14ac:dyDescent="0.3">
      <c r="H342" s="8"/>
      <c r="I342" s="18"/>
      <c r="K342" s="6"/>
    </row>
  </sheetData>
  <mergeCells count="4">
    <mergeCell ref="A1:F1"/>
    <mergeCell ref="L1:Q1"/>
    <mergeCell ref="O10:P10"/>
    <mergeCell ref="L11:M11"/>
  </mergeCells>
  <pageMargins left="0.25" right="0.25" top="0.75" bottom="0.75" header="0.3" footer="0.3"/>
  <pageSetup paperSize="9" scale="74" fitToHeight="0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8E85-4A9E-4137-9084-6B5298B5927D}">
  <sheetPr codeName="Sheet14">
    <pageSetUpPr fitToPage="1"/>
  </sheetPr>
  <dimension ref="A1:Q342"/>
  <sheetViews>
    <sheetView rightToLeft="1" zoomScale="115" zoomScaleNormal="115" workbookViewId="0">
      <pane ySplit="13" topLeftCell="A41" activePane="bottomLeft" state="frozen"/>
      <selection pane="bottomLeft" activeCell="H44" sqref="H44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7.88671875" style="2" bestFit="1" customWidth="1"/>
    <col min="4" max="4" width="9.109375" style="2" bestFit="1" customWidth="1"/>
    <col min="5" max="5" width="5.109375" style="2" bestFit="1" customWidth="1"/>
    <col min="6" max="6" width="10.44140625" style="2" bestFit="1" customWidth="1"/>
    <col min="7" max="7" width="2.44140625" style="2" customWidth="1"/>
    <col min="8" max="8" width="14.109375" style="8" bestFit="1" customWidth="1"/>
    <col min="9" max="9" width="10.21875" style="7" bestFit="1" customWidth="1"/>
    <col min="10" max="10" width="8.5546875" style="11" bestFit="1" customWidth="1"/>
    <col min="11" max="11" width="3.33203125" style="6" customWidth="1"/>
    <col min="12" max="12" width="9.44140625" style="2" bestFit="1" customWidth="1"/>
    <col min="13" max="13" width="5.109375" style="2" bestFit="1" customWidth="1"/>
    <col min="14" max="14" width="8.5546875" style="2" bestFit="1" customWidth="1"/>
    <col min="15" max="15" width="9.109375" style="2" bestFit="1" customWidth="1"/>
    <col min="16" max="16" width="5.109375" style="2" bestFit="1" customWidth="1"/>
    <col min="17" max="17" width="11.109375" style="2" bestFit="1" customWidth="1"/>
    <col min="18" max="16384" width="8.88671875" style="2"/>
  </cols>
  <sheetData>
    <row r="1" spans="1:17" x14ac:dyDescent="0.3">
      <c r="A1" s="65" t="s">
        <v>29</v>
      </c>
      <c r="B1" s="65"/>
      <c r="C1" s="65"/>
      <c r="D1" s="65"/>
      <c r="E1" s="65"/>
      <c r="F1" s="65"/>
      <c r="H1" s="8" t="s">
        <v>38</v>
      </c>
      <c r="I1" s="7">
        <f>SUM(Table1345678101112131415[اللبناني])</f>
        <v>-710</v>
      </c>
      <c r="J1" s="7">
        <f>SUM(Table1345678101112131415[الدولار])</f>
        <v>-220</v>
      </c>
      <c r="L1" s="65" t="s">
        <v>33</v>
      </c>
      <c r="M1" s="65"/>
      <c r="N1" s="65"/>
      <c r="O1" s="65"/>
      <c r="P1" s="65"/>
      <c r="Q1" s="65"/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C3" s="21">
        <f>A3*B3</f>
        <v>0</v>
      </c>
      <c r="D3" s="17">
        <v>5</v>
      </c>
      <c r="E3" s="2">
        <v>63</v>
      </c>
      <c r="F3" s="23">
        <f>D3*E3</f>
        <v>315</v>
      </c>
      <c r="G3" s="5"/>
      <c r="H3" s="10" t="s">
        <v>199</v>
      </c>
      <c r="I3" s="20">
        <v>-540</v>
      </c>
      <c r="J3" s="11">
        <v>40</v>
      </c>
      <c r="L3" s="15">
        <v>1</v>
      </c>
      <c r="M3" s="2">
        <v>1</v>
      </c>
      <c r="N3" s="21">
        <f>L3*M3</f>
        <v>1</v>
      </c>
      <c r="O3" s="17">
        <v>5</v>
      </c>
      <c r="P3" s="2">
        <v>61</v>
      </c>
      <c r="Q3" s="23">
        <f>O3*P3</f>
        <v>305</v>
      </c>
    </row>
    <row r="4" spans="1:17" x14ac:dyDescent="0.3">
      <c r="A4" s="15">
        <v>5</v>
      </c>
      <c r="C4" s="21">
        <f t="shared" ref="C4:C8" si="0">A4*B4</f>
        <v>0</v>
      </c>
      <c r="D4" s="17">
        <v>10</v>
      </c>
      <c r="E4" s="2">
        <v>46</v>
      </c>
      <c r="F4" s="23">
        <f t="shared" ref="F4:F7" si="1">D4*E4</f>
        <v>460</v>
      </c>
      <c r="G4" s="5"/>
      <c r="H4" s="10" t="s">
        <v>234</v>
      </c>
      <c r="I4" s="20"/>
      <c r="J4" s="11">
        <v>-60</v>
      </c>
      <c r="L4" s="15">
        <v>5</v>
      </c>
      <c r="M4" s="2">
        <v>1</v>
      </c>
      <c r="N4" s="21">
        <f t="shared" ref="N4:N8" si="2">L4*M4</f>
        <v>5</v>
      </c>
      <c r="O4" s="17">
        <v>10</v>
      </c>
      <c r="P4" s="2">
        <v>43</v>
      </c>
      <c r="Q4" s="23">
        <f t="shared" ref="Q4:Q7" si="3">O4*P4</f>
        <v>430</v>
      </c>
    </row>
    <row r="5" spans="1:17" x14ac:dyDescent="0.3">
      <c r="A5" s="15">
        <v>10</v>
      </c>
      <c r="B5" s="2">
        <v>36</v>
      </c>
      <c r="C5" s="21">
        <f t="shared" si="0"/>
        <v>360</v>
      </c>
      <c r="D5" s="17">
        <v>20</v>
      </c>
      <c r="E5" s="2">
        <v>15</v>
      </c>
      <c r="F5" s="23">
        <f t="shared" si="1"/>
        <v>300</v>
      </c>
      <c r="G5" s="5"/>
      <c r="H5" s="10" t="s">
        <v>7</v>
      </c>
      <c r="I5" s="20"/>
      <c r="J5" s="11">
        <v>90</v>
      </c>
      <c r="L5" s="15">
        <v>10</v>
      </c>
      <c r="M5" s="2">
        <v>40</v>
      </c>
      <c r="N5" s="21">
        <f t="shared" si="2"/>
        <v>400</v>
      </c>
      <c r="O5" s="17">
        <v>20</v>
      </c>
      <c r="P5" s="2">
        <v>14</v>
      </c>
      <c r="Q5" s="23">
        <f t="shared" si="3"/>
        <v>280</v>
      </c>
    </row>
    <row r="6" spans="1:17" x14ac:dyDescent="0.3">
      <c r="A6" s="15">
        <v>20</v>
      </c>
      <c r="B6" s="2">
        <v>11</v>
      </c>
      <c r="C6" s="21">
        <f t="shared" si="0"/>
        <v>220</v>
      </c>
      <c r="D6" s="17">
        <v>50</v>
      </c>
      <c r="E6" s="2">
        <v>20</v>
      </c>
      <c r="F6" s="23">
        <f t="shared" si="1"/>
        <v>1000</v>
      </c>
      <c r="G6" s="5"/>
      <c r="H6" s="10" t="s">
        <v>235</v>
      </c>
      <c r="I6" s="20">
        <v>140</v>
      </c>
      <c r="L6" s="15">
        <v>20</v>
      </c>
      <c r="M6" s="2">
        <v>6</v>
      </c>
      <c r="N6" s="21">
        <f t="shared" si="2"/>
        <v>120</v>
      </c>
      <c r="O6" s="17">
        <v>50</v>
      </c>
      <c r="P6" s="2">
        <v>15</v>
      </c>
      <c r="Q6" s="23">
        <f t="shared" si="3"/>
        <v>750</v>
      </c>
    </row>
    <row r="7" spans="1:17" x14ac:dyDescent="0.3">
      <c r="A7" s="15">
        <v>50</v>
      </c>
      <c r="B7" s="2">
        <v>2</v>
      </c>
      <c r="C7" s="21">
        <f t="shared" si="0"/>
        <v>100</v>
      </c>
      <c r="D7" s="17">
        <v>100</v>
      </c>
      <c r="E7" s="2">
        <v>13</v>
      </c>
      <c r="F7" s="23">
        <f t="shared" si="1"/>
        <v>1300</v>
      </c>
      <c r="G7" s="5"/>
      <c r="H7" s="33"/>
      <c r="I7" s="20"/>
      <c r="J7" s="11">
        <v>22</v>
      </c>
      <c r="L7" s="15">
        <v>50</v>
      </c>
      <c r="N7" s="21">
        <f t="shared" si="2"/>
        <v>0</v>
      </c>
      <c r="O7" s="17">
        <v>100</v>
      </c>
      <c r="P7" s="2">
        <v>9</v>
      </c>
      <c r="Q7" s="23">
        <f t="shared" si="3"/>
        <v>900</v>
      </c>
    </row>
    <row r="8" spans="1:17" x14ac:dyDescent="0.3">
      <c r="A8" s="15">
        <v>100</v>
      </c>
      <c r="B8" s="2">
        <v>2</v>
      </c>
      <c r="C8" s="21">
        <f t="shared" si="0"/>
        <v>200</v>
      </c>
      <c r="D8" s="1" t="s">
        <v>1</v>
      </c>
      <c r="E8" s="1"/>
      <c r="F8" s="19">
        <f>SUM(F3:F7)</f>
        <v>3375</v>
      </c>
      <c r="G8" s="5"/>
      <c r="H8" s="10"/>
      <c r="I8" s="20">
        <v>200</v>
      </c>
      <c r="L8" s="15">
        <v>100</v>
      </c>
      <c r="M8" s="2">
        <v>1</v>
      </c>
      <c r="N8" s="21">
        <f t="shared" si="2"/>
        <v>100</v>
      </c>
      <c r="O8" s="1" t="s">
        <v>1</v>
      </c>
      <c r="P8" s="1"/>
      <c r="Q8" s="19">
        <f>SUM(Q3:Q7)</f>
        <v>2665</v>
      </c>
    </row>
    <row r="9" spans="1:17" x14ac:dyDescent="0.3">
      <c r="A9" s="1" t="s">
        <v>1</v>
      </c>
      <c r="B9" s="1"/>
      <c r="C9" s="22">
        <f>SUM(C3:C8)</f>
        <v>880</v>
      </c>
      <c r="H9" s="10"/>
      <c r="I9" s="20"/>
      <c r="J9" s="11">
        <v>100</v>
      </c>
      <c r="L9" s="1" t="s">
        <v>1</v>
      </c>
      <c r="M9" s="1"/>
      <c r="N9" s="22">
        <f>SUM(N3:N8)</f>
        <v>626</v>
      </c>
      <c r="Q9" s="20"/>
    </row>
    <row r="10" spans="1:17" x14ac:dyDescent="0.3">
      <c r="H10" s="10"/>
      <c r="I10" s="20">
        <v>220</v>
      </c>
      <c r="J10" s="11">
        <v>-30</v>
      </c>
      <c r="N10" s="27"/>
      <c r="O10" s="66" t="s">
        <v>40</v>
      </c>
      <c r="P10" s="66"/>
      <c r="Q10" s="24">
        <f>SUM(Table1345678101112131415[اللبناني])</f>
        <v>-710</v>
      </c>
    </row>
    <row r="11" spans="1:17" x14ac:dyDescent="0.3">
      <c r="H11" s="10"/>
      <c r="I11" s="20"/>
      <c r="J11" s="11">
        <v>9</v>
      </c>
      <c r="L11" s="66" t="s">
        <v>39</v>
      </c>
      <c r="M11" s="66"/>
      <c r="N11" s="12">
        <f>SUM(Table1345678101112131415[الدولار])</f>
        <v>-220</v>
      </c>
      <c r="Q11" s="20"/>
    </row>
    <row r="12" spans="1:17" x14ac:dyDescent="0.3">
      <c r="H12" s="10"/>
      <c r="I12" s="20"/>
      <c r="J12" s="11">
        <v>10</v>
      </c>
      <c r="N12" s="27"/>
      <c r="O12" s="1" t="s">
        <v>27</v>
      </c>
      <c r="P12" s="1"/>
      <c r="Q12" s="24">
        <f>Q8-Q10-F8</f>
        <v>0</v>
      </c>
    </row>
    <row r="13" spans="1:17" x14ac:dyDescent="0.3">
      <c r="C13" s="14"/>
      <c r="D13" s="14"/>
      <c r="F13" s="14"/>
      <c r="H13" s="10"/>
      <c r="I13" s="20">
        <v>-550</v>
      </c>
      <c r="L13" s="1" t="s">
        <v>27</v>
      </c>
      <c r="M13" s="1"/>
      <c r="N13" s="12">
        <f>N9-N11-C9</f>
        <v>-34</v>
      </c>
    </row>
    <row r="14" spans="1:17" x14ac:dyDescent="0.3">
      <c r="C14" s="14"/>
      <c r="D14" s="14"/>
      <c r="F14" s="14"/>
      <c r="H14" s="10"/>
      <c r="I14" s="18">
        <v>200</v>
      </c>
    </row>
    <row r="15" spans="1:17" x14ac:dyDescent="0.3">
      <c r="C15" s="14"/>
      <c r="D15" s="14"/>
      <c r="F15" s="14"/>
      <c r="H15" s="10"/>
      <c r="I15" s="18"/>
      <c r="J15" s="11">
        <v>80</v>
      </c>
    </row>
    <row r="16" spans="1:17" x14ac:dyDescent="0.3">
      <c r="C16" s="14"/>
      <c r="D16" s="14"/>
      <c r="F16" s="14"/>
      <c r="H16" s="10"/>
      <c r="I16" s="18"/>
      <c r="J16" s="11">
        <v>-600</v>
      </c>
    </row>
    <row r="17" spans="3:12" s="11" customFormat="1" x14ac:dyDescent="0.3">
      <c r="C17" s="14"/>
      <c r="D17" s="14"/>
      <c r="E17" s="2"/>
      <c r="F17" s="14"/>
      <c r="G17" s="2"/>
      <c r="H17" s="10"/>
      <c r="I17" s="20">
        <v>-300</v>
      </c>
      <c r="K17" s="6"/>
    </row>
    <row r="18" spans="3:12" s="11" customFormat="1" x14ac:dyDescent="0.3">
      <c r="C18" s="14"/>
      <c r="D18" s="2"/>
      <c r="E18" s="2"/>
      <c r="F18" s="14"/>
      <c r="G18" s="2"/>
      <c r="H18" s="10"/>
      <c r="I18" s="20"/>
      <c r="J18" s="11">
        <v>10</v>
      </c>
      <c r="K18" s="6"/>
    </row>
    <row r="19" spans="3:12" s="11" customFormat="1" x14ac:dyDescent="0.3">
      <c r="C19" s="14"/>
      <c r="D19" s="2"/>
      <c r="E19" s="2"/>
      <c r="F19" s="2"/>
      <c r="G19" s="2"/>
      <c r="H19" s="10"/>
      <c r="I19" s="20"/>
      <c r="J19" s="11">
        <v>-90</v>
      </c>
      <c r="K19" s="6"/>
    </row>
    <row r="20" spans="3:12" s="11" customFormat="1" x14ac:dyDescent="0.3">
      <c r="C20" s="2"/>
      <c r="D20" s="2"/>
      <c r="E20" s="2"/>
      <c r="F20" s="6"/>
      <c r="G20" s="2"/>
      <c r="H20" s="10"/>
      <c r="I20" s="20">
        <v>-225</v>
      </c>
      <c r="J20" s="11">
        <v>10</v>
      </c>
      <c r="K20" s="6"/>
    </row>
    <row r="21" spans="3:12" s="11" customFormat="1" x14ac:dyDescent="0.3">
      <c r="C21" s="6"/>
      <c r="D21" s="2"/>
      <c r="E21" s="2"/>
      <c r="F21" s="2"/>
      <c r="G21" s="2"/>
      <c r="H21" s="10"/>
      <c r="I21" s="20">
        <v>300</v>
      </c>
      <c r="K21" s="6"/>
    </row>
    <row r="22" spans="3:12" s="11" customFormat="1" x14ac:dyDescent="0.3">
      <c r="C22" s="2"/>
      <c r="D22" s="2"/>
      <c r="E22" s="2"/>
      <c r="F22" s="6"/>
      <c r="G22" s="2"/>
      <c r="H22" s="10"/>
      <c r="I22" s="20">
        <v>-150</v>
      </c>
      <c r="K22" s="6"/>
    </row>
    <row r="23" spans="3:12" s="11" customFormat="1" x14ac:dyDescent="0.3">
      <c r="C23" s="6"/>
      <c r="D23" s="2"/>
      <c r="E23" s="2"/>
      <c r="F23" s="2"/>
      <c r="G23" s="2"/>
      <c r="H23" s="10"/>
      <c r="I23" s="20">
        <v>-160</v>
      </c>
      <c r="K23" s="6"/>
    </row>
    <row r="24" spans="3:12" s="11" customFormat="1" x14ac:dyDescent="0.3">
      <c r="C24" s="2"/>
      <c r="D24" s="2"/>
      <c r="E24" s="2"/>
      <c r="F24" s="2"/>
      <c r="G24" s="2"/>
      <c r="H24" s="10"/>
      <c r="I24" s="20">
        <v>250</v>
      </c>
      <c r="J24" s="11">
        <v>100</v>
      </c>
      <c r="K24" s="6"/>
      <c r="L24" s="11" t="s">
        <v>193</v>
      </c>
    </row>
    <row r="25" spans="3:12" s="11" customFormat="1" x14ac:dyDescent="0.3">
      <c r="C25" s="2"/>
      <c r="D25" s="2"/>
      <c r="E25" s="2"/>
      <c r="F25" s="2"/>
      <c r="G25" s="2"/>
      <c r="H25" s="10" t="s">
        <v>21</v>
      </c>
      <c r="I25" s="20"/>
      <c r="J25" s="11">
        <v>-40</v>
      </c>
      <c r="K25" s="6"/>
    </row>
    <row r="26" spans="3:12" s="11" customFormat="1" x14ac:dyDescent="0.3">
      <c r="C26" s="2"/>
      <c r="D26" s="2"/>
      <c r="E26" s="2"/>
      <c r="F26" s="2"/>
      <c r="G26" s="2"/>
      <c r="H26" s="10" t="s">
        <v>212</v>
      </c>
      <c r="I26" s="20">
        <v>-500</v>
      </c>
      <c r="J26" s="11">
        <v>20</v>
      </c>
      <c r="K26" s="6"/>
    </row>
    <row r="27" spans="3:12" s="11" customFormat="1" x14ac:dyDescent="0.3">
      <c r="C27" s="2"/>
      <c r="D27" s="2"/>
      <c r="E27" s="2"/>
      <c r="F27" s="2"/>
      <c r="G27" s="2"/>
      <c r="H27" s="10" t="s">
        <v>120</v>
      </c>
      <c r="I27" s="18">
        <v>225</v>
      </c>
      <c r="K27" s="6"/>
    </row>
    <row r="28" spans="3:12" s="11" customFormat="1" x14ac:dyDescent="0.3">
      <c r="C28" s="2"/>
      <c r="D28" s="2"/>
      <c r="E28" s="2"/>
      <c r="F28" s="2"/>
      <c r="G28" s="2"/>
      <c r="H28" s="8" t="s">
        <v>236</v>
      </c>
      <c r="I28" s="18">
        <v>100</v>
      </c>
      <c r="K28" s="6"/>
    </row>
    <row r="29" spans="3:12" s="11" customFormat="1" x14ac:dyDescent="0.3">
      <c r="C29" s="2"/>
      <c r="D29" s="2"/>
      <c r="E29" s="2"/>
      <c r="F29" s="2"/>
      <c r="G29" s="2"/>
      <c r="H29" s="8" t="s">
        <v>237</v>
      </c>
      <c r="I29" s="18">
        <v>70</v>
      </c>
      <c r="K29" s="6"/>
    </row>
    <row r="30" spans="3:12" s="11" customFormat="1" x14ac:dyDescent="0.3">
      <c r="C30" s="2"/>
      <c r="D30" s="2"/>
      <c r="E30" s="2"/>
      <c r="F30" s="2"/>
      <c r="G30" s="2"/>
      <c r="H30" s="8" t="s">
        <v>238</v>
      </c>
      <c r="I30" s="18">
        <v>-380</v>
      </c>
      <c r="J30" s="11">
        <v>10</v>
      </c>
      <c r="K30" s="6"/>
    </row>
    <row r="31" spans="3:12" s="11" customFormat="1" x14ac:dyDescent="0.3">
      <c r="C31" s="2"/>
      <c r="D31" s="2"/>
      <c r="E31" s="2"/>
      <c r="F31" s="2"/>
      <c r="G31" s="2"/>
      <c r="H31" s="8" t="s">
        <v>239</v>
      </c>
      <c r="I31" s="18">
        <v>-450</v>
      </c>
      <c r="J31" s="11">
        <v>10</v>
      </c>
      <c r="K31" s="6"/>
    </row>
    <row r="32" spans="3:12" s="11" customFormat="1" x14ac:dyDescent="0.3">
      <c r="C32" s="2"/>
      <c r="D32" s="2"/>
      <c r="E32" s="2"/>
      <c r="F32" s="2"/>
      <c r="G32" s="2"/>
      <c r="H32" s="8" t="s">
        <v>240</v>
      </c>
      <c r="I32" s="18">
        <v>140</v>
      </c>
      <c r="K32" s="6"/>
    </row>
    <row r="33" spans="8:12" s="11" customFormat="1" x14ac:dyDescent="0.3">
      <c r="H33" s="8" t="s">
        <v>241</v>
      </c>
      <c r="I33" s="18"/>
      <c r="J33" s="11">
        <v>40</v>
      </c>
      <c r="K33" s="6"/>
    </row>
    <row r="34" spans="8:12" s="11" customFormat="1" x14ac:dyDescent="0.3">
      <c r="H34" s="8" t="s">
        <v>244</v>
      </c>
      <c r="I34" s="18">
        <v>-380</v>
      </c>
      <c r="J34" s="11">
        <v>5</v>
      </c>
      <c r="K34" s="6"/>
    </row>
    <row r="35" spans="8:12" s="11" customFormat="1" x14ac:dyDescent="0.3">
      <c r="H35" s="8" t="s">
        <v>242</v>
      </c>
      <c r="I35" s="18">
        <v>500</v>
      </c>
      <c r="K35" s="6"/>
    </row>
    <row r="36" spans="8:12" s="11" customFormat="1" x14ac:dyDescent="0.3">
      <c r="H36" s="8" t="s">
        <v>243</v>
      </c>
      <c r="I36" s="18"/>
      <c r="J36" s="11">
        <v>20</v>
      </c>
      <c r="K36" s="6"/>
    </row>
    <row r="37" spans="8:12" s="11" customFormat="1" x14ac:dyDescent="0.3">
      <c r="H37" s="8"/>
      <c r="I37" s="18">
        <v>180</v>
      </c>
      <c r="K37" s="6"/>
    </row>
    <row r="38" spans="8:12" s="11" customFormat="1" x14ac:dyDescent="0.3">
      <c r="H38" s="8" t="s">
        <v>21</v>
      </c>
      <c r="I38" s="18"/>
      <c r="J38" s="11">
        <v>-25</v>
      </c>
      <c r="K38" s="6"/>
    </row>
    <row r="39" spans="8:12" s="11" customFormat="1" x14ac:dyDescent="0.3">
      <c r="H39" s="8" t="s">
        <v>212</v>
      </c>
      <c r="I39" s="18"/>
      <c r="J39" s="11">
        <v>10</v>
      </c>
      <c r="K39" s="6"/>
    </row>
    <row r="40" spans="8:12" s="11" customFormat="1" x14ac:dyDescent="0.3">
      <c r="H40" s="8" t="s">
        <v>245</v>
      </c>
      <c r="I40" s="18">
        <v>400</v>
      </c>
      <c r="K40" s="6"/>
    </row>
    <row r="41" spans="8:12" s="11" customFormat="1" x14ac:dyDescent="0.3">
      <c r="H41" s="8" t="s">
        <v>127</v>
      </c>
      <c r="I41" s="18">
        <v>300</v>
      </c>
      <c r="K41" s="6"/>
    </row>
    <row r="42" spans="8:12" s="11" customFormat="1" x14ac:dyDescent="0.3">
      <c r="H42" s="8" t="s">
        <v>246</v>
      </c>
      <c r="I42" s="18">
        <v>-300</v>
      </c>
      <c r="J42" s="11">
        <v>5</v>
      </c>
      <c r="K42" s="6"/>
      <c r="L42" s="11" t="s">
        <v>193</v>
      </c>
    </row>
    <row r="43" spans="8:12" s="11" customFormat="1" x14ac:dyDescent="0.3">
      <c r="H43" s="8" t="s">
        <v>247</v>
      </c>
      <c r="I43" s="18"/>
      <c r="J43" s="11">
        <v>34</v>
      </c>
      <c r="K43" s="6"/>
    </row>
    <row r="44" spans="8:12" s="11" customFormat="1" x14ac:dyDescent="0.3">
      <c r="H44" s="8"/>
      <c r="I44" s="18"/>
      <c r="K44" s="6"/>
    </row>
    <row r="45" spans="8:12" s="11" customFormat="1" x14ac:dyDescent="0.3">
      <c r="H45" s="8"/>
      <c r="I45" s="18"/>
      <c r="K45" s="6"/>
    </row>
    <row r="46" spans="8:12" s="11" customFormat="1" x14ac:dyDescent="0.3">
      <c r="H46" s="8"/>
      <c r="I46" s="18"/>
      <c r="K46" s="6"/>
    </row>
    <row r="47" spans="8:12" s="11" customFormat="1" x14ac:dyDescent="0.3">
      <c r="H47" s="8"/>
      <c r="I47" s="18"/>
      <c r="K47" s="6"/>
    </row>
    <row r="48" spans="8:12" s="11" customFormat="1" x14ac:dyDescent="0.3">
      <c r="H48" s="8"/>
      <c r="I48" s="18"/>
      <c r="K48" s="6"/>
    </row>
    <row r="49" spans="8:11" s="11" customFormat="1" x14ac:dyDescent="0.3">
      <c r="H49" s="8"/>
      <c r="I49" s="18"/>
      <c r="K49" s="6"/>
    </row>
    <row r="50" spans="8:11" s="11" customFormat="1" x14ac:dyDescent="0.3">
      <c r="H50" s="8"/>
      <c r="I50" s="18"/>
      <c r="K50" s="6"/>
    </row>
    <row r="51" spans="8:11" s="11" customFormat="1" x14ac:dyDescent="0.3">
      <c r="H51" s="8"/>
      <c r="I51" s="18"/>
      <c r="K51" s="6"/>
    </row>
    <row r="52" spans="8:11" s="11" customFormat="1" x14ac:dyDescent="0.3">
      <c r="H52" s="8"/>
      <c r="I52" s="18"/>
      <c r="K52" s="6"/>
    </row>
    <row r="53" spans="8:11" s="11" customFormat="1" x14ac:dyDescent="0.3">
      <c r="H53" s="8"/>
      <c r="I53" s="18"/>
      <c r="K53" s="6"/>
    </row>
    <row r="54" spans="8:11" s="11" customFormat="1" x14ac:dyDescent="0.3">
      <c r="H54" s="8"/>
      <c r="I54" s="18"/>
      <c r="K54" s="6"/>
    </row>
    <row r="55" spans="8:11" s="11" customFormat="1" x14ac:dyDescent="0.3">
      <c r="H55" s="8"/>
      <c r="I55" s="18"/>
      <c r="K55" s="6"/>
    </row>
    <row r="56" spans="8:11" s="11" customFormat="1" x14ac:dyDescent="0.3">
      <c r="H56" s="8"/>
      <c r="I56" s="18"/>
      <c r="K56" s="6"/>
    </row>
    <row r="57" spans="8:11" s="11" customFormat="1" x14ac:dyDescent="0.3">
      <c r="H57" s="8"/>
      <c r="I57" s="18"/>
      <c r="K57" s="6"/>
    </row>
    <row r="58" spans="8:11" s="11" customFormat="1" x14ac:dyDescent="0.3">
      <c r="H58" s="8"/>
      <c r="I58" s="18"/>
      <c r="K58" s="6"/>
    </row>
    <row r="59" spans="8:11" s="11" customFormat="1" x14ac:dyDescent="0.3">
      <c r="H59" s="8"/>
      <c r="I59" s="18"/>
      <c r="K59" s="6"/>
    </row>
    <row r="60" spans="8:11" s="11" customFormat="1" x14ac:dyDescent="0.3">
      <c r="H60" s="8"/>
      <c r="I60" s="18"/>
      <c r="K60" s="6"/>
    </row>
    <row r="61" spans="8:11" s="11" customFormat="1" x14ac:dyDescent="0.3">
      <c r="H61" s="8"/>
      <c r="I61" s="18"/>
      <c r="K61" s="6"/>
    </row>
    <row r="62" spans="8:11" s="11" customFormat="1" x14ac:dyDescent="0.3">
      <c r="H62" s="8"/>
      <c r="I62" s="18"/>
      <c r="K62" s="6"/>
    </row>
    <row r="63" spans="8:11" s="11" customFormat="1" x14ac:dyDescent="0.3">
      <c r="H63" s="8"/>
      <c r="I63" s="18"/>
      <c r="K63" s="6"/>
    </row>
    <row r="64" spans="8:11" s="11" customFormat="1" x14ac:dyDescent="0.3">
      <c r="H64" s="8"/>
      <c r="I64" s="18"/>
      <c r="K64" s="6"/>
    </row>
    <row r="65" spans="8:11" s="11" customFormat="1" x14ac:dyDescent="0.3">
      <c r="H65" s="8"/>
      <c r="I65" s="18"/>
      <c r="K65" s="6"/>
    </row>
    <row r="66" spans="8:11" s="11" customFormat="1" x14ac:dyDescent="0.3">
      <c r="H66" s="8"/>
      <c r="I66" s="18"/>
      <c r="K66" s="6"/>
    </row>
    <row r="67" spans="8:11" s="11" customFormat="1" x14ac:dyDescent="0.3">
      <c r="H67" s="8"/>
      <c r="I67" s="18"/>
      <c r="K67" s="6"/>
    </row>
    <row r="68" spans="8:11" s="11" customFormat="1" x14ac:dyDescent="0.3">
      <c r="H68" s="8"/>
      <c r="I68" s="18"/>
      <c r="K68" s="6"/>
    </row>
    <row r="69" spans="8:11" s="11" customFormat="1" x14ac:dyDescent="0.3">
      <c r="H69" s="8"/>
      <c r="I69" s="18"/>
      <c r="K69" s="6"/>
    </row>
    <row r="70" spans="8:11" s="11" customFormat="1" x14ac:dyDescent="0.3">
      <c r="H70" s="8"/>
      <c r="I70" s="18"/>
      <c r="K70" s="6"/>
    </row>
    <row r="71" spans="8:11" s="11" customFormat="1" x14ac:dyDescent="0.3">
      <c r="H71" s="8"/>
      <c r="I71" s="18"/>
      <c r="K71" s="6"/>
    </row>
    <row r="72" spans="8:11" s="11" customFormat="1" x14ac:dyDescent="0.3">
      <c r="H72" s="8"/>
      <c r="I72" s="18"/>
      <c r="K72" s="6"/>
    </row>
    <row r="73" spans="8:11" s="11" customFormat="1" x14ac:dyDescent="0.3">
      <c r="H73" s="8"/>
      <c r="I73" s="18"/>
      <c r="K73" s="6"/>
    </row>
    <row r="74" spans="8:11" s="11" customFormat="1" x14ac:dyDescent="0.3">
      <c r="H74" s="8"/>
      <c r="I74" s="18"/>
      <c r="K74" s="6"/>
    </row>
    <row r="75" spans="8:11" s="11" customFormat="1" x14ac:dyDescent="0.3">
      <c r="H75" s="8"/>
      <c r="I75" s="18"/>
      <c r="K75" s="6"/>
    </row>
    <row r="76" spans="8:11" s="11" customFormat="1" x14ac:dyDescent="0.3">
      <c r="H76" s="8"/>
      <c r="I76" s="18"/>
      <c r="K76" s="6"/>
    </row>
    <row r="77" spans="8:11" s="11" customFormat="1" x14ac:dyDescent="0.3">
      <c r="H77" s="8"/>
      <c r="I77" s="18"/>
      <c r="K77" s="6"/>
    </row>
    <row r="78" spans="8:11" s="11" customFormat="1" x14ac:dyDescent="0.3">
      <c r="H78" s="8"/>
      <c r="I78" s="18"/>
      <c r="K78" s="6"/>
    </row>
    <row r="79" spans="8:11" s="11" customFormat="1" x14ac:dyDescent="0.3">
      <c r="H79" s="8"/>
      <c r="I79" s="18"/>
      <c r="K79" s="6"/>
    </row>
    <row r="80" spans="8:11" s="11" customFormat="1" x14ac:dyDescent="0.3">
      <c r="H80" s="8"/>
      <c r="I80" s="18"/>
      <c r="K80" s="6"/>
    </row>
    <row r="81" spans="8:11" s="11" customFormat="1" x14ac:dyDescent="0.3">
      <c r="H81" s="8"/>
      <c r="I81" s="18"/>
      <c r="K81" s="6"/>
    </row>
    <row r="82" spans="8:11" s="11" customFormat="1" x14ac:dyDescent="0.3">
      <c r="H82" s="8"/>
      <c r="I82" s="18"/>
      <c r="K82" s="6"/>
    </row>
    <row r="83" spans="8:11" s="11" customFormat="1" x14ac:dyDescent="0.3">
      <c r="H83" s="8"/>
      <c r="I83" s="18"/>
      <c r="K83" s="6"/>
    </row>
    <row r="84" spans="8:11" s="11" customFormat="1" x14ac:dyDescent="0.3">
      <c r="H84" s="8"/>
      <c r="I84" s="18"/>
      <c r="K84" s="6"/>
    </row>
    <row r="85" spans="8:11" s="11" customFormat="1" x14ac:dyDescent="0.3">
      <c r="H85" s="8"/>
      <c r="I85" s="18"/>
      <c r="K85" s="6"/>
    </row>
    <row r="86" spans="8:11" s="11" customFormat="1" x14ac:dyDescent="0.3">
      <c r="H86" s="8"/>
      <c r="I86" s="18"/>
      <c r="K86" s="6"/>
    </row>
    <row r="87" spans="8:11" s="11" customFormat="1" x14ac:dyDescent="0.3">
      <c r="H87" s="8"/>
      <c r="I87" s="18"/>
      <c r="K87" s="6"/>
    </row>
    <row r="88" spans="8:11" s="11" customFormat="1" x14ac:dyDescent="0.3">
      <c r="H88" s="8"/>
      <c r="I88" s="18"/>
      <c r="K88" s="6"/>
    </row>
    <row r="89" spans="8:11" s="11" customFormat="1" x14ac:dyDescent="0.3">
      <c r="H89" s="8"/>
      <c r="I89" s="18"/>
      <c r="K89" s="6"/>
    </row>
    <row r="90" spans="8:11" s="11" customFormat="1" x14ac:dyDescent="0.3">
      <c r="H90" s="8"/>
      <c r="I90" s="18"/>
      <c r="K90" s="6"/>
    </row>
    <row r="91" spans="8:11" s="11" customFormat="1" x14ac:dyDescent="0.3">
      <c r="H91" s="8"/>
      <c r="I91" s="18"/>
      <c r="K91" s="6"/>
    </row>
    <row r="92" spans="8:11" s="11" customFormat="1" x14ac:dyDescent="0.3">
      <c r="H92" s="8"/>
      <c r="I92" s="18"/>
      <c r="K92" s="6"/>
    </row>
    <row r="93" spans="8:11" s="11" customFormat="1" x14ac:dyDescent="0.3">
      <c r="H93" s="8"/>
      <c r="I93" s="18"/>
      <c r="K93" s="6"/>
    </row>
    <row r="94" spans="8:11" s="11" customFormat="1" x14ac:dyDescent="0.3">
      <c r="H94" s="8"/>
      <c r="I94" s="18"/>
      <c r="K94" s="6"/>
    </row>
    <row r="95" spans="8:11" s="11" customFormat="1" x14ac:dyDescent="0.3">
      <c r="H95" s="8"/>
      <c r="I95" s="18"/>
      <c r="K95" s="6"/>
    </row>
    <row r="96" spans="8:11" s="11" customFormat="1" x14ac:dyDescent="0.3">
      <c r="H96" s="8"/>
      <c r="I96" s="18"/>
      <c r="K96" s="6"/>
    </row>
    <row r="97" spans="8:11" s="11" customFormat="1" x14ac:dyDescent="0.3">
      <c r="H97" s="8"/>
      <c r="I97" s="18"/>
      <c r="K97" s="6"/>
    </row>
    <row r="98" spans="8:11" s="11" customFormat="1" x14ac:dyDescent="0.3">
      <c r="H98" s="8"/>
      <c r="I98" s="18"/>
      <c r="K98" s="6"/>
    </row>
    <row r="99" spans="8:11" s="11" customFormat="1" x14ac:dyDescent="0.3">
      <c r="H99" s="8"/>
      <c r="I99" s="18"/>
      <c r="K99" s="6"/>
    </row>
    <row r="100" spans="8:11" s="11" customFormat="1" x14ac:dyDescent="0.3">
      <c r="H100" s="8"/>
      <c r="I100" s="18"/>
      <c r="K100" s="6"/>
    </row>
    <row r="101" spans="8:11" s="11" customFormat="1" x14ac:dyDescent="0.3">
      <c r="H101" s="8"/>
      <c r="I101" s="18"/>
      <c r="K101" s="6"/>
    </row>
    <row r="102" spans="8:11" s="11" customFormat="1" x14ac:dyDescent="0.3">
      <c r="H102" s="8"/>
      <c r="I102" s="18"/>
      <c r="K102" s="6"/>
    </row>
    <row r="103" spans="8:11" s="11" customFormat="1" x14ac:dyDescent="0.3">
      <c r="H103" s="8"/>
      <c r="I103" s="18"/>
      <c r="K103" s="6"/>
    </row>
    <row r="104" spans="8:11" s="11" customFormat="1" x14ac:dyDescent="0.3">
      <c r="H104" s="8"/>
      <c r="I104" s="18"/>
      <c r="K104" s="6"/>
    </row>
    <row r="105" spans="8:11" s="11" customFormat="1" x14ac:dyDescent="0.3">
      <c r="H105" s="8"/>
      <c r="I105" s="18"/>
      <c r="K105" s="6"/>
    </row>
    <row r="106" spans="8:11" s="11" customFormat="1" x14ac:dyDescent="0.3">
      <c r="H106" s="8"/>
      <c r="I106" s="18"/>
      <c r="K106" s="6"/>
    </row>
    <row r="107" spans="8:11" s="11" customFormat="1" x14ac:dyDescent="0.3">
      <c r="H107" s="8"/>
      <c r="I107" s="18"/>
      <c r="K107" s="6"/>
    </row>
    <row r="108" spans="8:11" s="11" customFormat="1" x14ac:dyDescent="0.3">
      <c r="H108" s="8"/>
      <c r="I108" s="18"/>
      <c r="K108" s="6"/>
    </row>
    <row r="109" spans="8:11" s="11" customFormat="1" x14ac:dyDescent="0.3">
      <c r="H109" s="8"/>
      <c r="I109" s="18"/>
      <c r="K109" s="6"/>
    </row>
    <row r="110" spans="8:11" s="11" customFormat="1" x14ac:dyDescent="0.3">
      <c r="H110" s="8"/>
      <c r="I110" s="18"/>
      <c r="K110" s="6"/>
    </row>
    <row r="111" spans="8:11" s="11" customFormat="1" x14ac:dyDescent="0.3">
      <c r="H111" s="8"/>
      <c r="I111" s="18"/>
      <c r="K111" s="6"/>
    </row>
    <row r="112" spans="8:11" s="11" customFormat="1" x14ac:dyDescent="0.3">
      <c r="H112" s="8"/>
      <c r="I112" s="18"/>
      <c r="K112" s="6"/>
    </row>
    <row r="113" spans="8:11" s="11" customFormat="1" x14ac:dyDescent="0.3">
      <c r="H113" s="8"/>
      <c r="I113" s="18"/>
      <c r="K113" s="6"/>
    </row>
    <row r="114" spans="8:11" s="11" customFormat="1" x14ac:dyDescent="0.3">
      <c r="H114" s="8"/>
      <c r="I114" s="18"/>
      <c r="K114" s="6"/>
    </row>
    <row r="115" spans="8:11" s="11" customFormat="1" x14ac:dyDescent="0.3">
      <c r="H115" s="8"/>
      <c r="I115" s="18"/>
      <c r="K115" s="6"/>
    </row>
    <row r="116" spans="8:11" s="11" customFormat="1" x14ac:dyDescent="0.3">
      <c r="H116" s="8"/>
      <c r="I116" s="18"/>
      <c r="K116" s="6"/>
    </row>
    <row r="117" spans="8:11" s="11" customFormat="1" x14ac:dyDescent="0.3">
      <c r="H117" s="8"/>
      <c r="I117" s="18"/>
      <c r="K117" s="6"/>
    </row>
    <row r="118" spans="8:11" s="11" customFormat="1" x14ac:dyDescent="0.3">
      <c r="H118" s="8"/>
      <c r="I118" s="18"/>
      <c r="K118" s="6"/>
    </row>
    <row r="119" spans="8:11" s="11" customFormat="1" x14ac:dyDescent="0.3">
      <c r="H119" s="8"/>
      <c r="I119" s="18"/>
      <c r="K119" s="6"/>
    </row>
    <row r="120" spans="8:11" s="11" customFormat="1" x14ac:dyDescent="0.3">
      <c r="H120" s="8"/>
      <c r="I120" s="18"/>
      <c r="K120" s="6"/>
    </row>
    <row r="121" spans="8:11" s="11" customFormat="1" x14ac:dyDescent="0.3">
      <c r="H121" s="8"/>
      <c r="I121" s="18"/>
      <c r="K121" s="6"/>
    </row>
    <row r="122" spans="8:11" s="11" customFormat="1" x14ac:dyDescent="0.3">
      <c r="H122" s="8"/>
      <c r="I122" s="18"/>
      <c r="K122" s="6"/>
    </row>
    <row r="123" spans="8:11" s="11" customFormat="1" x14ac:dyDescent="0.3">
      <c r="H123" s="8"/>
      <c r="I123" s="18"/>
      <c r="K123" s="6"/>
    </row>
    <row r="124" spans="8:11" s="11" customFormat="1" x14ac:dyDescent="0.3">
      <c r="H124" s="8"/>
      <c r="I124" s="18"/>
      <c r="K124" s="6"/>
    </row>
    <row r="125" spans="8:11" s="11" customFormat="1" x14ac:dyDescent="0.3">
      <c r="H125" s="8"/>
      <c r="I125" s="18"/>
      <c r="K125" s="6"/>
    </row>
    <row r="126" spans="8:11" s="11" customFormat="1" x14ac:dyDescent="0.3">
      <c r="H126" s="8"/>
      <c r="I126" s="18"/>
      <c r="K126" s="6"/>
    </row>
    <row r="127" spans="8:11" s="11" customFormat="1" x14ac:dyDescent="0.3">
      <c r="H127" s="8"/>
      <c r="I127" s="18"/>
      <c r="K127" s="6"/>
    </row>
    <row r="128" spans="8:11" s="11" customFormat="1" x14ac:dyDescent="0.3">
      <c r="H128" s="8"/>
      <c r="I128" s="18"/>
      <c r="K128" s="6"/>
    </row>
    <row r="129" spans="8:11" s="11" customFormat="1" x14ac:dyDescent="0.3">
      <c r="H129" s="8"/>
      <c r="I129" s="18"/>
      <c r="K129" s="6"/>
    </row>
    <row r="130" spans="8:11" s="11" customFormat="1" x14ac:dyDescent="0.3">
      <c r="H130" s="8"/>
      <c r="I130" s="18"/>
      <c r="K130" s="6"/>
    </row>
    <row r="131" spans="8:11" s="11" customFormat="1" x14ac:dyDescent="0.3">
      <c r="H131" s="8"/>
      <c r="I131" s="18"/>
      <c r="K131" s="6"/>
    </row>
    <row r="132" spans="8:11" s="11" customFormat="1" x14ac:dyDescent="0.3">
      <c r="H132" s="8"/>
      <c r="I132" s="18"/>
      <c r="K132" s="6"/>
    </row>
    <row r="133" spans="8:11" s="11" customFormat="1" x14ac:dyDescent="0.3">
      <c r="H133" s="8"/>
      <c r="I133" s="18"/>
      <c r="K133" s="6"/>
    </row>
    <row r="134" spans="8:11" s="11" customFormat="1" x14ac:dyDescent="0.3">
      <c r="H134" s="8"/>
      <c r="I134" s="18"/>
      <c r="K134" s="6"/>
    </row>
    <row r="135" spans="8:11" s="11" customFormat="1" x14ac:dyDescent="0.3">
      <c r="H135" s="8"/>
      <c r="I135" s="18"/>
      <c r="K135" s="6"/>
    </row>
    <row r="136" spans="8:11" s="11" customFormat="1" x14ac:dyDescent="0.3">
      <c r="H136" s="8"/>
      <c r="I136" s="18"/>
      <c r="K136" s="6"/>
    </row>
    <row r="137" spans="8:11" s="11" customFormat="1" x14ac:dyDescent="0.3">
      <c r="H137" s="8"/>
      <c r="I137" s="18"/>
      <c r="K137" s="6"/>
    </row>
    <row r="138" spans="8:11" s="11" customFormat="1" x14ac:dyDescent="0.3">
      <c r="H138" s="8"/>
      <c r="I138" s="18"/>
      <c r="K138" s="6"/>
    </row>
    <row r="139" spans="8:11" s="11" customFormat="1" x14ac:dyDescent="0.3">
      <c r="H139" s="8"/>
      <c r="I139" s="18"/>
      <c r="K139" s="6"/>
    </row>
    <row r="140" spans="8:11" s="11" customFormat="1" x14ac:dyDescent="0.3">
      <c r="H140" s="8"/>
      <c r="I140" s="18"/>
      <c r="K140" s="6"/>
    </row>
    <row r="141" spans="8:11" s="11" customFormat="1" x14ac:dyDescent="0.3">
      <c r="H141" s="8"/>
      <c r="I141" s="18"/>
      <c r="K141" s="6"/>
    </row>
    <row r="142" spans="8:11" s="11" customFormat="1" x14ac:dyDescent="0.3">
      <c r="H142" s="8"/>
      <c r="I142" s="18"/>
      <c r="K142" s="6"/>
    </row>
    <row r="143" spans="8:11" s="11" customFormat="1" x14ac:dyDescent="0.3">
      <c r="H143" s="8"/>
      <c r="I143" s="18"/>
      <c r="K143" s="6"/>
    </row>
    <row r="144" spans="8:11" s="11" customFormat="1" x14ac:dyDescent="0.3">
      <c r="H144" s="8"/>
      <c r="I144" s="18"/>
      <c r="K144" s="6"/>
    </row>
    <row r="145" spans="8:11" s="11" customFormat="1" x14ac:dyDescent="0.3">
      <c r="H145" s="8"/>
      <c r="I145" s="18"/>
      <c r="K145" s="6"/>
    </row>
    <row r="146" spans="8:11" s="11" customFormat="1" x14ac:dyDescent="0.3">
      <c r="H146" s="8"/>
      <c r="I146" s="18"/>
      <c r="K146" s="6"/>
    </row>
    <row r="147" spans="8:11" s="11" customFormat="1" x14ac:dyDescent="0.3">
      <c r="H147" s="8"/>
      <c r="I147" s="18"/>
      <c r="K147" s="6"/>
    </row>
    <row r="148" spans="8:11" s="11" customFormat="1" x14ac:dyDescent="0.3">
      <c r="H148" s="8"/>
      <c r="I148" s="18"/>
      <c r="K148" s="6"/>
    </row>
    <row r="149" spans="8:11" s="11" customFormat="1" x14ac:dyDescent="0.3">
      <c r="H149" s="8"/>
      <c r="I149" s="18"/>
      <c r="K149" s="6"/>
    </row>
    <row r="150" spans="8:11" s="11" customFormat="1" x14ac:dyDescent="0.3">
      <c r="H150" s="8"/>
      <c r="I150" s="18"/>
      <c r="K150" s="6"/>
    </row>
    <row r="151" spans="8:11" s="11" customFormat="1" x14ac:dyDescent="0.3">
      <c r="H151" s="8"/>
      <c r="I151" s="18"/>
      <c r="K151" s="6"/>
    </row>
    <row r="152" spans="8:11" s="11" customFormat="1" x14ac:dyDescent="0.3">
      <c r="H152" s="8"/>
      <c r="I152" s="18"/>
      <c r="K152" s="6"/>
    </row>
    <row r="153" spans="8:11" s="11" customFormat="1" x14ac:dyDescent="0.3">
      <c r="H153" s="8"/>
      <c r="I153" s="18"/>
      <c r="K153" s="6"/>
    </row>
    <row r="154" spans="8:11" s="11" customFormat="1" x14ac:dyDescent="0.3">
      <c r="H154" s="8"/>
      <c r="I154" s="18"/>
      <c r="K154" s="6"/>
    </row>
    <row r="155" spans="8:11" s="11" customFormat="1" x14ac:dyDescent="0.3">
      <c r="H155" s="8"/>
      <c r="I155" s="18"/>
      <c r="K155" s="6"/>
    </row>
    <row r="156" spans="8:11" s="11" customFormat="1" x14ac:dyDescent="0.3">
      <c r="H156" s="8"/>
      <c r="I156" s="18"/>
      <c r="K156" s="6"/>
    </row>
    <row r="157" spans="8:11" s="11" customFormat="1" x14ac:dyDescent="0.3">
      <c r="H157" s="8"/>
      <c r="I157" s="18"/>
      <c r="K157" s="6"/>
    </row>
    <row r="158" spans="8:11" s="11" customFormat="1" x14ac:dyDescent="0.3">
      <c r="H158" s="8"/>
      <c r="I158" s="18"/>
      <c r="K158" s="6"/>
    </row>
    <row r="159" spans="8:11" s="11" customFormat="1" x14ac:dyDescent="0.3">
      <c r="H159" s="8"/>
      <c r="I159" s="18"/>
      <c r="K159" s="6"/>
    </row>
    <row r="160" spans="8:11" s="11" customFormat="1" x14ac:dyDescent="0.3">
      <c r="H160" s="8"/>
      <c r="I160" s="18"/>
      <c r="K160" s="6"/>
    </row>
    <row r="161" spans="8:11" s="11" customFormat="1" x14ac:dyDescent="0.3">
      <c r="H161" s="8"/>
      <c r="I161" s="18"/>
      <c r="K161" s="6"/>
    </row>
    <row r="162" spans="8:11" s="11" customFormat="1" x14ac:dyDescent="0.3">
      <c r="H162" s="8"/>
      <c r="I162" s="18"/>
      <c r="K162" s="6"/>
    </row>
    <row r="163" spans="8:11" s="11" customFormat="1" x14ac:dyDescent="0.3">
      <c r="H163" s="8"/>
      <c r="I163" s="18"/>
      <c r="K163" s="6"/>
    </row>
    <row r="164" spans="8:11" s="11" customFormat="1" x14ac:dyDescent="0.3">
      <c r="H164" s="8"/>
      <c r="I164" s="18"/>
      <c r="K164" s="6"/>
    </row>
    <row r="165" spans="8:11" s="11" customFormat="1" x14ac:dyDescent="0.3">
      <c r="H165" s="8"/>
      <c r="I165" s="18"/>
      <c r="K165" s="6"/>
    </row>
    <row r="166" spans="8:11" s="11" customFormat="1" x14ac:dyDescent="0.3">
      <c r="H166" s="8"/>
      <c r="I166" s="18"/>
      <c r="K166" s="6"/>
    </row>
    <row r="167" spans="8:11" s="11" customFormat="1" x14ac:dyDescent="0.3">
      <c r="H167" s="8"/>
      <c r="I167" s="18"/>
      <c r="K167" s="6"/>
    </row>
    <row r="168" spans="8:11" s="11" customFormat="1" x14ac:dyDescent="0.3">
      <c r="H168" s="8"/>
      <c r="I168" s="18"/>
      <c r="K168" s="6"/>
    </row>
    <row r="169" spans="8:11" s="11" customFormat="1" x14ac:dyDescent="0.3">
      <c r="H169" s="8"/>
      <c r="I169" s="18"/>
      <c r="K169" s="6"/>
    </row>
    <row r="170" spans="8:11" s="11" customFormat="1" x14ac:dyDescent="0.3">
      <c r="H170" s="8"/>
      <c r="I170" s="18"/>
      <c r="K170" s="6"/>
    </row>
    <row r="171" spans="8:11" s="11" customFormat="1" x14ac:dyDescent="0.3">
      <c r="H171" s="8"/>
      <c r="I171" s="18"/>
      <c r="K171" s="6"/>
    </row>
    <row r="172" spans="8:11" s="11" customFormat="1" x14ac:dyDescent="0.3">
      <c r="H172" s="8"/>
      <c r="I172" s="18"/>
      <c r="K172" s="6"/>
    </row>
    <row r="173" spans="8:11" s="11" customFormat="1" x14ac:dyDescent="0.3">
      <c r="H173" s="8"/>
      <c r="I173" s="18"/>
      <c r="K173" s="6"/>
    </row>
    <row r="174" spans="8:11" s="11" customFormat="1" x14ac:dyDescent="0.3">
      <c r="H174" s="8"/>
      <c r="I174" s="18"/>
      <c r="K174" s="6"/>
    </row>
    <row r="175" spans="8:11" s="11" customFormat="1" x14ac:dyDescent="0.3">
      <c r="H175" s="8"/>
      <c r="I175" s="18"/>
      <c r="K175" s="6"/>
    </row>
    <row r="176" spans="8:11" s="11" customFormat="1" x14ac:dyDescent="0.3">
      <c r="H176" s="8"/>
      <c r="I176" s="18"/>
      <c r="K176" s="6"/>
    </row>
    <row r="177" spans="8:11" s="11" customFormat="1" x14ac:dyDescent="0.3">
      <c r="H177" s="8"/>
      <c r="I177" s="18"/>
      <c r="K177" s="6"/>
    </row>
    <row r="178" spans="8:11" s="11" customFormat="1" x14ac:dyDescent="0.3">
      <c r="H178" s="8"/>
      <c r="I178" s="18"/>
      <c r="K178" s="6"/>
    </row>
    <row r="179" spans="8:11" s="11" customFormat="1" x14ac:dyDescent="0.3">
      <c r="H179" s="8"/>
      <c r="I179" s="18"/>
      <c r="K179" s="6"/>
    </row>
    <row r="180" spans="8:11" s="11" customFormat="1" x14ac:dyDescent="0.3">
      <c r="H180" s="8"/>
      <c r="I180" s="18"/>
      <c r="K180" s="6"/>
    </row>
    <row r="181" spans="8:11" s="11" customFormat="1" x14ac:dyDescent="0.3">
      <c r="H181" s="8"/>
      <c r="I181" s="18"/>
      <c r="K181" s="6"/>
    </row>
    <row r="182" spans="8:11" s="11" customFormat="1" x14ac:dyDescent="0.3">
      <c r="H182" s="8"/>
      <c r="I182" s="18"/>
      <c r="K182" s="6"/>
    </row>
    <row r="183" spans="8:11" s="11" customFormat="1" x14ac:dyDescent="0.3">
      <c r="H183" s="8"/>
      <c r="I183" s="18"/>
      <c r="K183" s="6"/>
    </row>
    <row r="184" spans="8:11" s="11" customFormat="1" x14ac:dyDescent="0.3">
      <c r="H184" s="8"/>
      <c r="I184" s="18"/>
      <c r="K184" s="6"/>
    </row>
    <row r="185" spans="8:11" s="11" customFormat="1" x14ac:dyDescent="0.3">
      <c r="H185" s="8"/>
      <c r="I185" s="18"/>
      <c r="K185" s="6"/>
    </row>
    <row r="186" spans="8:11" s="11" customFormat="1" x14ac:dyDescent="0.3">
      <c r="H186" s="8"/>
      <c r="I186" s="18"/>
      <c r="K186" s="6"/>
    </row>
    <row r="187" spans="8:11" s="11" customFormat="1" x14ac:dyDescent="0.3">
      <c r="H187" s="8"/>
      <c r="I187" s="18"/>
      <c r="K187" s="6"/>
    </row>
    <row r="188" spans="8:11" s="11" customFormat="1" x14ac:dyDescent="0.3">
      <c r="H188" s="8"/>
      <c r="I188" s="18"/>
      <c r="K188" s="6"/>
    </row>
    <row r="189" spans="8:11" s="11" customFormat="1" x14ac:dyDescent="0.3">
      <c r="H189" s="8"/>
      <c r="I189" s="18"/>
      <c r="K189" s="6"/>
    </row>
    <row r="190" spans="8:11" s="11" customFormat="1" x14ac:dyDescent="0.3">
      <c r="H190" s="8"/>
      <c r="I190" s="18"/>
      <c r="K190" s="6"/>
    </row>
    <row r="191" spans="8:11" s="11" customFormat="1" x14ac:dyDescent="0.3">
      <c r="H191" s="8"/>
      <c r="I191" s="18"/>
      <c r="K191" s="6"/>
    </row>
    <row r="192" spans="8:11" s="11" customFormat="1" x14ac:dyDescent="0.3">
      <c r="H192" s="8"/>
      <c r="I192" s="18"/>
      <c r="K192" s="6"/>
    </row>
    <row r="193" spans="8:11" s="11" customFormat="1" x14ac:dyDescent="0.3">
      <c r="H193" s="8"/>
      <c r="I193" s="18"/>
      <c r="K193" s="6"/>
    </row>
    <row r="194" spans="8:11" s="11" customFormat="1" x14ac:dyDescent="0.3">
      <c r="H194" s="8"/>
      <c r="I194" s="18"/>
      <c r="K194" s="6"/>
    </row>
    <row r="195" spans="8:11" s="11" customFormat="1" x14ac:dyDescent="0.3">
      <c r="H195" s="8"/>
      <c r="I195" s="18"/>
      <c r="K195" s="6"/>
    </row>
    <row r="196" spans="8:11" s="11" customFormat="1" x14ac:dyDescent="0.3">
      <c r="H196" s="8"/>
      <c r="I196" s="18"/>
      <c r="K196" s="6"/>
    </row>
    <row r="197" spans="8:11" s="11" customFormat="1" x14ac:dyDescent="0.3">
      <c r="H197" s="8"/>
      <c r="I197" s="18"/>
      <c r="K197" s="6"/>
    </row>
    <row r="198" spans="8:11" s="11" customFormat="1" x14ac:dyDescent="0.3">
      <c r="H198" s="8"/>
      <c r="I198" s="18"/>
      <c r="K198" s="6"/>
    </row>
    <row r="199" spans="8:11" s="11" customFormat="1" x14ac:dyDescent="0.3">
      <c r="H199" s="8"/>
      <c r="I199" s="18"/>
      <c r="K199" s="6"/>
    </row>
    <row r="200" spans="8:11" s="11" customFormat="1" x14ac:dyDescent="0.3">
      <c r="H200" s="8"/>
      <c r="I200" s="18"/>
      <c r="K200" s="6"/>
    </row>
    <row r="201" spans="8:11" s="11" customFormat="1" x14ac:dyDescent="0.3">
      <c r="H201" s="8"/>
      <c r="I201" s="18"/>
      <c r="K201" s="6"/>
    </row>
    <row r="202" spans="8:11" s="11" customFormat="1" x14ac:dyDescent="0.3">
      <c r="H202" s="8"/>
      <c r="I202" s="18"/>
      <c r="K202" s="6"/>
    </row>
    <row r="203" spans="8:11" s="11" customFormat="1" x14ac:dyDescent="0.3">
      <c r="H203" s="8"/>
      <c r="I203" s="18"/>
      <c r="K203" s="6"/>
    </row>
    <row r="204" spans="8:11" s="11" customFormat="1" x14ac:dyDescent="0.3">
      <c r="H204" s="8"/>
      <c r="I204" s="18"/>
      <c r="K204" s="6"/>
    </row>
    <row r="205" spans="8:11" s="11" customFormat="1" x14ac:dyDescent="0.3">
      <c r="H205" s="8"/>
      <c r="I205" s="18"/>
      <c r="K205" s="6"/>
    </row>
    <row r="206" spans="8:11" s="11" customFormat="1" x14ac:dyDescent="0.3">
      <c r="H206" s="8"/>
      <c r="I206" s="18"/>
      <c r="K206" s="6"/>
    </row>
    <row r="207" spans="8:11" s="11" customFormat="1" x14ac:dyDescent="0.3">
      <c r="H207" s="8"/>
      <c r="I207" s="18"/>
      <c r="K207" s="6"/>
    </row>
    <row r="208" spans="8:11" s="11" customFormat="1" x14ac:dyDescent="0.3">
      <c r="H208" s="8"/>
      <c r="I208" s="18"/>
      <c r="K208" s="6"/>
    </row>
    <row r="209" spans="8:11" s="11" customFormat="1" x14ac:dyDescent="0.3">
      <c r="H209" s="8"/>
      <c r="I209" s="18"/>
      <c r="K209" s="6"/>
    </row>
    <row r="210" spans="8:11" s="11" customFormat="1" x14ac:dyDescent="0.3">
      <c r="H210" s="8"/>
      <c r="I210" s="18"/>
      <c r="K210" s="6"/>
    </row>
    <row r="211" spans="8:11" s="11" customFormat="1" x14ac:dyDescent="0.3">
      <c r="H211" s="8"/>
      <c r="I211" s="18"/>
      <c r="K211" s="6"/>
    </row>
    <row r="212" spans="8:11" s="11" customFormat="1" x14ac:dyDescent="0.3">
      <c r="H212" s="8"/>
      <c r="I212" s="18"/>
      <c r="K212" s="6"/>
    </row>
    <row r="213" spans="8:11" s="11" customFormat="1" x14ac:dyDescent="0.3">
      <c r="H213" s="8"/>
      <c r="I213" s="18"/>
      <c r="K213" s="6"/>
    </row>
    <row r="214" spans="8:11" s="11" customFormat="1" x14ac:dyDescent="0.3">
      <c r="H214" s="8"/>
      <c r="I214" s="18"/>
      <c r="K214" s="6"/>
    </row>
    <row r="215" spans="8:11" s="11" customFormat="1" x14ac:dyDescent="0.3">
      <c r="H215" s="8"/>
      <c r="I215" s="18"/>
      <c r="K215" s="6"/>
    </row>
    <row r="216" spans="8:11" s="11" customFormat="1" x14ac:dyDescent="0.3">
      <c r="H216" s="8"/>
      <c r="I216" s="18"/>
      <c r="K216" s="6"/>
    </row>
    <row r="217" spans="8:11" s="11" customFormat="1" x14ac:dyDescent="0.3">
      <c r="H217" s="8"/>
      <c r="I217" s="18"/>
      <c r="K217" s="6"/>
    </row>
    <row r="218" spans="8:11" s="11" customFormat="1" x14ac:dyDescent="0.3">
      <c r="H218" s="8"/>
      <c r="I218" s="18"/>
      <c r="K218" s="6"/>
    </row>
    <row r="219" spans="8:11" s="11" customFormat="1" x14ac:dyDescent="0.3">
      <c r="H219" s="8"/>
      <c r="I219" s="18"/>
      <c r="K219" s="6"/>
    </row>
    <row r="220" spans="8:11" s="11" customFormat="1" x14ac:dyDescent="0.3">
      <c r="H220" s="8"/>
      <c r="I220" s="18"/>
      <c r="K220" s="6"/>
    </row>
    <row r="221" spans="8:11" s="11" customFormat="1" x14ac:dyDescent="0.3">
      <c r="H221" s="8"/>
      <c r="I221" s="18"/>
      <c r="K221" s="6"/>
    </row>
    <row r="222" spans="8:11" s="11" customFormat="1" x14ac:dyDescent="0.3">
      <c r="H222" s="8"/>
      <c r="I222" s="18"/>
      <c r="K222" s="6"/>
    </row>
    <row r="223" spans="8:11" s="11" customFormat="1" x14ac:dyDescent="0.3">
      <c r="H223" s="8"/>
      <c r="I223" s="18"/>
      <c r="K223" s="6"/>
    </row>
    <row r="224" spans="8:11" s="11" customFormat="1" x14ac:dyDescent="0.3">
      <c r="H224" s="8"/>
      <c r="I224" s="18"/>
      <c r="K224" s="6"/>
    </row>
    <row r="225" spans="8:11" s="11" customFormat="1" x14ac:dyDescent="0.3">
      <c r="H225" s="8"/>
      <c r="I225" s="18"/>
      <c r="K225" s="6"/>
    </row>
    <row r="226" spans="8:11" s="11" customFormat="1" x14ac:dyDescent="0.3">
      <c r="H226" s="8"/>
      <c r="I226" s="18"/>
      <c r="K226" s="6"/>
    </row>
    <row r="227" spans="8:11" s="11" customFormat="1" x14ac:dyDescent="0.3">
      <c r="H227" s="8"/>
      <c r="I227" s="18"/>
      <c r="K227" s="6"/>
    </row>
    <row r="228" spans="8:11" s="11" customFormat="1" x14ac:dyDescent="0.3">
      <c r="H228" s="8"/>
      <c r="I228" s="18"/>
      <c r="K228" s="6"/>
    </row>
    <row r="229" spans="8:11" s="11" customFormat="1" x14ac:dyDescent="0.3">
      <c r="H229" s="8"/>
      <c r="I229" s="18"/>
      <c r="K229" s="6"/>
    </row>
    <row r="230" spans="8:11" s="11" customFormat="1" x14ac:dyDescent="0.3">
      <c r="H230" s="8"/>
      <c r="I230" s="18"/>
      <c r="K230" s="6"/>
    </row>
    <row r="231" spans="8:11" s="11" customFormat="1" x14ac:dyDescent="0.3">
      <c r="H231" s="8"/>
      <c r="I231" s="18"/>
      <c r="K231" s="6"/>
    </row>
    <row r="232" spans="8:11" s="11" customFormat="1" x14ac:dyDescent="0.3">
      <c r="H232" s="8"/>
      <c r="I232" s="18"/>
      <c r="K232" s="6"/>
    </row>
    <row r="233" spans="8:11" s="11" customFormat="1" x14ac:dyDescent="0.3">
      <c r="H233" s="8"/>
      <c r="I233" s="18"/>
      <c r="K233" s="6"/>
    </row>
    <row r="234" spans="8:11" s="11" customFormat="1" x14ac:dyDescent="0.3">
      <c r="H234" s="8"/>
      <c r="I234" s="18"/>
      <c r="K234" s="6"/>
    </row>
    <row r="235" spans="8:11" s="11" customFormat="1" x14ac:dyDescent="0.3">
      <c r="H235" s="8"/>
      <c r="I235" s="18"/>
      <c r="K235" s="6"/>
    </row>
    <row r="236" spans="8:11" s="11" customFormat="1" x14ac:dyDescent="0.3">
      <c r="H236" s="8"/>
      <c r="I236" s="18"/>
      <c r="K236" s="6"/>
    </row>
    <row r="237" spans="8:11" s="11" customFormat="1" x14ac:dyDescent="0.3">
      <c r="H237" s="8"/>
      <c r="I237" s="18"/>
      <c r="K237" s="6"/>
    </row>
    <row r="238" spans="8:11" s="11" customFormat="1" x14ac:dyDescent="0.3">
      <c r="H238" s="8"/>
      <c r="I238" s="18"/>
      <c r="K238" s="6"/>
    </row>
    <row r="239" spans="8:11" s="11" customFormat="1" x14ac:dyDescent="0.3">
      <c r="H239" s="8"/>
      <c r="I239" s="18"/>
      <c r="K239" s="6"/>
    </row>
    <row r="240" spans="8:11" s="11" customFormat="1" x14ac:dyDescent="0.3">
      <c r="H240" s="8"/>
      <c r="I240" s="18"/>
      <c r="K240" s="6"/>
    </row>
    <row r="241" spans="8:11" s="11" customFormat="1" x14ac:dyDescent="0.3">
      <c r="H241" s="8"/>
      <c r="I241" s="18"/>
      <c r="K241" s="6"/>
    </row>
    <row r="242" spans="8:11" s="11" customFormat="1" x14ac:dyDescent="0.3">
      <c r="H242" s="8"/>
      <c r="I242" s="18"/>
      <c r="K242" s="6"/>
    </row>
    <row r="243" spans="8:11" s="11" customFormat="1" x14ac:dyDescent="0.3">
      <c r="H243" s="8"/>
      <c r="I243" s="18"/>
      <c r="K243" s="6"/>
    </row>
    <row r="244" spans="8:11" s="11" customFormat="1" x14ac:dyDescent="0.3">
      <c r="H244" s="8"/>
      <c r="I244" s="18"/>
      <c r="K244" s="6"/>
    </row>
    <row r="245" spans="8:11" s="11" customFormat="1" x14ac:dyDescent="0.3">
      <c r="H245" s="8"/>
      <c r="I245" s="18"/>
      <c r="K245" s="6"/>
    </row>
    <row r="246" spans="8:11" s="11" customFormat="1" x14ac:dyDescent="0.3">
      <c r="H246" s="8"/>
      <c r="I246" s="18"/>
      <c r="K246" s="6"/>
    </row>
    <row r="247" spans="8:11" s="11" customFormat="1" x14ac:dyDescent="0.3">
      <c r="H247" s="8"/>
      <c r="I247" s="18"/>
      <c r="K247" s="6"/>
    </row>
    <row r="248" spans="8:11" s="11" customFormat="1" x14ac:dyDescent="0.3">
      <c r="H248" s="8"/>
      <c r="I248" s="18"/>
      <c r="K248" s="6"/>
    </row>
    <row r="249" spans="8:11" s="11" customFormat="1" x14ac:dyDescent="0.3">
      <c r="H249" s="8"/>
      <c r="I249" s="18"/>
      <c r="K249" s="6"/>
    </row>
    <row r="250" spans="8:11" s="11" customFormat="1" x14ac:dyDescent="0.3">
      <c r="H250" s="8"/>
      <c r="I250" s="18"/>
      <c r="K250" s="6"/>
    </row>
    <row r="251" spans="8:11" s="11" customFormat="1" x14ac:dyDescent="0.3">
      <c r="H251" s="8"/>
      <c r="I251" s="18"/>
      <c r="K251" s="6"/>
    </row>
    <row r="252" spans="8:11" s="11" customFormat="1" x14ac:dyDescent="0.3">
      <c r="H252" s="8"/>
      <c r="I252" s="18"/>
      <c r="K252" s="6"/>
    </row>
    <row r="253" spans="8:11" s="11" customFormat="1" x14ac:dyDescent="0.3">
      <c r="H253" s="8"/>
      <c r="I253" s="18"/>
      <c r="K253" s="6"/>
    </row>
    <row r="254" spans="8:11" s="11" customFormat="1" x14ac:dyDescent="0.3">
      <c r="H254" s="8"/>
      <c r="I254" s="18"/>
      <c r="K254" s="6"/>
    </row>
    <row r="255" spans="8:11" s="11" customFormat="1" x14ac:dyDescent="0.3">
      <c r="H255" s="8"/>
      <c r="I255" s="18"/>
      <c r="K255" s="6"/>
    </row>
    <row r="256" spans="8:11" s="11" customFormat="1" x14ac:dyDescent="0.3">
      <c r="H256" s="8"/>
      <c r="I256" s="18"/>
      <c r="K256" s="6"/>
    </row>
    <row r="257" spans="8:11" s="11" customFormat="1" x14ac:dyDescent="0.3">
      <c r="H257" s="8"/>
      <c r="I257" s="18"/>
      <c r="K257" s="6"/>
    </row>
    <row r="258" spans="8:11" s="11" customFormat="1" x14ac:dyDescent="0.3">
      <c r="H258" s="8"/>
      <c r="I258" s="18"/>
      <c r="K258" s="6"/>
    </row>
    <row r="259" spans="8:11" s="11" customFormat="1" x14ac:dyDescent="0.3">
      <c r="H259" s="8"/>
      <c r="I259" s="18"/>
      <c r="K259" s="6"/>
    </row>
    <row r="260" spans="8:11" s="11" customFormat="1" x14ac:dyDescent="0.3">
      <c r="H260" s="8"/>
      <c r="I260" s="18"/>
      <c r="K260" s="6"/>
    </row>
    <row r="261" spans="8:11" s="11" customFormat="1" x14ac:dyDescent="0.3">
      <c r="H261" s="8"/>
      <c r="I261" s="18"/>
      <c r="K261" s="6"/>
    </row>
    <row r="262" spans="8:11" s="11" customFormat="1" x14ac:dyDescent="0.3">
      <c r="H262" s="8"/>
      <c r="I262" s="18"/>
      <c r="K262" s="6"/>
    </row>
    <row r="263" spans="8:11" s="11" customFormat="1" x14ac:dyDescent="0.3">
      <c r="H263" s="8"/>
      <c r="I263" s="18"/>
      <c r="K263" s="6"/>
    </row>
    <row r="264" spans="8:11" s="11" customFormat="1" x14ac:dyDescent="0.3">
      <c r="H264" s="8"/>
      <c r="I264" s="18"/>
      <c r="K264" s="6"/>
    </row>
    <row r="265" spans="8:11" s="11" customFormat="1" x14ac:dyDescent="0.3">
      <c r="H265" s="8"/>
      <c r="I265" s="18"/>
      <c r="K265" s="6"/>
    </row>
    <row r="266" spans="8:11" s="11" customFormat="1" x14ac:dyDescent="0.3">
      <c r="H266" s="8"/>
      <c r="I266" s="18"/>
      <c r="K266" s="6"/>
    </row>
    <row r="267" spans="8:11" s="11" customFormat="1" x14ac:dyDescent="0.3">
      <c r="H267" s="8"/>
      <c r="I267" s="18"/>
      <c r="K267" s="6"/>
    </row>
    <row r="268" spans="8:11" s="11" customFormat="1" x14ac:dyDescent="0.3">
      <c r="H268" s="8"/>
      <c r="I268" s="18"/>
      <c r="K268" s="6"/>
    </row>
    <row r="269" spans="8:11" s="11" customFormat="1" x14ac:dyDescent="0.3">
      <c r="H269" s="8"/>
      <c r="I269" s="18"/>
      <c r="K269" s="6"/>
    </row>
    <row r="270" spans="8:11" s="11" customFormat="1" x14ac:dyDescent="0.3">
      <c r="H270" s="8"/>
      <c r="I270" s="18"/>
      <c r="K270" s="6"/>
    </row>
    <row r="271" spans="8:11" s="11" customFormat="1" x14ac:dyDescent="0.3">
      <c r="H271" s="8"/>
      <c r="I271" s="18"/>
      <c r="K271" s="6"/>
    </row>
    <row r="272" spans="8:11" s="11" customFormat="1" x14ac:dyDescent="0.3">
      <c r="H272" s="8"/>
      <c r="I272" s="18"/>
      <c r="K272" s="6"/>
    </row>
    <row r="273" spans="8:11" s="11" customFormat="1" x14ac:dyDescent="0.3">
      <c r="H273" s="8"/>
      <c r="I273" s="18"/>
      <c r="K273" s="6"/>
    </row>
    <row r="274" spans="8:11" s="11" customFormat="1" x14ac:dyDescent="0.3">
      <c r="H274" s="8"/>
      <c r="I274" s="18"/>
      <c r="K274" s="6"/>
    </row>
    <row r="275" spans="8:11" s="11" customFormat="1" x14ac:dyDescent="0.3">
      <c r="H275" s="8"/>
      <c r="I275" s="18"/>
      <c r="K275" s="6"/>
    </row>
    <row r="276" spans="8:11" s="11" customFormat="1" x14ac:dyDescent="0.3">
      <c r="H276" s="8"/>
      <c r="I276" s="18"/>
      <c r="K276" s="6"/>
    </row>
    <row r="277" spans="8:11" s="11" customFormat="1" x14ac:dyDescent="0.3">
      <c r="H277" s="8"/>
      <c r="I277" s="18"/>
      <c r="K277" s="6"/>
    </row>
    <row r="278" spans="8:11" s="11" customFormat="1" x14ac:dyDescent="0.3">
      <c r="H278" s="8"/>
      <c r="I278" s="18"/>
      <c r="K278" s="6"/>
    </row>
    <row r="279" spans="8:11" s="11" customFormat="1" x14ac:dyDescent="0.3">
      <c r="H279" s="8"/>
      <c r="I279" s="18"/>
      <c r="K279" s="6"/>
    </row>
    <row r="280" spans="8:11" s="11" customFormat="1" x14ac:dyDescent="0.3">
      <c r="H280" s="8"/>
      <c r="I280" s="18"/>
      <c r="K280" s="6"/>
    </row>
    <row r="281" spans="8:11" s="11" customFormat="1" x14ac:dyDescent="0.3">
      <c r="H281" s="8"/>
      <c r="I281" s="18"/>
      <c r="K281" s="6"/>
    </row>
    <row r="282" spans="8:11" s="11" customFormat="1" x14ac:dyDescent="0.3">
      <c r="H282" s="8"/>
      <c r="I282" s="18"/>
      <c r="K282" s="6"/>
    </row>
    <row r="283" spans="8:11" s="11" customFormat="1" x14ac:dyDescent="0.3">
      <c r="H283" s="8"/>
      <c r="I283" s="18"/>
      <c r="K283" s="6"/>
    </row>
    <row r="284" spans="8:11" s="11" customFormat="1" x14ac:dyDescent="0.3">
      <c r="H284" s="8"/>
      <c r="I284" s="18"/>
      <c r="K284" s="6"/>
    </row>
    <row r="285" spans="8:11" s="11" customFormat="1" x14ac:dyDescent="0.3">
      <c r="H285" s="8"/>
      <c r="I285" s="18"/>
      <c r="K285" s="6"/>
    </row>
    <row r="286" spans="8:11" s="11" customFormat="1" x14ac:dyDescent="0.3">
      <c r="H286" s="8"/>
      <c r="I286" s="18"/>
      <c r="K286" s="6"/>
    </row>
    <row r="287" spans="8:11" s="11" customFormat="1" x14ac:dyDescent="0.3">
      <c r="H287" s="8"/>
      <c r="I287" s="18"/>
      <c r="K287" s="6"/>
    </row>
    <row r="288" spans="8:11" s="11" customFormat="1" x14ac:dyDescent="0.3">
      <c r="H288" s="8"/>
      <c r="I288" s="18"/>
      <c r="K288" s="6"/>
    </row>
    <row r="289" spans="8:11" s="11" customFormat="1" x14ac:dyDescent="0.3">
      <c r="H289" s="8"/>
      <c r="I289" s="18"/>
      <c r="K289" s="6"/>
    </row>
    <row r="290" spans="8:11" s="11" customFormat="1" x14ac:dyDescent="0.3">
      <c r="H290" s="8"/>
      <c r="I290" s="18"/>
      <c r="K290" s="6"/>
    </row>
    <row r="291" spans="8:11" s="11" customFormat="1" x14ac:dyDescent="0.3">
      <c r="H291" s="8"/>
      <c r="I291" s="18"/>
      <c r="K291" s="6"/>
    </row>
    <row r="292" spans="8:11" s="11" customFormat="1" x14ac:dyDescent="0.3">
      <c r="H292" s="8"/>
      <c r="I292" s="18"/>
      <c r="K292" s="6"/>
    </row>
    <row r="293" spans="8:11" s="11" customFormat="1" x14ac:dyDescent="0.3">
      <c r="H293" s="8"/>
      <c r="I293" s="18"/>
      <c r="K293" s="6"/>
    </row>
    <row r="294" spans="8:11" s="11" customFormat="1" x14ac:dyDescent="0.3">
      <c r="H294" s="8"/>
      <c r="I294" s="18"/>
      <c r="K294" s="6"/>
    </row>
    <row r="295" spans="8:11" s="11" customFormat="1" x14ac:dyDescent="0.3">
      <c r="H295" s="8"/>
      <c r="I295" s="18"/>
      <c r="K295" s="6"/>
    </row>
    <row r="296" spans="8:11" s="11" customFormat="1" x14ac:dyDescent="0.3">
      <c r="H296" s="8"/>
      <c r="I296" s="18"/>
      <c r="K296" s="6"/>
    </row>
    <row r="297" spans="8:11" s="11" customFormat="1" x14ac:dyDescent="0.3">
      <c r="H297" s="8"/>
      <c r="I297" s="18"/>
      <c r="K297" s="6"/>
    </row>
    <row r="298" spans="8:11" s="11" customFormat="1" x14ac:dyDescent="0.3">
      <c r="H298" s="8"/>
      <c r="I298" s="18"/>
      <c r="K298" s="6"/>
    </row>
    <row r="299" spans="8:11" s="11" customFormat="1" x14ac:dyDescent="0.3">
      <c r="H299" s="8"/>
      <c r="I299" s="18"/>
      <c r="K299" s="6"/>
    </row>
    <row r="300" spans="8:11" s="11" customFormat="1" x14ac:dyDescent="0.3">
      <c r="H300" s="8"/>
      <c r="I300" s="18"/>
      <c r="K300" s="6"/>
    </row>
    <row r="301" spans="8:11" s="11" customFormat="1" x14ac:dyDescent="0.3">
      <c r="H301" s="8"/>
      <c r="I301" s="18"/>
      <c r="K301" s="6"/>
    </row>
    <row r="302" spans="8:11" s="11" customFormat="1" x14ac:dyDescent="0.3">
      <c r="H302" s="8"/>
      <c r="I302" s="18"/>
      <c r="K302" s="6"/>
    </row>
    <row r="303" spans="8:11" s="11" customFormat="1" x14ac:dyDescent="0.3">
      <c r="H303" s="8"/>
      <c r="I303" s="18"/>
      <c r="K303" s="6"/>
    </row>
    <row r="304" spans="8:11" s="11" customFormat="1" x14ac:dyDescent="0.3">
      <c r="H304" s="8"/>
      <c r="I304" s="18"/>
      <c r="K304" s="6"/>
    </row>
    <row r="305" spans="8:11" s="11" customFormat="1" x14ac:dyDescent="0.3">
      <c r="H305" s="8"/>
      <c r="I305" s="18"/>
      <c r="K305" s="6"/>
    </row>
    <row r="306" spans="8:11" s="11" customFormat="1" x14ac:dyDescent="0.3">
      <c r="H306" s="8"/>
      <c r="I306" s="18"/>
      <c r="K306" s="6"/>
    </row>
    <row r="307" spans="8:11" s="11" customFormat="1" x14ac:dyDescent="0.3">
      <c r="H307" s="8"/>
      <c r="I307" s="18"/>
      <c r="K307" s="6"/>
    </row>
    <row r="308" spans="8:11" s="11" customFormat="1" x14ac:dyDescent="0.3">
      <c r="H308" s="8"/>
      <c r="I308" s="18"/>
      <c r="K308" s="6"/>
    </row>
    <row r="309" spans="8:11" s="11" customFormat="1" x14ac:dyDescent="0.3">
      <c r="H309" s="8"/>
      <c r="I309" s="18"/>
      <c r="K309" s="6"/>
    </row>
    <row r="310" spans="8:11" s="11" customFormat="1" x14ac:dyDescent="0.3">
      <c r="H310" s="8"/>
      <c r="I310" s="18"/>
      <c r="K310" s="6"/>
    </row>
    <row r="311" spans="8:11" s="11" customFormat="1" x14ac:dyDescent="0.3">
      <c r="H311" s="8"/>
      <c r="I311" s="18"/>
      <c r="K311" s="6"/>
    </row>
    <row r="312" spans="8:11" s="11" customFormat="1" x14ac:dyDescent="0.3">
      <c r="H312" s="8"/>
      <c r="I312" s="18"/>
      <c r="K312" s="6"/>
    </row>
    <row r="313" spans="8:11" s="11" customFormat="1" x14ac:dyDescent="0.3">
      <c r="H313" s="8"/>
      <c r="I313" s="18"/>
      <c r="K313" s="6"/>
    </row>
    <row r="314" spans="8:11" s="11" customFormat="1" x14ac:dyDescent="0.3">
      <c r="H314" s="8"/>
      <c r="I314" s="18"/>
      <c r="K314" s="6"/>
    </row>
    <row r="315" spans="8:11" s="11" customFormat="1" x14ac:dyDescent="0.3">
      <c r="H315" s="8"/>
      <c r="I315" s="18"/>
      <c r="K315" s="6"/>
    </row>
    <row r="316" spans="8:11" s="11" customFormat="1" x14ac:dyDescent="0.3">
      <c r="H316" s="8"/>
      <c r="I316" s="18"/>
      <c r="K316" s="6"/>
    </row>
    <row r="317" spans="8:11" s="11" customFormat="1" x14ac:dyDescent="0.3">
      <c r="H317" s="8"/>
      <c r="I317" s="18"/>
      <c r="K317" s="6"/>
    </row>
    <row r="318" spans="8:11" s="11" customFormat="1" x14ac:dyDescent="0.3">
      <c r="H318" s="8"/>
      <c r="I318" s="18"/>
      <c r="K318" s="6"/>
    </row>
    <row r="319" spans="8:11" s="11" customFormat="1" x14ac:dyDescent="0.3">
      <c r="H319" s="8"/>
      <c r="I319" s="18"/>
      <c r="K319" s="6"/>
    </row>
    <row r="320" spans="8:11" s="11" customFormat="1" x14ac:dyDescent="0.3">
      <c r="H320" s="8"/>
      <c r="I320" s="18"/>
      <c r="K320" s="6"/>
    </row>
    <row r="321" spans="8:11" s="11" customFormat="1" x14ac:dyDescent="0.3">
      <c r="H321" s="8"/>
      <c r="I321" s="18"/>
      <c r="K321" s="6"/>
    </row>
    <row r="322" spans="8:11" s="11" customFormat="1" x14ac:dyDescent="0.3">
      <c r="H322" s="8"/>
      <c r="I322" s="18"/>
      <c r="K322" s="6"/>
    </row>
    <row r="323" spans="8:11" s="11" customFormat="1" x14ac:dyDescent="0.3">
      <c r="H323" s="8"/>
      <c r="I323" s="18"/>
      <c r="K323" s="6"/>
    </row>
    <row r="324" spans="8:11" s="11" customFormat="1" x14ac:dyDescent="0.3">
      <c r="H324" s="8"/>
      <c r="I324" s="18"/>
      <c r="K324" s="6"/>
    </row>
    <row r="325" spans="8:11" s="11" customFormat="1" x14ac:dyDescent="0.3">
      <c r="H325" s="8"/>
      <c r="I325" s="18"/>
      <c r="K325" s="6"/>
    </row>
    <row r="326" spans="8:11" s="11" customFormat="1" x14ac:dyDescent="0.3">
      <c r="H326" s="8"/>
      <c r="I326" s="18"/>
      <c r="K326" s="6"/>
    </row>
    <row r="327" spans="8:11" s="11" customFormat="1" x14ac:dyDescent="0.3">
      <c r="H327" s="8"/>
      <c r="I327" s="18"/>
      <c r="K327" s="6"/>
    </row>
    <row r="328" spans="8:11" s="11" customFormat="1" x14ac:dyDescent="0.3">
      <c r="H328" s="8"/>
      <c r="I328" s="18"/>
      <c r="K328" s="6"/>
    </row>
    <row r="329" spans="8:11" s="11" customFormat="1" x14ac:dyDescent="0.3">
      <c r="H329" s="8"/>
      <c r="I329" s="18"/>
      <c r="K329" s="6"/>
    </row>
    <row r="330" spans="8:11" s="11" customFormat="1" x14ac:dyDescent="0.3">
      <c r="H330" s="8"/>
      <c r="I330" s="18"/>
      <c r="K330" s="6"/>
    </row>
    <row r="331" spans="8:11" s="11" customFormat="1" x14ac:dyDescent="0.3">
      <c r="H331" s="8"/>
      <c r="I331" s="18"/>
      <c r="K331" s="6"/>
    </row>
    <row r="332" spans="8:11" s="11" customFormat="1" x14ac:dyDescent="0.3">
      <c r="H332" s="8"/>
      <c r="I332" s="18"/>
      <c r="K332" s="6"/>
    </row>
    <row r="333" spans="8:11" s="11" customFormat="1" x14ac:dyDescent="0.3">
      <c r="H333" s="8"/>
      <c r="I333" s="18"/>
      <c r="K333" s="6"/>
    </row>
    <row r="334" spans="8:11" s="11" customFormat="1" x14ac:dyDescent="0.3">
      <c r="H334" s="8"/>
      <c r="I334" s="18"/>
      <c r="K334" s="6"/>
    </row>
    <row r="335" spans="8:11" s="11" customFormat="1" x14ac:dyDescent="0.3">
      <c r="H335" s="8"/>
      <c r="I335" s="18"/>
      <c r="K335" s="6"/>
    </row>
    <row r="336" spans="8:11" s="11" customFormat="1" x14ac:dyDescent="0.3">
      <c r="H336" s="8"/>
      <c r="I336" s="18"/>
      <c r="K336" s="6"/>
    </row>
    <row r="337" spans="8:11" s="11" customFormat="1" x14ac:dyDescent="0.3">
      <c r="H337" s="8"/>
      <c r="I337" s="18"/>
      <c r="K337" s="6"/>
    </row>
    <row r="338" spans="8:11" s="11" customFormat="1" x14ac:dyDescent="0.3">
      <c r="H338" s="8"/>
      <c r="I338" s="18"/>
      <c r="K338" s="6"/>
    </row>
    <row r="339" spans="8:11" s="11" customFormat="1" x14ac:dyDescent="0.3">
      <c r="H339" s="8"/>
      <c r="I339" s="18"/>
      <c r="K339" s="6"/>
    </row>
    <row r="340" spans="8:11" s="11" customFormat="1" x14ac:dyDescent="0.3">
      <c r="H340" s="8"/>
      <c r="I340" s="18"/>
      <c r="K340" s="6"/>
    </row>
    <row r="341" spans="8:11" s="11" customFormat="1" x14ac:dyDescent="0.3">
      <c r="H341" s="8"/>
      <c r="I341" s="18"/>
      <c r="K341" s="6"/>
    </row>
    <row r="342" spans="8:11" s="11" customFormat="1" x14ac:dyDescent="0.3">
      <c r="H342" s="8"/>
      <c r="I342" s="18"/>
      <c r="K342" s="6"/>
    </row>
  </sheetData>
  <mergeCells count="4">
    <mergeCell ref="A1:F1"/>
    <mergeCell ref="L1:Q1"/>
    <mergeCell ref="O10:P10"/>
    <mergeCell ref="L11:M11"/>
  </mergeCells>
  <pageMargins left="0.25" right="0.25" top="0.75" bottom="0.75" header="0.3" footer="0.3"/>
  <pageSetup paperSize="9" scale="74" fitToHeight="0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4190-A1CD-44D7-99E4-F374FE4ED011}">
  <sheetPr codeName="Sheet15">
    <pageSetUpPr fitToPage="1"/>
  </sheetPr>
  <dimension ref="A1:Q342"/>
  <sheetViews>
    <sheetView rightToLeft="1" zoomScale="115" zoomScaleNormal="115" workbookViewId="0">
      <pane ySplit="13" topLeftCell="A60" activePane="bottomLeft" state="frozen"/>
      <selection pane="bottomLeft" activeCell="H68" sqref="H68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7.88671875" style="2" bestFit="1" customWidth="1"/>
    <col min="4" max="4" width="9.109375" style="2" bestFit="1" customWidth="1"/>
    <col min="5" max="5" width="5.109375" style="2" bestFit="1" customWidth="1"/>
    <col min="6" max="6" width="10.44140625" style="2" bestFit="1" customWidth="1"/>
    <col min="7" max="7" width="2.44140625" style="2" customWidth="1"/>
    <col min="8" max="8" width="14.109375" style="8" bestFit="1" customWidth="1"/>
    <col min="9" max="9" width="10.21875" style="7" bestFit="1" customWidth="1"/>
    <col min="10" max="10" width="8.5546875" style="11" bestFit="1" customWidth="1"/>
    <col min="11" max="11" width="3.33203125" style="6" customWidth="1"/>
    <col min="12" max="12" width="9.44140625" style="2" bestFit="1" customWidth="1"/>
    <col min="13" max="13" width="5.109375" style="2" bestFit="1" customWidth="1"/>
    <col min="14" max="14" width="8.5546875" style="2" bestFit="1" customWidth="1"/>
    <col min="15" max="15" width="9.109375" style="2" bestFit="1" customWidth="1"/>
    <col min="16" max="16" width="5.109375" style="2" bestFit="1" customWidth="1"/>
    <col min="17" max="17" width="11.109375" style="2" bestFit="1" customWidth="1"/>
    <col min="18" max="16384" width="8.88671875" style="2"/>
  </cols>
  <sheetData>
    <row r="1" spans="1:17" x14ac:dyDescent="0.3">
      <c r="A1" s="65" t="s">
        <v>29</v>
      </c>
      <c r="B1" s="65"/>
      <c r="C1" s="65"/>
      <c r="D1" s="65"/>
      <c r="E1" s="65"/>
      <c r="F1" s="65"/>
      <c r="H1" s="8" t="s">
        <v>38</v>
      </c>
      <c r="I1" s="7">
        <f>SUM(Table134567810111213141516[اللبناني])</f>
        <v>5170</v>
      </c>
      <c r="J1" s="7">
        <f>SUM(Table134567810111213141516[الدولار])</f>
        <v>206</v>
      </c>
      <c r="L1" s="65" t="s">
        <v>33</v>
      </c>
      <c r="M1" s="65"/>
      <c r="N1" s="65"/>
      <c r="O1" s="65"/>
      <c r="P1" s="65"/>
      <c r="Q1" s="65"/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C3" s="21">
        <f>A3*B3</f>
        <v>0</v>
      </c>
      <c r="D3" s="17">
        <v>5</v>
      </c>
      <c r="E3" s="2">
        <v>58</v>
      </c>
      <c r="F3" s="23">
        <f>D3*E3</f>
        <v>290</v>
      </c>
      <c r="G3" s="5"/>
      <c r="H3" s="10" t="s">
        <v>199</v>
      </c>
      <c r="I3" s="20">
        <v>-600</v>
      </c>
      <c r="L3" s="15">
        <v>1</v>
      </c>
      <c r="M3" s="2">
        <v>1</v>
      </c>
      <c r="N3" s="21">
        <f>L3*M3</f>
        <v>1</v>
      </c>
      <c r="O3" s="17">
        <v>5</v>
      </c>
      <c r="P3" s="2">
        <v>52</v>
      </c>
      <c r="Q3" s="23">
        <f>O3*P3</f>
        <v>260</v>
      </c>
    </row>
    <row r="4" spans="1:17" x14ac:dyDescent="0.3">
      <c r="A4" s="15">
        <v>5</v>
      </c>
      <c r="B4" s="2">
        <v>1</v>
      </c>
      <c r="C4" s="21">
        <f t="shared" ref="C4:C8" si="0">A4*B4</f>
        <v>5</v>
      </c>
      <c r="D4" s="17">
        <v>10</v>
      </c>
      <c r="E4" s="2">
        <v>42</v>
      </c>
      <c r="F4" s="23">
        <f t="shared" ref="F4:F7" si="1">D4*E4</f>
        <v>420</v>
      </c>
      <c r="G4" s="5"/>
      <c r="H4" s="10" t="s">
        <v>22</v>
      </c>
      <c r="I4" s="20">
        <v>40</v>
      </c>
      <c r="L4" s="15">
        <v>5</v>
      </c>
      <c r="M4" s="2">
        <v>6</v>
      </c>
      <c r="N4" s="21">
        <f t="shared" ref="N4:N8" si="2">L4*M4</f>
        <v>30</v>
      </c>
      <c r="O4" s="17">
        <v>10</v>
      </c>
      <c r="P4" s="2">
        <v>38</v>
      </c>
      <c r="Q4" s="23">
        <f t="shared" ref="Q4:Q7" si="3">O4*P4</f>
        <v>380</v>
      </c>
    </row>
    <row r="5" spans="1:17" x14ac:dyDescent="0.3">
      <c r="A5" s="15">
        <v>10</v>
      </c>
      <c r="B5" s="2">
        <v>36</v>
      </c>
      <c r="C5" s="21">
        <f t="shared" si="0"/>
        <v>360</v>
      </c>
      <c r="D5" s="17">
        <v>20</v>
      </c>
      <c r="E5" s="2">
        <v>17</v>
      </c>
      <c r="F5" s="23">
        <f t="shared" si="1"/>
        <v>340</v>
      </c>
      <c r="G5" s="5"/>
      <c r="H5" s="10" t="s">
        <v>248</v>
      </c>
      <c r="I5" s="20">
        <v>-100</v>
      </c>
      <c r="L5" s="15">
        <v>10</v>
      </c>
      <c r="M5" s="2">
        <v>16</v>
      </c>
      <c r="N5" s="21">
        <f t="shared" si="2"/>
        <v>160</v>
      </c>
      <c r="O5" s="17">
        <v>20</v>
      </c>
      <c r="P5" s="2">
        <v>19</v>
      </c>
      <c r="Q5" s="23">
        <f t="shared" si="3"/>
        <v>380</v>
      </c>
    </row>
    <row r="6" spans="1:17" x14ac:dyDescent="0.3">
      <c r="A6" s="15">
        <v>20</v>
      </c>
      <c r="B6" s="2">
        <v>2</v>
      </c>
      <c r="C6" s="21">
        <f t="shared" si="0"/>
        <v>40</v>
      </c>
      <c r="D6" s="17">
        <v>50</v>
      </c>
      <c r="E6" s="2">
        <v>9</v>
      </c>
      <c r="F6" s="23">
        <f t="shared" si="1"/>
        <v>450</v>
      </c>
      <c r="G6" s="5"/>
      <c r="H6" s="10" t="s">
        <v>250</v>
      </c>
      <c r="I6" s="20"/>
      <c r="J6" s="11">
        <v>65</v>
      </c>
      <c r="L6" s="15">
        <v>20</v>
      </c>
      <c r="M6" s="2">
        <v>1</v>
      </c>
      <c r="N6" s="21">
        <f t="shared" si="2"/>
        <v>20</v>
      </c>
      <c r="O6" s="17">
        <v>50</v>
      </c>
      <c r="P6" s="2">
        <v>7</v>
      </c>
      <c r="Q6" s="23">
        <f t="shared" si="3"/>
        <v>350</v>
      </c>
    </row>
    <row r="7" spans="1:17" x14ac:dyDescent="0.3">
      <c r="A7" s="15">
        <v>50</v>
      </c>
      <c r="B7" s="2">
        <v>1</v>
      </c>
      <c r="C7" s="21">
        <f t="shared" si="0"/>
        <v>50</v>
      </c>
      <c r="D7" s="17">
        <v>100</v>
      </c>
      <c r="E7" s="2">
        <v>12</v>
      </c>
      <c r="F7" s="23">
        <f t="shared" si="1"/>
        <v>1200</v>
      </c>
      <c r="G7" s="5"/>
      <c r="H7" s="33" t="s">
        <v>249</v>
      </c>
      <c r="I7" s="20"/>
      <c r="J7" s="11">
        <v>100</v>
      </c>
      <c r="L7" s="15">
        <v>50</v>
      </c>
      <c r="M7" s="2">
        <v>1</v>
      </c>
      <c r="N7" s="21">
        <f t="shared" si="2"/>
        <v>50</v>
      </c>
      <c r="O7" s="17">
        <v>100</v>
      </c>
      <c r="P7" s="2">
        <v>65</v>
      </c>
      <c r="Q7" s="23">
        <f t="shared" si="3"/>
        <v>6500</v>
      </c>
    </row>
    <row r="8" spans="1:17" x14ac:dyDescent="0.3">
      <c r="A8" s="15">
        <v>100</v>
      </c>
      <c r="C8" s="21">
        <f t="shared" si="0"/>
        <v>0</v>
      </c>
      <c r="D8" s="1" t="s">
        <v>1</v>
      </c>
      <c r="E8" s="1"/>
      <c r="F8" s="19">
        <f>SUM(F3:F7)</f>
        <v>2700</v>
      </c>
      <c r="G8" s="5"/>
      <c r="H8" s="10" t="s">
        <v>251</v>
      </c>
      <c r="I8" s="20">
        <v>-90</v>
      </c>
      <c r="J8" s="11">
        <v>340</v>
      </c>
      <c r="L8" s="15">
        <v>100</v>
      </c>
      <c r="M8" s="2">
        <v>4</v>
      </c>
      <c r="N8" s="21">
        <f t="shared" si="2"/>
        <v>400</v>
      </c>
      <c r="O8" s="1" t="s">
        <v>1</v>
      </c>
      <c r="P8" s="1"/>
      <c r="Q8" s="19">
        <f>SUM(Q3:Q7)</f>
        <v>7870</v>
      </c>
    </row>
    <row r="9" spans="1:17" x14ac:dyDescent="0.3">
      <c r="A9" s="1" t="s">
        <v>1</v>
      </c>
      <c r="B9" s="1"/>
      <c r="C9" s="22">
        <f>SUM(C3:C8)</f>
        <v>455</v>
      </c>
      <c r="H9" s="10" t="s">
        <v>87</v>
      </c>
      <c r="I9" s="20"/>
      <c r="J9" s="11">
        <v>70</v>
      </c>
      <c r="L9" s="1" t="s">
        <v>1</v>
      </c>
      <c r="M9" s="1"/>
      <c r="N9" s="22">
        <f>SUM(N3:N8)</f>
        <v>661</v>
      </c>
      <c r="Q9" s="20"/>
    </row>
    <row r="10" spans="1:17" x14ac:dyDescent="0.3">
      <c r="H10" s="10" t="s">
        <v>252</v>
      </c>
      <c r="I10" s="20">
        <v>180</v>
      </c>
      <c r="N10" s="27"/>
      <c r="O10" s="66" t="s">
        <v>40</v>
      </c>
      <c r="P10" s="66"/>
      <c r="Q10" s="24">
        <f>SUM(Table134567810111213141516[اللبناني])</f>
        <v>5170</v>
      </c>
    </row>
    <row r="11" spans="1:17" x14ac:dyDescent="0.3">
      <c r="H11" s="10" t="s">
        <v>253</v>
      </c>
      <c r="I11" s="20"/>
      <c r="J11" s="11">
        <v>-269</v>
      </c>
      <c r="L11" s="66" t="s">
        <v>39</v>
      </c>
      <c r="M11" s="66"/>
      <c r="N11" s="12">
        <f>SUM(Table134567810111213141516[الدولار])</f>
        <v>206</v>
      </c>
      <c r="Q11" s="20"/>
    </row>
    <row r="12" spans="1:17" x14ac:dyDescent="0.3">
      <c r="H12" s="10" t="s">
        <v>104</v>
      </c>
      <c r="I12" s="20">
        <v>-300</v>
      </c>
      <c r="N12" s="27"/>
      <c r="O12" s="1" t="s">
        <v>27</v>
      </c>
      <c r="P12" s="1"/>
      <c r="Q12" s="24">
        <f>Q8-Q10-F8</f>
        <v>0</v>
      </c>
    </row>
    <row r="13" spans="1:17" x14ac:dyDescent="0.3">
      <c r="C13" s="14"/>
      <c r="D13" s="14"/>
      <c r="F13" s="14"/>
      <c r="H13" s="10" t="s">
        <v>254</v>
      </c>
      <c r="I13" s="20">
        <v>-180</v>
      </c>
      <c r="J13" s="11">
        <v>30</v>
      </c>
      <c r="L13" s="1" t="s">
        <v>27</v>
      </c>
      <c r="M13" s="1"/>
      <c r="N13" s="12">
        <f>N9-N11-C9</f>
        <v>0</v>
      </c>
    </row>
    <row r="14" spans="1:17" x14ac:dyDescent="0.3">
      <c r="C14" s="14"/>
      <c r="D14" s="14"/>
      <c r="F14" s="14"/>
      <c r="H14" s="10" t="s">
        <v>254</v>
      </c>
      <c r="I14" s="18">
        <v>50</v>
      </c>
      <c r="J14" s="11">
        <v>6</v>
      </c>
    </row>
    <row r="15" spans="1:17" x14ac:dyDescent="0.3">
      <c r="C15" s="14"/>
      <c r="D15" s="14"/>
      <c r="F15" s="14"/>
      <c r="H15" s="10" t="s">
        <v>255</v>
      </c>
      <c r="I15" s="18"/>
      <c r="J15" s="11">
        <v>10</v>
      </c>
    </row>
    <row r="16" spans="1:17" x14ac:dyDescent="0.3">
      <c r="C16" s="14"/>
      <c r="D16" s="14"/>
      <c r="F16" s="14"/>
      <c r="H16" s="10" t="s">
        <v>21</v>
      </c>
      <c r="I16" s="18">
        <v>-50</v>
      </c>
    </row>
    <row r="17" spans="3:11" s="11" customFormat="1" x14ac:dyDescent="0.3">
      <c r="C17" s="14"/>
      <c r="D17" s="14"/>
      <c r="E17" s="2"/>
      <c r="F17" s="14"/>
      <c r="G17" s="2"/>
      <c r="H17" s="10" t="s">
        <v>84</v>
      </c>
      <c r="I17" s="20"/>
      <c r="J17" s="11">
        <v>59</v>
      </c>
      <c r="K17" s="6"/>
    </row>
    <row r="18" spans="3:11" s="11" customFormat="1" x14ac:dyDescent="0.3">
      <c r="C18" s="14"/>
      <c r="D18" s="2"/>
      <c r="E18" s="2"/>
      <c r="F18" s="14"/>
      <c r="G18" s="2"/>
      <c r="H18" s="10" t="s">
        <v>256</v>
      </c>
      <c r="I18" s="20">
        <v>-315</v>
      </c>
      <c r="J18" s="11">
        <v>10</v>
      </c>
      <c r="K18" s="6"/>
    </row>
    <row r="19" spans="3:11" s="11" customFormat="1" x14ac:dyDescent="0.3">
      <c r="C19" s="14"/>
      <c r="D19" s="2"/>
      <c r="E19" s="2"/>
      <c r="F19" s="2"/>
      <c r="G19" s="2"/>
      <c r="H19" s="10" t="s">
        <v>22</v>
      </c>
      <c r="I19" s="20">
        <v>1000</v>
      </c>
      <c r="K19" s="6"/>
    </row>
    <row r="20" spans="3:11" s="11" customFormat="1" x14ac:dyDescent="0.3">
      <c r="C20" s="2"/>
      <c r="D20" s="2"/>
      <c r="E20" s="2"/>
      <c r="F20" s="6"/>
      <c r="G20" s="2"/>
      <c r="H20" s="10" t="s">
        <v>257</v>
      </c>
      <c r="I20" s="20">
        <v>-225</v>
      </c>
      <c r="J20" s="11">
        <v>10</v>
      </c>
      <c r="K20" s="6"/>
    </row>
    <row r="21" spans="3:11" s="11" customFormat="1" x14ac:dyDescent="0.3">
      <c r="C21" s="6"/>
      <c r="D21" s="2"/>
      <c r="E21" s="2"/>
      <c r="F21" s="2"/>
      <c r="G21" s="2"/>
      <c r="H21" s="10" t="s">
        <v>258</v>
      </c>
      <c r="I21" s="20">
        <v>135</v>
      </c>
      <c r="K21" s="6"/>
    </row>
    <row r="22" spans="3:11" s="11" customFormat="1" x14ac:dyDescent="0.3">
      <c r="C22" s="2"/>
      <c r="D22" s="2"/>
      <c r="E22" s="2"/>
      <c r="F22" s="6"/>
      <c r="G22" s="2"/>
      <c r="H22" s="10" t="s">
        <v>259</v>
      </c>
      <c r="I22" s="20">
        <v>700</v>
      </c>
      <c r="K22" s="6"/>
    </row>
    <row r="23" spans="3:11" s="11" customFormat="1" x14ac:dyDescent="0.3">
      <c r="C23" s="6"/>
      <c r="D23" s="2"/>
      <c r="E23" s="2"/>
      <c r="F23" s="2"/>
      <c r="G23" s="2"/>
      <c r="H23" s="10" t="s">
        <v>260</v>
      </c>
      <c r="I23" s="20"/>
      <c r="J23" s="11">
        <v>30</v>
      </c>
      <c r="K23" s="6"/>
    </row>
    <row r="24" spans="3:11" s="11" customFormat="1" x14ac:dyDescent="0.3">
      <c r="C24" s="2"/>
      <c r="D24" s="2"/>
      <c r="E24" s="2"/>
      <c r="F24" s="2"/>
      <c r="G24" s="2"/>
      <c r="H24" s="10" t="s">
        <v>261</v>
      </c>
      <c r="I24" s="20"/>
      <c r="J24" s="11">
        <v>70</v>
      </c>
      <c r="K24" s="6"/>
    </row>
    <row r="25" spans="3:11" s="11" customFormat="1" x14ac:dyDescent="0.3">
      <c r="C25" s="2"/>
      <c r="D25" s="2"/>
      <c r="E25" s="2"/>
      <c r="F25" s="2"/>
      <c r="G25" s="2"/>
      <c r="H25" s="10" t="s">
        <v>245</v>
      </c>
      <c r="I25" s="20">
        <v>400</v>
      </c>
      <c r="K25" s="6"/>
    </row>
    <row r="26" spans="3:11" s="11" customFormat="1" x14ac:dyDescent="0.3">
      <c r="C26" s="2"/>
      <c r="D26" s="2"/>
      <c r="E26" s="2"/>
      <c r="F26" s="2"/>
      <c r="G26" s="2"/>
      <c r="H26" s="10" t="s">
        <v>262</v>
      </c>
      <c r="I26" s="20">
        <v>-180</v>
      </c>
      <c r="J26" s="11">
        <v>20</v>
      </c>
      <c r="K26" s="6"/>
    </row>
    <row r="27" spans="3:11" s="11" customFormat="1" x14ac:dyDescent="0.3">
      <c r="C27" s="2"/>
      <c r="D27" s="2"/>
      <c r="E27" s="2"/>
      <c r="F27" s="2"/>
      <c r="G27" s="2"/>
      <c r="H27" s="10" t="s">
        <v>263</v>
      </c>
      <c r="I27" s="18">
        <v>150</v>
      </c>
      <c r="K27" s="6"/>
    </row>
    <row r="28" spans="3:11" s="11" customFormat="1" x14ac:dyDescent="0.3">
      <c r="C28" s="2"/>
      <c r="D28" s="2"/>
      <c r="E28" s="2"/>
      <c r="F28" s="2"/>
      <c r="G28" s="2"/>
      <c r="H28" s="8" t="s">
        <v>264</v>
      </c>
      <c r="I28" s="18"/>
      <c r="J28" s="11">
        <v>-170</v>
      </c>
      <c r="K28" s="6"/>
    </row>
    <row r="29" spans="3:11" s="11" customFormat="1" x14ac:dyDescent="0.3">
      <c r="C29" s="2"/>
      <c r="D29" s="2"/>
      <c r="E29" s="2"/>
      <c r="F29" s="2"/>
      <c r="G29" s="2"/>
      <c r="H29" s="8" t="s">
        <v>265</v>
      </c>
      <c r="I29" s="18">
        <v>135</v>
      </c>
      <c r="K29" s="6"/>
    </row>
    <row r="30" spans="3:11" s="11" customFormat="1" x14ac:dyDescent="0.3">
      <c r="C30" s="2"/>
      <c r="D30" s="2"/>
      <c r="E30" s="2"/>
      <c r="F30" s="2"/>
      <c r="G30" s="2"/>
      <c r="H30" s="8" t="s">
        <v>266</v>
      </c>
      <c r="I30" s="18"/>
      <c r="J30" s="11">
        <v>100</v>
      </c>
      <c r="K30" s="6"/>
    </row>
    <row r="31" spans="3:11" s="11" customFormat="1" x14ac:dyDescent="0.3">
      <c r="C31" s="2"/>
      <c r="D31" s="2"/>
      <c r="E31" s="2"/>
      <c r="F31" s="2"/>
      <c r="G31" s="2"/>
      <c r="H31" s="8" t="s">
        <v>146</v>
      </c>
      <c r="I31" s="18"/>
      <c r="J31" s="11">
        <v>-395</v>
      </c>
      <c r="K31" s="6"/>
    </row>
    <row r="32" spans="3:11" s="11" customFormat="1" x14ac:dyDescent="0.3">
      <c r="C32" s="2"/>
      <c r="D32" s="2"/>
      <c r="E32" s="2"/>
      <c r="F32" s="2"/>
      <c r="G32" s="2"/>
      <c r="H32" s="8" t="s">
        <v>267</v>
      </c>
      <c r="I32" s="18">
        <v>100</v>
      </c>
      <c r="J32" s="11">
        <v>6</v>
      </c>
      <c r="K32" s="6"/>
    </row>
    <row r="33" spans="8:12" s="11" customFormat="1" x14ac:dyDescent="0.3">
      <c r="H33" s="8" t="s">
        <v>244</v>
      </c>
      <c r="I33" s="18">
        <v>135</v>
      </c>
      <c r="K33" s="6"/>
    </row>
    <row r="34" spans="8:12" s="11" customFormat="1" x14ac:dyDescent="0.3">
      <c r="H34" s="8" t="s">
        <v>268</v>
      </c>
      <c r="I34" s="18">
        <v>-250</v>
      </c>
      <c r="J34" s="11">
        <v>5</v>
      </c>
      <c r="K34" s="6"/>
    </row>
    <row r="35" spans="8:12" s="11" customFormat="1" x14ac:dyDescent="0.3">
      <c r="H35" s="8" t="s">
        <v>226</v>
      </c>
      <c r="I35" s="18"/>
      <c r="J35" s="11">
        <v>200</v>
      </c>
      <c r="K35" s="6"/>
      <c r="L35" s="11" t="s">
        <v>193</v>
      </c>
    </row>
    <row r="36" spans="8:12" s="11" customFormat="1" x14ac:dyDescent="0.3">
      <c r="H36" s="8" t="s">
        <v>220</v>
      </c>
      <c r="I36" s="18">
        <v>50</v>
      </c>
      <c r="K36" s="6"/>
      <c r="L36" s="11" t="s">
        <v>193</v>
      </c>
    </row>
    <row r="37" spans="8:12" s="11" customFormat="1" x14ac:dyDescent="0.3">
      <c r="H37" s="8" t="s">
        <v>269</v>
      </c>
      <c r="I37" s="18">
        <v>80</v>
      </c>
      <c r="K37" s="6"/>
    </row>
    <row r="38" spans="8:12" s="11" customFormat="1" x14ac:dyDescent="0.3">
      <c r="H38" s="8"/>
      <c r="I38" s="18">
        <v>200</v>
      </c>
      <c r="J38" s="11">
        <v>80</v>
      </c>
      <c r="K38" s="6"/>
    </row>
    <row r="39" spans="8:12" s="11" customFormat="1" x14ac:dyDescent="0.3">
      <c r="H39" s="8"/>
      <c r="I39" s="18">
        <v>150</v>
      </c>
      <c r="K39" s="6"/>
    </row>
    <row r="40" spans="8:12" s="11" customFormat="1" x14ac:dyDescent="0.3">
      <c r="H40" s="8"/>
      <c r="I40" s="18">
        <v>270</v>
      </c>
      <c r="K40" s="6"/>
    </row>
    <row r="41" spans="8:12" s="11" customFormat="1" x14ac:dyDescent="0.3">
      <c r="H41" s="8"/>
      <c r="I41" s="18">
        <v>150</v>
      </c>
      <c r="K41" s="6"/>
    </row>
    <row r="42" spans="8:12" s="11" customFormat="1" x14ac:dyDescent="0.3">
      <c r="H42" s="8"/>
      <c r="I42" s="18">
        <v>400</v>
      </c>
      <c r="K42" s="6"/>
    </row>
    <row r="43" spans="8:12" s="11" customFormat="1" x14ac:dyDescent="0.3">
      <c r="H43" s="8"/>
      <c r="I43" s="18">
        <v>400</v>
      </c>
      <c r="J43" s="11">
        <v>30</v>
      </c>
      <c r="K43" s="6"/>
    </row>
    <row r="44" spans="8:12" s="11" customFormat="1" x14ac:dyDescent="0.3">
      <c r="H44" s="8"/>
      <c r="I44" s="18"/>
      <c r="J44" s="11">
        <v>5</v>
      </c>
      <c r="K44" s="6"/>
    </row>
    <row r="45" spans="8:12" s="11" customFormat="1" x14ac:dyDescent="0.3">
      <c r="H45" s="8"/>
      <c r="I45" s="18">
        <v>900</v>
      </c>
      <c r="J45" s="11">
        <v>80</v>
      </c>
      <c r="K45" s="6"/>
    </row>
    <row r="46" spans="8:12" s="11" customFormat="1" x14ac:dyDescent="0.3">
      <c r="H46" s="8"/>
      <c r="I46" s="18"/>
      <c r="J46" s="11">
        <v>-700</v>
      </c>
      <c r="K46" s="6"/>
    </row>
    <row r="47" spans="8:12" s="11" customFormat="1" x14ac:dyDescent="0.3">
      <c r="H47" s="8"/>
      <c r="I47" s="18">
        <v>150</v>
      </c>
      <c r="K47" s="6"/>
    </row>
    <row r="48" spans="8:12" s="11" customFormat="1" x14ac:dyDescent="0.3">
      <c r="H48" s="8"/>
      <c r="I48" s="18"/>
      <c r="J48" s="11">
        <v>100</v>
      </c>
      <c r="K48" s="6"/>
    </row>
    <row r="49" spans="8:11" s="11" customFormat="1" x14ac:dyDescent="0.3">
      <c r="H49" s="8"/>
      <c r="I49" s="18">
        <v>-300</v>
      </c>
      <c r="K49" s="6"/>
    </row>
    <row r="50" spans="8:11" s="11" customFormat="1" x14ac:dyDescent="0.3">
      <c r="H50" s="8"/>
      <c r="I50" s="18"/>
      <c r="J50" s="11">
        <v>100</v>
      </c>
      <c r="K50" s="6"/>
    </row>
    <row r="51" spans="8:11" s="11" customFormat="1" x14ac:dyDescent="0.3">
      <c r="H51" s="8"/>
      <c r="I51" s="18"/>
      <c r="J51" s="11">
        <v>5</v>
      </c>
      <c r="K51" s="6"/>
    </row>
    <row r="52" spans="8:11" s="11" customFormat="1" x14ac:dyDescent="0.3">
      <c r="H52" s="8"/>
      <c r="I52" s="18"/>
      <c r="J52" s="11">
        <v>10</v>
      </c>
      <c r="K52" s="6"/>
    </row>
    <row r="53" spans="8:11" s="11" customFormat="1" x14ac:dyDescent="0.3">
      <c r="H53" s="8" t="s">
        <v>270</v>
      </c>
      <c r="I53" s="18">
        <v>450</v>
      </c>
      <c r="K53" s="6"/>
    </row>
    <row r="54" spans="8:11" s="11" customFormat="1" x14ac:dyDescent="0.3">
      <c r="H54" s="8" t="s">
        <v>207</v>
      </c>
      <c r="I54" s="18">
        <v>200</v>
      </c>
      <c r="J54" s="11">
        <v>5</v>
      </c>
      <c r="K54" s="6"/>
    </row>
    <row r="55" spans="8:11" s="11" customFormat="1" x14ac:dyDescent="0.3">
      <c r="H55" s="8" t="s">
        <v>195</v>
      </c>
      <c r="I55" s="18">
        <v>50</v>
      </c>
      <c r="K55" s="6"/>
    </row>
    <row r="56" spans="8:11" s="11" customFormat="1" x14ac:dyDescent="0.3">
      <c r="H56" s="8" t="s">
        <v>271</v>
      </c>
      <c r="I56" s="18">
        <v>200</v>
      </c>
      <c r="J56" s="11">
        <v>10</v>
      </c>
      <c r="K56" s="6"/>
    </row>
    <row r="57" spans="8:11" s="11" customFormat="1" x14ac:dyDescent="0.3">
      <c r="H57" s="8" t="s">
        <v>272</v>
      </c>
      <c r="I57" s="18">
        <v>200</v>
      </c>
      <c r="K57" s="6"/>
    </row>
    <row r="58" spans="8:11" s="11" customFormat="1" x14ac:dyDescent="0.3">
      <c r="H58" s="8" t="s">
        <v>273</v>
      </c>
      <c r="I58" s="18">
        <v>50</v>
      </c>
      <c r="K58" s="6"/>
    </row>
    <row r="59" spans="8:11" s="11" customFormat="1" x14ac:dyDescent="0.3">
      <c r="H59" s="8" t="s">
        <v>274</v>
      </c>
      <c r="I59" s="18">
        <v>360</v>
      </c>
      <c r="K59" s="6"/>
    </row>
    <row r="60" spans="8:11" s="11" customFormat="1" x14ac:dyDescent="0.3">
      <c r="H60" s="8" t="s">
        <v>107</v>
      </c>
      <c r="I60" s="18">
        <v>180</v>
      </c>
      <c r="K60" s="6"/>
    </row>
    <row r="61" spans="8:11" s="11" customFormat="1" x14ac:dyDescent="0.3">
      <c r="H61" s="8" t="s">
        <v>225</v>
      </c>
      <c r="I61" s="18">
        <v>200</v>
      </c>
      <c r="K61" s="6"/>
    </row>
    <row r="62" spans="8:11" s="11" customFormat="1" x14ac:dyDescent="0.3">
      <c r="H62" s="8" t="s">
        <v>275</v>
      </c>
      <c r="I62" s="18"/>
      <c r="J62" s="11">
        <v>-10</v>
      </c>
      <c r="K62" s="6"/>
    </row>
    <row r="63" spans="8:11" s="11" customFormat="1" x14ac:dyDescent="0.3">
      <c r="H63" s="8" t="s">
        <v>276</v>
      </c>
      <c r="I63" s="18">
        <v>270</v>
      </c>
      <c r="K63" s="6"/>
    </row>
    <row r="64" spans="8:11" s="11" customFormat="1" x14ac:dyDescent="0.3">
      <c r="H64" s="8" t="s">
        <v>277</v>
      </c>
      <c r="I64" s="18"/>
      <c r="J64" s="11">
        <v>184</v>
      </c>
      <c r="K64" s="6"/>
    </row>
    <row r="65" spans="8:11" s="11" customFormat="1" x14ac:dyDescent="0.3">
      <c r="H65" s="8" t="s">
        <v>278</v>
      </c>
      <c r="I65" s="18">
        <v>-300</v>
      </c>
      <c r="J65" s="11">
        <v>10</v>
      </c>
      <c r="K65" s="6"/>
    </row>
    <row r="66" spans="8:11" s="11" customFormat="1" x14ac:dyDescent="0.3">
      <c r="H66" s="8"/>
      <c r="I66" s="18">
        <v>225</v>
      </c>
      <c r="K66" s="6"/>
    </row>
    <row r="67" spans="8:11" s="11" customFormat="1" x14ac:dyDescent="0.3">
      <c r="H67" s="8" t="s">
        <v>220</v>
      </c>
      <c r="I67" s="18">
        <v>-100</v>
      </c>
      <c r="K67" s="6"/>
    </row>
    <row r="68" spans="8:11" s="11" customFormat="1" x14ac:dyDescent="0.3">
      <c r="H68" s="8"/>
      <c r="I68" s="18"/>
      <c r="K68" s="6"/>
    </row>
    <row r="69" spans="8:11" s="11" customFormat="1" x14ac:dyDescent="0.3">
      <c r="H69" s="8"/>
      <c r="I69" s="18"/>
      <c r="K69" s="6"/>
    </row>
    <row r="70" spans="8:11" s="11" customFormat="1" x14ac:dyDescent="0.3">
      <c r="H70" s="8"/>
      <c r="I70" s="18"/>
      <c r="K70" s="6"/>
    </row>
    <row r="71" spans="8:11" s="11" customFormat="1" x14ac:dyDescent="0.3">
      <c r="H71" s="8"/>
      <c r="I71" s="18"/>
      <c r="K71" s="6"/>
    </row>
    <row r="72" spans="8:11" s="11" customFormat="1" x14ac:dyDescent="0.3">
      <c r="H72" s="8"/>
      <c r="I72" s="18"/>
      <c r="K72" s="6"/>
    </row>
    <row r="73" spans="8:11" s="11" customFormat="1" x14ac:dyDescent="0.3">
      <c r="H73" s="8"/>
      <c r="I73" s="18"/>
      <c r="K73" s="6"/>
    </row>
    <row r="74" spans="8:11" s="11" customFormat="1" x14ac:dyDescent="0.3">
      <c r="H74" s="8"/>
      <c r="I74" s="18"/>
      <c r="K74" s="6"/>
    </row>
    <row r="75" spans="8:11" s="11" customFormat="1" x14ac:dyDescent="0.3">
      <c r="H75" s="8"/>
      <c r="I75" s="18"/>
      <c r="K75" s="6"/>
    </row>
    <row r="76" spans="8:11" s="11" customFormat="1" x14ac:dyDescent="0.3">
      <c r="H76" s="8"/>
      <c r="I76" s="18"/>
      <c r="K76" s="6"/>
    </row>
    <row r="77" spans="8:11" s="11" customFormat="1" x14ac:dyDescent="0.3">
      <c r="H77" s="8"/>
      <c r="I77" s="18"/>
      <c r="K77" s="6"/>
    </row>
    <row r="78" spans="8:11" s="11" customFormat="1" x14ac:dyDescent="0.3">
      <c r="H78" s="8"/>
      <c r="I78" s="18"/>
      <c r="K78" s="6"/>
    </row>
    <row r="79" spans="8:11" s="11" customFormat="1" x14ac:dyDescent="0.3">
      <c r="H79" s="8"/>
      <c r="I79" s="18"/>
      <c r="K79" s="6"/>
    </row>
    <row r="80" spans="8:11" s="11" customFormat="1" x14ac:dyDescent="0.3">
      <c r="H80" s="8"/>
      <c r="I80" s="18"/>
      <c r="K80" s="6"/>
    </row>
    <row r="81" spans="8:11" s="11" customFormat="1" x14ac:dyDescent="0.3">
      <c r="H81" s="8"/>
      <c r="I81" s="18"/>
      <c r="K81" s="6"/>
    </row>
    <row r="82" spans="8:11" s="11" customFormat="1" x14ac:dyDescent="0.3">
      <c r="H82" s="8"/>
      <c r="I82" s="18"/>
      <c r="K82" s="6"/>
    </row>
    <row r="83" spans="8:11" s="11" customFormat="1" x14ac:dyDescent="0.3">
      <c r="H83" s="8"/>
      <c r="I83" s="18"/>
      <c r="K83" s="6"/>
    </row>
    <row r="84" spans="8:11" s="11" customFormat="1" x14ac:dyDescent="0.3">
      <c r="H84" s="8"/>
      <c r="I84" s="18"/>
      <c r="K84" s="6"/>
    </row>
    <row r="85" spans="8:11" s="11" customFormat="1" x14ac:dyDescent="0.3">
      <c r="H85" s="8"/>
      <c r="I85" s="18"/>
      <c r="K85" s="6"/>
    </row>
    <row r="86" spans="8:11" s="11" customFormat="1" x14ac:dyDescent="0.3">
      <c r="H86" s="8"/>
      <c r="I86" s="18"/>
      <c r="K86" s="6"/>
    </row>
    <row r="87" spans="8:11" s="11" customFormat="1" x14ac:dyDescent="0.3">
      <c r="H87" s="8"/>
      <c r="I87" s="18"/>
      <c r="K87" s="6"/>
    </row>
    <row r="88" spans="8:11" s="11" customFormat="1" x14ac:dyDescent="0.3">
      <c r="H88" s="8"/>
      <c r="I88" s="18"/>
      <c r="K88" s="6"/>
    </row>
    <row r="89" spans="8:11" s="11" customFormat="1" x14ac:dyDescent="0.3">
      <c r="H89" s="8"/>
      <c r="I89" s="18"/>
      <c r="K89" s="6"/>
    </row>
    <row r="90" spans="8:11" s="11" customFormat="1" x14ac:dyDescent="0.3">
      <c r="H90" s="8"/>
      <c r="I90" s="18"/>
      <c r="K90" s="6"/>
    </row>
    <row r="91" spans="8:11" s="11" customFormat="1" x14ac:dyDescent="0.3">
      <c r="H91" s="8"/>
      <c r="I91" s="18"/>
      <c r="K91" s="6"/>
    </row>
    <row r="92" spans="8:11" s="11" customFormat="1" x14ac:dyDescent="0.3">
      <c r="H92" s="8"/>
      <c r="I92" s="18"/>
      <c r="K92" s="6"/>
    </row>
    <row r="93" spans="8:11" s="11" customFormat="1" x14ac:dyDescent="0.3">
      <c r="H93" s="8"/>
      <c r="I93" s="18"/>
      <c r="K93" s="6"/>
    </row>
    <row r="94" spans="8:11" s="11" customFormat="1" x14ac:dyDescent="0.3">
      <c r="H94" s="8"/>
      <c r="I94" s="18"/>
      <c r="K94" s="6"/>
    </row>
    <row r="95" spans="8:11" s="11" customFormat="1" x14ac:dyDescent="0.3">
      <c r="H95" s="8"/>
      <c r="I95" s="18"/>
      <c r="K95" s="6"/>
    </row>
    <row r="96" spans="8:11" s="11" customFormat="1" x14ac:dyDescent="0.3">
      <c r="H96" s="8"/>
      <c r="I96" s="18"/>
      <c r="K96" s="6"/>
    </row>
    <row r="97" spans="8:11" s="11" customFormat="1" x14ac:dyDescent="0.3">
      <c r="H97" s="8"/>
      <c r="I97" s="18"/>
      <c r="K97" s="6"/>
    </row>
    <row r="98" spans="8:11" s="11" customFormat="1" x14ac:dyDescent="0.3">
      <c r="H98" s="8"/>
      <c r="I98" s="18"/>
      <c r="K98" s="6"/>
    </row>
    <row r="99" spans="8:11" s="11" customFormat="1" x14ac:dyDescent="0.3">
      <c r="H99" s="8"/>
      <c r="I99" s="18"/>
      <c r="K99" s="6"/>
    </row>
    <row r="100" spans="8:11" s="11" customFormat="1" x14ac:dyDescent="0.3">
      <c r="H100" s="8"/>
      <c r="I100" s="18"/>
      <c r="K100" s="6"/>
    </row>
    <row r="101" spans="8:11" s="11" customFormat="1" x14ac:dyDescent="0.3">
      <c r="H101" s="8"/>
      <c r="I101" s="18"/>
      <c r="K101" s="6"/>
    </row>
    <row r="102" spans="8:11" s="11" customFormat="1" x14ac:dyDescent="0.3">
      <c r="H102" s="8"/>
      <c r="I102" s="18"/>
      <c r="K102" s="6"/>
    </row>
    <row r="103" spans="8:11" s="11" customFormat="1" x14ac:dyDescent="0.3">
      <c r="H103" s="8"/>
      <c r="I103" s="18"/>
      <c r="K103" s="6"/>
    </row>
    <row r="104" spans="8:11" s="11" customFormat="1" x14ac:dyDescent="0.3">
      <c r="H104" s="8"/>
      <c r="I104" s="18"/>
      <c r="K104" s="6"/>
    </row>
    <row r="105" spans="8:11" s="11" customFormat="1" x14ac:dyDescent="0.3">
      <c r="H105" s="8"/>
      <c r="I105" s="18"/>
      <c r="K105" s="6"/>
    </row>
    <row r="106" spans="8:11" s="11" customFormat="1" x14ac:dyDescent="0.3">
      <c r="H106" s="8"/>
      <c r="I106" s="18"/>
      <c r="K106" s="6"/>
    </row>
    <row r="107" spans="8:11" s="11" customFormat="1" x14ac:dyDescent="0.3">
      <c r="H107" s="8"/>
      <c r="I107" s="18"/>
      <c r="K107" s="6"/>
    </row>
    <row r="108" spans="8:11" s="11" customFormat="1" x14ac:dyDescent="0.3">
      <c r="H108" s="8"/>
      <c r="I108" s="18"/>
      <c r="K108" s="6"/>
    </row>
    <row r="109" spans="8:11" s="11" customFormat="1" x14ac:dyDescent="0.3">
      <c r="H109" s="8"/>
      <c r="I109" s="18"/>
      <c r="K109" s="6"/>
    </row>
    <row r="110" spans="8:11" s="11" customFormat="1" x14ac:dyDescent="0.3">
      <c r="H110" s="8"/>
      <c r="I110" s="18"/>
      <c r="K110" s="6"/>
    </row>
    <row r="111" spans="8:11" s="11" customFormat="1" x14ac:dyDescent="0.3">
      <c r="H111" s="8"/>
      <c r="I111" s="18"/>
      <c r="K111" s="6"/>
    </row>
    <row r="112" spans="8:11" s="11" customFormat="1" x14ac:dyDescent="0.3">
      <c r="H112" s="8"/>
      <c r="I112" s="18"/>
      <c r="K112" s="6"/>
    </row>
    <row r="113" spans="8:11" s="11" customFormat="1" x14ac:dyDescent="0.3">
      <c r="H113" s="8"/>
      <c r="I113" s="18"/>
      <c r="K113" s="6"/>
    </row>
    <row r="114" spans="8:11" s="11" customFormat="1" x14ac:dyDescent="0.3">
      <c r="H114" s="8"/>
      <c r="I114" s="18"/>
      <c r="K114" s="6"/>
    </row>
    <row r="115" spans="8:11" s="11" customFormat="1" x14ac:dyDescent="0.3">
      <c r="H115" s="8"/>
      <c r="I115" s="18"/>
      <c r="K115" s="6"/>
    </row>
    <row r="116" spans="8:11" s="11" customFormat="1" x14ac:dyDescent="0.3">
      <c r="H116" s="8"/>
      <c r="I116" s="18"/>
      <c r="K116" s="6"/>
    </row>
    <row r="117" spans="8:11" s="11" customFormat="1" x14ac:dyDescent="0.3">
      <c r="H117" s="8"/>
      <c r="I117" s="18"/>
      <c r="K117" s="6"/>
    </row>
    <row r="118" spans="8:11" s="11" customFormat="1" x14ac:dyDescent="0.3">
      <c r="H118" s="8"/>
      <c r="I118" s="18"/>
      <c r="K118" s="6"/>
    </row>
    <row r="119" spans="8:11" s="11" customFormat="1" x14ac:dyDescent="0.3">
      <c r="H119" s="8"/>
      <c r="I119" s="18"/>
      <c r="K119" s="6"/>
    </row>
    <row r="120" spans="8:11" s="11" customFormat="1" x14ac:dyDescent="0.3">
      <c r="H120" s="8"/>
      <c r="I120" s="18"/>
      <c r="K120" s="6"/>
    </row>
    <row r="121" spans="8:11" s="11" customFormat="1" x14ac:dyDescent="0.3">
      <c r="H121" s="8"/>
      <c r="I121" s="18"/>
      <c r="K121" s="6"/>
    </row>
    <row r="122" spans="8:11" s="11" customFormat="1" x14ac:dyDescent="0.3">
      <c r="H122" s="8"/>
      <c r="I122" s="18"/>
      <c r="K122" s="6"/>
    </row>
    <row r="123" spans="8:11" s="11" customFormat="1" x14ac:dyDescent="0.3">
      <c r="H123" s="8"/>
      <c r="I123" s="18"/>
      <c r="K123" s="6"/>
    </row>
    <row r="124" spans="8:11" s="11" customFormat="1" x14ac:dyDescent="0.3">
      <c r="H124" s="8"/>
      <c r="I124" s="18"/>
      <c r="K124" s="6"/>
    </row>
    <row r="125" spans="8:11" s="11" customFormat="1" x14ac:dyDescent="0.3">
      <c r="H125" s="8"/>
      <c r="I125" s="18"/>
      <c r="K125" s="6"/>
    </row>
    <row r="126" spans="8:11" s="11" customFormat="1" x14ac:dyDescent="0.3">
      <c r="H126" s="8"/>
      <c r="I126" s="18"/>
      <c r="K126" s="6"/>
    </row>
    <row r="127" spans="8:11" s="11" customFormat="1" x14ac:dyDescent="0.3">
      <c r="H127" s="8"/>
      <c r="I127" s="18"/>
      <c r="K127" s="6"/>
    </row>
    <row r="128" spans="8:11" s="11" customFormat="1" x14ac:dyDescent="0.3">
      <c r="H128" s="8"/>
      <c r="I128" s="18"/>
      <c r="K128" s="6"/>
    </row>
    <row r="129" spans="8:11" s="11" customFormat="1" x14ac:dyDescent="0.3">
      <c r="H129" s="8"/>
      <c r="I129" s="18"/>
      <c r="K129" s="6"/>
    </row>
    <row r="130" spans="8:11" s="11" customFormat="1" x14ac:dyDescent="0.3">
      <c r="H130" s="8"/>
      <c r="I130" s="18"/>
      <c r="K130" s="6"/>
    </row>
    <row r="131" spans="8:11" s="11" customFormat="1" x14ac:dyDescent="0.3">
      <c r="H131" s="8"/>
      <c r="I131" s="18"/>
      <c r="K131" s="6"/>
    </row>
    <row r="132" spans="8:11" s="11" customFormat="1" x14ac:dyDescent="0.3">
      <c r="H132" s="8"/>
      <c r="I132" s="18"/>
      <c r="K132" s="6"/>
    </row>
    <row r="133" spans="8:11" s="11" customFormat="1" x14ac:dyDescent="0.3">
      <c r="H133" s="8"/>
      <c r="I133" s="18"/>
      <c r="K133" s="6"/>
    </row>
    <row r="134" spans="8:11" s="11" customFormat="1" x14ac:dyDescent="0.3">
      <c r="H134" s="8"/>
      <c r="I134" s="18"/>
      <c r="K134" s="6"/>
    </row>
    <row r="135" spans="8:11" s="11" customFormat="1" x14ac:dyDescent="0.3">
      <c r="H135" s="8"/>
      <c r="I135" s="18"/>
      <c r="K135" s="6"/>
    </row>
    <row r="136" spans="8:11" s="11" customFormat="1" x14ac:dyDescent="0.3">
      <c r="H136" s="8"/>
      <c r="I136" s="18"/>
      <c r="K136" s="6"/>
    </row>
    <row r="137" spans="8:11" s="11" customFormat="1" x14ac:dyDescent="0.3">
      <c r="H137" s="8"/>
      <c r="I137" s="18"/>
      <c r="K137" s="6"/>
    </row>
    <row r="138" spans="8:11" s="11" customFormat="1" x14ac:dyDescent="0.3">
      <c r="H138" s="8"/>
      <c r="I138" s="18"/>
      <c r="K138" s="6"/>
    </row>
    <row r="139" spans="8:11" s="11" customFormat="1" x14ac:dyDescent="0.3">
      <c r="H139" s="8"/>
      <c r="I139" s="18"/>
      <c r="K139" s="6"/>
    </row>
    <row r="140" spans="8:11" s="11" customFormat="1" x14ac:dyDescent="0.3">
      <c r="H140" s="8"/>
      <c r="I140" s="18"/>
      <c r="K140" s="6"/>
    </row>
    <row r="141" spans="8:11" s="11" customFormat="1" x14ac:dyDescent="0.3">
      <c r="H141" s="8"/>
      <c r="I141" s="18"/>
      <c r="K141" s="6"/>
    </row>
    <row r="142" spans="8:11" s="11" customFormat="1" x14ac:dyDescent="0.3">
      <c r="H142" s="8"/>
      <c r="I142" s="18"/>
      <c r="K142" s="6"/>
    </row>
    <row r="143" spans="8:11" s="11" customFormat="1" x14ac:dyDescent="0.3">
      <c r="H143" s="8"/>
      <c r="I143" s="18"/>
      <c r="K143" s="6"/>
    </row>
    <row r="144" spans="8:11" s="11" customFormat="1" x14ac:dyDescent="0.3">
      <c r="H144" s="8"/>
      <c r="I144" s="18"/>
      <c r="K144" s="6"/>
    </row>
    <row r="145" spans="8:11" s="11" customFormat="1" x14ac:dyDescent="0.3">
      <c r="H145" s="8"/>
      <c r="I145" s="18"/>
      <c r="K145" s="6"/>
    </row>
    <row r="146" spans="8:11" s="11" customFormat="1" x14ac:dyDescent="0.3">
      <c r="H146" s="8"/>
      <c r="I146" s="18"/>
      <c r="K146" s="6"/>
    </row>
    <row r="147" spans="8:11" s="11" customFormat="1" x14ac:dyDescent="0.3">
      <c r="H147" s="8"/>
      <c r="I147" s="18"/>
      <c r="K147" s="6"/>
    </row>
    <row r="148" spans="8:11" s="11" customFormat="1" x14ac:dyDescent="0.3">
      <c r="H148" s="8"/>
      <c r="I148" s="18"/>
      <c r="K148" s="6"/>
    </row>
    <row r="149" spans="8:11" s="11" customFormat="1" x14ac:dyDescent="0.3">
      <c r="H149" s="8"/>
      <c r="I149" s="18"/>
      <c r="K149" s="6"/>
    </row>
    <row r="150" spans="8:11" s="11" customFormat="1" x14ac:dyDescent="0.3">
      <c r="H150" s="8"/>
      <c r="I150" s="18"/>
      <c r="K150" s="6"/>
    </row>
    <row r="151" spans="8:11" s="11" customFormat="1" x14ac:dyDescent="0.3">
      <c r="H151" s="8"/>
      <c r="I151" s="18"/>
      <c r="K151" s="6"/>
    </row>
    <row r="152" spans="8:11" s="11" customFormat="1" x14ac:dyDescent="0.3">
      <c r="H152" s="8"/>
      <c r="I152" s="18"/>
      <c r="K152" s="6"/>
    </row>
    <row r="153" spans="8:11" s="11" customFormat="1" x14ac:dyDescent="0.3">
      <c r="H153" s="8"/>
      <c r="I153" s="18"/>
      <c r="K153" s="6"/>
    </row>
    <row r="154" spans="8:11" s="11" customFormat="1" x14ac:dyDescent="0.3">
      <c r="H154" s="8"/>
      <c r="I154" s="18"/>
      <c r="K154" s="6"/>
    </row>
    <row r="155" spans="8:11" s="11" customFormat="1" x14ac:dyDescent="0.3">
      <c r="H155" s="8"/>
      <c r="I155" s="18"/>
      <c r="K155" s="6"/>
    </row>
    <row r="156" spans="8:11" s="11" customFormat="1" x14ac:dyDescent="0.3">
      <c r="H156" s="8"/>
      <c r="I156" s="18"/>
      <c r="K156" s="6"/>
    </row>
    <row r="157" spans="8:11" s="11" customFormat="1" x14ac:dyDescent="0.3">
      <c r="H157" s="8"/>
      <c r="I157" s="18"/>
      <c r="K157" s="6"/>
    </row>
    <row r="158" spans="8:11" s="11" customFormat="1" x14ac:dyDescent="0.3">
      <c r="H158" s="8"/>
      <c r="I158" s="18"/>
      <c r="K158" s="6"/>
    </row>
    <row r="159" spans="8:11" s="11" customFormat="1" x14ac:dyDescent="0.3">
      <c r="H159" s="8"/>
      <c r="I159" s="18"/>
      <c r="K159" s="6"/>
    </row>
    <row r="160" spans="8:11" s="11" customFormat="1" x14ac:dyDescent="0.3">
      <c r="H160" s="8"/>
      <c r="I160" s="18"/>
      <c r="K160" s="6"/>
    </row>
    <row r="161" spans="8:11" s="11" customFormat="1" x14ac:dyDescent="0.3">
      <c r="H161" s="8"/>
      <c r="I161" s="18"/>
      <c r="K161" s="6"/>
    </row>
    <row r="162" spans="8:11" s="11" customFormat="1" x14ac:dyDescent="0.3">
      <c r="H162" s="8"/>
      <c r="I162" s="18"/>
      <c r="K162" s="6"/>
    </row>
    <row r="163" spans="8:11" s="11" customFormat="1" x14ac:dyDescent="0.3">
      <c r="H163" s="8"/>
      <c r="I163" s="18"/>
      <c r="K163" s="6"/>
    </row>
    <row r="164" spans="8:11" s="11" customFormat="1" x14ac:dyDescent="0.3">
      <c r="H164" s="8"/>
      <c r="I164" s="18"/>
      <c r="K164" s="6"/>
    </row>
    <row r="165" spans="8:11" s="11" customFormat="1" x14ac:dyDescent="0.3">
      <c r="H165" s="8"/>
      <c r="I165" s="18"/>
      <c r="K165" s="6"/>
    </row>
    <row r="166" spans="8:11" s="11" customFormat="1" x14ac:dyDescent="0.3">
      <c r="H166" s="8"/>
      <c r="I166" s="18"/>
      <c r="K166" s="6"/>
    </row>
    <row r="167" spans="8:11" s="11" customFormat="1" x14ac:dyDescent="0.3">
      <c r="H167" s="8"/>
      <c r="I167" s="18"/>
      <c r="K167" s="6"/>
    </row>
    <row r="168" spans="8:11" s="11" customFormat="1" x14ac:dyDescent="0.3">
      <c r="H168" s="8"/>
      <c r="I168" s="18"/>
      <c r="K168" s="6"/>
    </row>
    <row r="169" spans="8:11" s="11" customFormat="1" x14ac:dyDescent="0.3">
      <c r="H169" s="8"/>
      <c r="I169" s="18"/>
      <c r="K169" s="6"/>
    </row>
    <row r="170" spans="8:11" s="11" customFormat="1" x14ac:dyDescent="0.3">
      <c r="H170" s="8"/>
      <c r="I170" s="18"/>
      <c r="K170" s="6"/>
    </row>
    <row r="171" spans="8:11" s="11" customFormat="1" x14ac:dyDescent="0.3">
      <c r="H171" s="8"/>
      <c r="I171" s="18"/>
      <c r="K171" s="6"/>
    </row>
    <row r="172" spans="8:11" s="11" customFormat="1" x14ac:dyDescent="0.3">
      <c r="H172" s="8"/>
      <c r="I172" s="18"/>
      <c r="K172" s="6"/>
    </row>
    <row r="173" spans="8:11" s="11" customFormat="1" x14ac:dyDescent="0.3">
      <c r="H173" s="8"/>
      <c r="I173" s="18"/>
      <c r="K173" s="6"/>
    </row>
    <row r="174" spans="8:11" s="11" customFormat="1" x14ac:dyDescent="0.3">
      <c r="H174" s="8"/>
      <c r="I174" s="18"/>
      <c r="K174" s="6"/>
    </row>
    <row r="175" spans="8:11" s="11" customFormat="1" x14ac:dyDescent="0.3">
      <c r="H175" s="8"/>
      <c r="I175" s="18"/>
      <c r="K175" s="6"/>
    </row>
    <row r="176" spans="8:11" s="11" customFormat="1" x14ac:dyDescent="0.3">
      <c r="H176" s="8"/>
      <c r="I176" s="18"/>
      <c r="K176" s="6"/>
    </row>
    <row r="177" spans="8:11" s="11" customFormat="1" x14ac:dyDescent="0.3">
      <c r="H177" s="8"/>
      <c r="I177" s="18"/>
      <c r="K177" s="6"/>
    </row>
    <row r="178" spans="8:11" s="11" customFormat="1" x14ac:dyDescent="0.3">
      <c r="H178" s="8"/>
      <c r="I178" s="18"/>
      <c r="K178" s="6"/>
    </row>
    <row r="179" spans="8:11" s="11" customFormat="1" x14ac:dyDescent="0.3">
      <c r="H179" s="8"/>
      <c r="I179" s="18"/>
      <c r="K179" s="6"/>
    </row>
    <row r="180" spans="8:11" s="11" customFormat="1" x14ac:dyDescent="0.3">
      <c r="H180" s="8"/>
      <c r="I180" s="18"/>
      <c r="K180" s="6"/>
    </row>
    <row r="181" spans="8:11" s="11" customFormat="1" x14ac:dyDescent="0.3">
      <c r="H181" s="8"/>
      <c r="I181" s="18"/>
      <c r="K181" s="6"/>
    </row>
    <row r="182" spans="8:11" s="11" customFormat="1" x14ac:dyDescent="0.3">
      <c r="H182" s="8"/>
      <c r="I182" s="18"/>
      <c r="K182" s="6"/>
    </row>
    <row r="183" spans="8:11" s="11" customFormat="1" x14ac:dyDescent="0.3">
      <c r="H183" s="8"/>
      <c r="I183" s="18"/>
      <c r="K183" s="6"/>
    </row>
    <row r="184" spans="8:11" s="11" customFormat="1" x14ac:dyDescent="0.3">
      <c r="H184" s="8"/>
      <c r="I184" s="18"/>
      <c r="K184" s="6"/>
    </row>
    <row r="185" spans="8:11" s="11" customFormat="1" x14ac:dyDescent="0.3">
      <c r="H185" s="8"/>
      <c r="I185" s="18"/>
      <c r="K185" s="6"/>
    </row>
    <row r="186" spans="8:11" s="11" customFormat="1" x14ac:dyDescent="0.3">
      <c r="H186" s="8"/>
      <c r="I186" s="18"/>
      <c r="K186" s="6"/>
    </row>
    <row r="187" spans="8:11" s="11" customFormat="1" x14ac:dyDescent="0.3">
      <c r="H187" s="8"/>
      <c r="I187" s="18"/>
      <c r="K187" s="6"/>
    </row>
    <row r="188" spans="8:11" s="11" customFormat="1" x14ac:dyDescent="0.3">
      <c r="H188" s="8"/>
      <c r="I188" s="18"/>
      <c r="K188" s="6"/>
    </row>
    <row r="189" spans="8:11" s="11" customFormat="1" x14ac:dyDescent="0.3">
      <c r="H189" s="8"/>
      <c r="I189" s="18"/>
      <c r="K189" s="6"/>
    </row>
    <row r="190" spans="8:11" s="11" customFormat="1" x14ac:dyDescent="0.3">
      <c r="H190" s="8"/>
      <c r="I190" s="18"/>
      <c r="K190" s="6"/>
    </row>
    <row r="191" spans="8:11" s="11" customFormat="1" x14ac:dyDescent="0.3">
      <c r="H191" s="8"/>
      <c r="I191" s="18"/>
      <c r="K191" s="6"/>
    </row>
    <row r="192" spans="8:11" s="11" customFormat="1" x14ac:dyDescent="0.3">
      <c r="H192" s="8"/>
      <c r="I192" s="18"/>
      <c r="K192" s="6"/>
    </row>
    <row r="193" spans="8:11" s="11" customFormat="1" x14ac:dyDescent="0.3">
      <c r="H193" s="8"/>
      <c r="I193" s="18"/>
      <c r="K193" s="6"/>
    </row>
    <row r="194" spans="8:11" s="11" customFormat="1" x14ac:dyDescent="0.3">
      <c r="H194" s="8"/>
      <c r="I194" s="18"/>
      <c r="K194" s="6"/>
    </row>
    <row r="195" spans="8:11" s="11" customFormat="1" x14ac:dyDescent="0.3">
      <c r="H195" s="8"/>
      <c r="I195" s="18"/>
      <c r="K195" s="6"/>
    </row>
    <row r="196" spans="8:11" s="11" customFormat="1" x14ac:dyDescent="0.3">
      <c r="H196" s="8"/>
      <c r="I196" s="18"/>
      <c r="K196" s="6"/>
    </row>
    <row r="197" spans="8:11" s="11" customFormat="1" x14ac:dyDescent="0.3">
      <c r="H197" s="8"/>
      <c r="I197" s="18"/>
      <c r="K197" s="6"/>
    </row>
    <row r="198" spans="8:11" s="11" customFormat="1" x14ac:dyDescent="0.3">
      <c r="H198" s="8"/>
      <c r="I198" s="18"/>
      <c r="K198" s="6"/>
    </row>
    <row r="199" spans="8:11" s="11" customFormat="1" x14ac:dyDescent="0.3">
      <c r="H199" s="8"/>
      <c r="I199" s="18"/>
      <c r="K199" s="6"/>
    </row>
    <row r="200" spans="8:11" s="11" customFormat="1" x14ac:dyDescent="0.3">
      <c r="H200" s="8"/>
      <c r="I200" s="18"/>
      <c r="K200" s="6"/>
    </row>
    <row r="201" spans="8:11" s="11" customFormat="1" x14ac:dyDescent="0.3">
      <c r="H201" s="8"/>
      <c r="I201" s="18"/>
      <c r="K201" s="6"/>
    </row>
    <row r="202" spans="8:11" s="11" customFormat="1" x14ac:dyDescent="0.3">
      <c r="H202" s="8"/>
      <c r="I202" s="18"/>
      <c r="K202" s="6"/>
    </row>
    <row r="203" spans="8:11" s="11" customFormat="1" x14ac:dyDescent="0.3">
      <c r="H203" s="8"/>
      <c r="I203" s="18"/>
      <c r="K203" s="6"/>
    </row>
    <row r="204" spans="8:11" s="11" customFormat="1" x14ac:dyDescent="0.3">
      <c r="H204" s="8"/>
      <c r="I204" s="18"/>
      <c r="K204" s="6"/>
    </row>
    <row r="205" spans="8:11" s="11" customFormat="1" x14ac:dyDescent="0.3">
      <c r="H205" s="8"/>
      <c r="I205" s="18"/>
      <c r="K205" s="6"/>
    </row>
    <row r="206" spans="8:11" s="11" customFormat="1" x14ac:dyDescent="0.3">
      <c r="H206" s="8"/>
      <c r="I206" s="18"/>
      <c r="K206" s="6"/>
    </row>
    <row r="207" spans="8:11" s="11" customFormat="1" x14ac:dyDescent="0.3">
      <c r="H207" s="8"/>
      <c r="I207" s="18"/>
      <c r="K207" s="6"/>
    </row>
    <row r="208" spans="8:11" s="11" customFormat="1" x14ac:dyDescent="0.3">
      <c r="H208" s="8"/>
      <c r="I208" s="18"/>
      <c r="K208" s="6"/>
    </row>
    <row r="209" spans="8:11" s="11" customFormat="1" x14ac:dyDescent="0.3">
      <c r="H209" s="8"/>
      <c r="I209" s="18"/>
      <c r="K209" s="6"/>
    </row>
    <row r="210" spans="8:11" s="11" customFormat="1" x14ac:dyDescent="0.3">
      <c r="H210" s="8"/>
      <c r="I210" s="18"/>
      <c r="K210" s="6"/>
    </row>
    <row r="211" spans="8:11" s="11" customFormat="1" x14ac:dyDescent="0.3">
      <c r="H211" s="8"/>
      <c r="I211" s="18"/>
      <c r="K211" s="6"/>
    </row>
    <row r="212" spans="8:11" s="11" customFormat="1" x14ac:dyDescent="0.3">
      <c r="H212" s="8"/>
      <c r="I212" s="18"/>
      <c r="K212" s="6"/>
    </row>
    <row r="213" spans="8:11" s="11" customFormat="1" x14ac:dyDescent="0.3">
      <c r="H213" s="8"/>
      <c r="I213" s="18"/>
      <c r="K213" s="6"/>
    </row>
    <row r="214" spans="8:11" s="11" customFormat="1" x14ac:dyDescent="0.3">
      <c r="H214" s="8"/>
      <c r="I214" s="18"/>
      <c r="K214" s="6"/>
    </row>
    <row r="215" spans="8:11" s="11" customFormat="1" x14ac:dyDescent="0.3">
      <c r="H215" s="8"/>
      <c r="I215" s="18"/>
      <c r="K215" s="6"/>
    </row>
    <row r="216" spans="8:11" s="11" customFormat="1" x14ac:dyDescent="0.3">
      <c r="H216" s="8"/>
      <c r="I216" s="18"/>
      <c r="K216" s="6"/>
    </row>
    <row r="217" spans="8:11" s="11" customFormat="1" x14ac:dyDescent="0.3">
      <c r="H217" s="8"/>
      <c r="I217" s="18"/>
      <c r="K217" s="6"/>
    </row>
    <row r="218" spans="8:11" s="11" customFormat="1" x14ac:dyDescent="0.3">
      <c r="H218" s="8"/>
      <c r="I218" s="18"/>
      <c r="K218" s="6"/>
    </row>
    <row r="219" spans="8:11" s="11" customFormat="1" x14ac:dyDescent="0.3">
      <c r="H219" s="8"/>
      <c r="I219" s="18"/>
      <c r="K219" s="6"/>
    </row>
    <row r="220" spans="8:11" s="11" customFormat="1" x14ac:dyDescent="0.3">
      <c r="H220" s="8"/>
      <c r="I220" s="18"/>
      <c r="K220" s="6"/>
    </row>
    <row r="221" spans="8:11" s="11" customFormat="1" x14ac:dyDescent="0.3">
      <c r="H221" s="8"/>
      <c r="I221" s="18"/>
      <c r="K221" s="6"/>
    </row>
    <row r="222" spans="8:11" s="11" customFormat="1" x14ac:dyDescent="0.3">
      <c r="H222" s="8"/>
      <c r="I222" s="18"/>
      <c r="K222" s="6"/>
    </row>
    <row r="223" spans="8:11" s="11" customFormat="1" x14ac:dyDescent="0.3">
      <c r="H223" s="8"/>
      <c r="I223" s="18"/>
      <c r="K223" s="6"/>
    </row>
    <row r="224" spans="8:11" s="11" customFormat="1" x14ac:dyDescent="0.3">
      <c r="H224" s="8"/>
      <c r="I224" s="18"/>
      <c r="K224" s="6"/>
    </row>
    <row r="225" spans="8:11" s="11" customFormat="1" x14ac:dyDescent="0.3">
      <c r="H225" s="8"/>
      <c r="I225" s="18"/>
      <c r="K225" s="6"/>
    </row>
    <row r="226" spans="8:11" s="11" customFormat="1" x14ac:dyDescent="0.3">
      <c r="H226" s="8"/>
      <c r="I226" s="18"/>
      <c r="K226" s="6"/>
    </row>
    <row r="227" spans="8:11" s="11" customFormat="1" x14ac:dyDescent="0.3">
      <c r="H227" s="8"/>
      <c r="I227" s="18"/>
      <c r="K227" s="6"/>
    </row>
    <row r="228" spans="8:11" s="11" customFormat="1" x14ac:dyDescent="0.3">
      <c r="H228" s="8"/>
      <c r="I228" s="18"/>
      <c r="K228" s="6"/>
    </row>
    <row r="229" spans="8:11" s="11" customFormat="1" x14ac:dyDescent="0.3">
      <c r="H229" s="8"/>
      <c r="I229" s="18"/>
      <c r="K229" s="6"/>
    </row>
    <row r="230" spans="8:11" s="11" customFormat="1" x14ac:dyDescent="0.3">
      <c r="H230" s="8"/>
      <c r="I230" s="18"/>
      <c r="K230" s="6"/>
    </row>
    <row r="231" spans="8:11" s="11" customFormat="1" x14ac:dyDescent="0.3">
      <c r="H231" s="8"/>
      <c r="I231" s="18"/>
      <c r="K231" s="6"/>
    </row>
    <row r="232" spans="8:11" s="11" customFormat="1" x14ac:dyDescent="0.3">
      <c r="H232" s="8"/>
      <c r="I232" s="18"/>
      <c r="K232" s="6"/>
    </row>
    <row r="233" spans="8:11" s="11" customFormat="1" x14ac:dyDescent="0.3">
      <c r="H233" s="8"/>
      <c r="I233" s="18"/>
      <c r="K233" s="6"/>
    </row>
    <row r="234" spans="8:11" s="11" customFormat="1" x14ac:dyDescent="0.3">
      <c r="H234" s="8"/>
      <c r="I234" s="18"/>
      <c r="K234" s="6"/>
    </row>
    <row r="235" spans="8:11" s="11" customFormat="1" x14ac:dyDescent="0.3">
      <c r="H235" s="8"/>
      <c r="I235" s="18"/>
      <c r="K235" s="6"/>
    </row>
    <row r="236" spans="8:11" s="11" customFormat="1" x14ac:dyDescent="0.3">
      <c r="H236" s="8"/>
      <c r="I236" s="18"/>
      <c r="K236" s="6"/>
    </row>
    <row r="237" spans="8:11" s="11" customFormat="1" x14ac:dyDescent="0.3">
      <c r="H237" s="8"/>
      <c r="I237" s="18"/>
      <c r="K237" s="6"/>
    </row>
    <row r="238" spans="8:11" s="11" customFormat="1" x14ac:dyDescent="0.3">
      <c r="H238" s="8"/>
      <c r="I238" s="18"/>
      <c r="K238" s="6"/>
    </row>
    <row r="239" spans="8:11" s="11" customFormat="1" x14ac:dyDescent="0.3">
      <c r="H239" s="8"/>
      <c r="I239" s="18"/>
      <c r="K239" s="6"/>
    </row>
    <row r="240" spans="8:11" s="11" customFormat="1" x14ac:dyDescent="0.3">
      <c r="H240" s="8"/>
      <c r="I240" s="18"/>
      <c r="K240" s="6"/>
    </row>
    <row r="241" spans="8:11" s="11" customFormat="1" x14ac:dyDescent="0.3">
      <c r="H241" s="8"/>
      <c r="I241" s="18"/>
      <c r="K241" s="6"/>
    </row>
    <row r="242" spans="8:11" s="11" customFormat="1" x14ac:dyDescent="0.3">
      <c r="H242" s="8"/>
      <c r="I242" s="18"/>
      <c r="K242" s="6"/>
    </row>
    <row r="243" spans="8:11" s="11" customFormat="1" x14ac:dyDescent="0.3">
      <c r="H243" s="8"/>
      <c r="I243" s="18"/>
      <c r="K243" s="6"/>
    </row>
    <row r="244" spans="8:11" s="11" customFormat="1" x14ac:dyDescent="0.3">
      <c r="H244" s="8"/>
      <c r="I244" s="18"/>
      <c r="K244" s="6"/>
    </row>
    <row r="245" spans="8:11" s="11" customFormat="1" x14ac:dyDescent="0.3">
      <c r="H245" s="8"/>
      <c r="I245" s="18"/>
      <c r="K245" s="6"/>
    </row>
    <row r="246" spans="8:11" s="11" customFormat="1" x14ac:dyDescent="0.3">
      <c r="H246" s="8"/>
      <c r="I246" s="18"/>
      <c r="K246" s="6"/>
    </row>
    <row r="247" spans="8:11" s="11" customFormat="1" x14ac:dyDescent="0.3">
      <c r="H247" s="8"/>
      <c r="I247" s="18"/>
      <c r="K247" s="6"/>
    </row>
    <row r="248" spans="8:11" s="11" customFormat="1" x14ac:dyDescent="0.3">
      <c r="H248" s="8"/>
      <c r="I248" s="18"/>
      <c r="K248" s="6"/>
    </row>
    <row r="249" spans="8:11" s="11" customFormat="1" x14ac:dyDescent="0.3">
      <c r="H249" s="8"/>
      <c r="I249" s="18"/>
      <c r="K249" s="6"/>
    </row>
    <row r="250" spans="8:11" s="11" customFormat="1" x14ac:dyDescent="0.3">
      <c r="H250" s="8"/>
      <c r="I250" s="18"/>
      <c r="K250" s="6"/>
    </row>
    <row r="251" spans="8:11" s="11" customFormat="1" x14ac:dyDescent="0.3">
      <c r="H251" s="8"/>
      <c r="I251" s="18"/>
      <c r="K251" s="6"/>
    </row>
    <row r="252" spans="8:11" s="11" customFormat="1" x14ac:dyDescent="0.3">
      <c r="H252" s="8"/>
      <c r="I252" s="18"/>
      <c r="K252" s="6"/>
    </row>
    <row r="253" spans="8:11" s="11" customFormat="1" x14ac:dyDescent="0.3">
      <c r="H253" s="8"/>
      <c r="I253" s="18"/>
      <c r="K253" s="6"/>
    </row>
    <row r="254" spans="8:11" s="11" customFormat="1" x14ac:dyDescent="0.3">
      <c r="H254" s="8"/>
      <c r="I254" s="18"/>
      <c r="K254" s="6"/>
    </row>
    <row r="255" spans="8:11" s="11" customFormat="1" x14ac:dyDescent="0.3">
      <c r="H255" s="8"/>
      <c r="I255" s="18"/>
      <c r="K255" s="6"/>
    </row>
    <row r="256" spans="8:11" s="11" customFormat="1" x14ac:dyDescent="0.3">
      <c r="H256" s="8"/>
      <c r="I256" s="18"/>
      <c r="K256" s="6"/>
    </row>
    <row r="257" spans="8:11" s="11" customFormat="1" x14ac:dyDescent="0.3">
      <c r="H257" s="8"/>
      <c r="I257" s="18"/>
      <c r="K257" s="6"/>
    </row>
    <row r="258" spans="8:11" s="11" customFormat="1" x14ac:dyDescent="0.3">
      <c r="H258" s="8"/>
      <c r="I258" s="18"/>
      <c r="K258" s="6"/>
    </row>
    <row r="259" spans="8:11" s="11" customFormat="1" x14ac:dyDescent="0.3">
      <c r="H259" s="8"/>
      <c r="I259" s="18"/>
      <c r="K259" s="6"/>
    </row>
    <row r="260" spans="8:11" s="11" customFormat="1" x14ac:dyDescent="0.3">
      <c r="H260" s="8"/>
      <c r="I260" s="18"/>
      <c r="K260" s="6"/>
    </row>
    <row r="261" spans="8:11" s="11" customFormat="1" x14ac:dyDescent="0.3">
      <c r="H261" s="8"/>
      <c r="I261" s="18"/>
      <c r="K261" s="6"/>
    </row>
    <row r="262" spans="8:11" s="11" customFormat="1" x14ac:dyDescent="0.3">
      <c r="H262" s="8"/>
      <c r="I262" s="18"/>
      <c r="K262" s="6"/>
    </row>
    <row r="263" spans="8:11" s="11" customFormat="1" x14ac:dyDescent="0.3">
      <c r="H263" s="8"/>
      <c r="I263" s="18"/>
      <c r="K263" s="6"/>
    </row>
    <row r="264" spans="8:11" s="11" customFormat="1" x14ac:dyDescent="0.3">
      <c r="H264" s="8"/>
      <c r="I264" s="18"/>
      <c r="K264" s="6"/>
    </row>
    <row r="265" spans="8:11" s="11" customFormat="1" x14ac:dyDescent="0.3">
      <c r="H265" s="8"/>
      <c r="I265" s="18"/>
      <c r="K265" s="6"/>
    </row>
    <row r="266" spans="8:11" s="11" customFormat="1" x14ac:dyDescent="0.3">
      <c r="H266" s="8"/>
      <c r="I266" s="18"/>
      <c r="K266" s="6"/>
    </row>
    <row r="267" spans="8:11" s="11" customFormat="1" x14ac:dyDescent="0.3">
      <c r="H267" s="8"/>
      <c r="I267" s="18"/>
      <c r="K267" s="6"/>
    </row>
    <row r="268" spans="8:11" s="11" customFormat="1" x14ac:dyDescent="0.3">
      <c r="H268" s="8"/>
      <c r="I268" s="18"/>
      <c r="K268" s="6"/>
    </row>
    <row r="269" spans="8:11" s="11" customFormat="1" x14ac:dyDescent="0.3">
      <c r="H269" s="8"/>
      <c r="I269" s="18"/>
      <c r="K269" s="6"/>
    </row>
    <row r="270" spans="8:11" s="11" customFormat="1" x14ac:dyDescent="0.3">
      <c r="H270" s="8"/>
      <c r="I270" s="18"/>
      <c r="K270" s="6"/>
    </row>
    <row r="271" spans="8:11" s="11" customFormat="1" x14ac:dyDescent="0.3">
      <c r="H271" s="8"/>
      <c r="I271" s="18"/>
      <c r="K271" s="6"/>
    </row>
    <row r="272" spans="8:11" s="11" customFormat="1" x14ac:dyDescent="0.3">
      <c r="H272" s="8"/>
      <c r="I272" s="18"/>
      <c r="K272" s="6"/>
    </row>
    <row r="273" spans="8:11" s="11" customFormat="1" x14ac:dyDescent="0.3">
      <c r="H273" s="8"/>
      <c r="I273" s="18"/>
      <c r="K273" s="6"/>
    </row>
    <row r="274" spans="8:11" s="11" customFormat="1" x14ac:dyDescent="0.3">
      <c r="H274" s="8"/>
      <c r="I274" s="18"/>
      <c r="K274" s="6"/>
    </row>
    <row r="275" spans="8:11" s="11" customFormat="1" x14ac:dyDescent="0.3">
      <c r="H275" s="8"/>
      <c r="I275" s="18"/>
      <c r="K275" s="6"/>
    </row>
    <row r="276" spans="8:11" s="11" customFormat="1" x14ac:dyDescent="0.3">
      <c r="H276" s="8"/>
      <c r="I276" s="18"/>
      <c r="K276" s="6"/>
    </row>
    <row r="277" spans="8:11" s="11" customFormat="1" x14ac:dyDescent="0.3">
      <c r="H277" s="8"/>
      <c r="I277" s="18"/>
      <c r="K277" s="6"/>
    </row>
    <row r="278" spans="8:11" s="11" customFormat="1" x14ac:dyDescent="0.3">
      <c r="H278" s="8"/>
      <c r="I278" s="18"/>
      <c r="K278" s="6"/>
    </row>
    <row r="279" spans="8:11" s="11" customFormat="1" x14ac:dyDescent="0.3">
      <c r="H279" s="8"/>
      <c r="I279" s="18"/>
      <c r="K279" s="6"/>
    </row>
    <row r="280" spans="8:11" s="11" customFormat="1" x14ac:dyDescent="0.3">
      <c r="H280" s="8"/>
      <c r="I280" s="18"/>
      <c r="K280" s="6"/>
    </row>
    <row r="281" spans="8:11" s="11" customFormat="1" x14ac:dyDescent="0.3">
      <c r="H281" s="8"/>
      <c r="I281" s="18"/>
      <c r="K281" s="6"/>
    </row>
    <row r="282" spans="8:11" s="11" customFormat="1" x14ac:dyDescent="0.3">
      <c r="H282" s="8"/>
      <c r="I282" s="18"/>
      <c r="K282" s="6"/>
    </row>
    <row r="283" spans="8:11" s="11" customFormat="1" x14ac:dyDescent="0.3">
      <c r="H283" s="8"/>
      <c r="I283" s="18"/>
      <c r="K283" s="6"/>
    </row>
    <row r="284" spans="8:11" s="11" customFormat="1" x14ac:dyDescent="0.3">
      <c r="H284" s="8"/>
      <c r="I284" s="18"/>
      <c r="K284" s="6"/>
    </row>
    <row r="285" spans="8:11" s="11" customFormat="1" x14ac:dyDescent="0.3">
      <c r="H285" s="8"/>
      <c r="I285" s="18"/>
      <c r="K285" s="6"/>
    </row>
    <row r="286" spans="8:11" s="11" customFormat="1" x14ac:dyDescent="0.3">
      <c r="H286" s="8"/>
      <c r="I286" s="18"/>
      <c r="K286" s="6"/>
    </row>
    <row r="287" spans="8:11" s="11" customFormat="1" x14ac:dyDescent="0.3">
      <c r="H287" s="8"/>
      <c r="I287" s="18"/>
      <c r="K287" s="6"/>
    </row>
    <row r="288" spans="8:11" s="11" customFormat="1" x14ac:dyDescent="0.3">
      <c r="H288" s="8"/>
      <c r="I288" s="18"/>
      <c r="K288" s="6"/>
    </row>
    <row r="289" spans="8:11" s="11" customFormat="1" x14ac:dyDescent="0.3">
      <c r="H289" s="8"/>
      <c r="I289" s="18"/>
      <c r="K289" s="6"/>
    </row>
    <row r="290" spans="8:11" s="11" customFormat="1" x14ac:dyDescent="0.3">
      <c r="H290" s="8"/>
      <c r="I290" s="18"/>
      <c r="K290" s="6"/>
    </row>
    <row r="291" spans="8:11" s="11" customFormat="1" x14ac:dyDescent="0.3">
      <c r="H291" s="8"/>
      <c r="I291" s="18"/>
      <c r="K291" s="6"/>
    </row>
    <row r="292" spans="8:11" s="11" customFormat="1" x14ac:dyDescent="0.3">
      <c r="H292" s="8"/>
      <c r="I292" s="18"/>
      <c r="K292" s="6"/>
    </row>
    <row r="293" spans="8:11" s="11" customFormat="1" x14ac:dyDescent="0.3">
      <c r="H293" s="8"/>
      <c r="I293" s="18"/>
      <c r="K293" s="6"/>
    </row>
    <row r="294" spans="8:11" s="11" customFormat="1" x14ac:dyDescent="0.3">
      <c r="H294" s="8"/>
      <c r="I294" s="18"/>
      <c r="K294" s="6"/>
    </row>
    <row r="295" spans="8:11" s="11" customFormat="1" x14ac:dyDescent="0.3">
      <c r="H295" s="8"/>
      <c r="I295" s="18"/>
      <c r="K295" s="6"/>
    </row>
    <row r="296" spans="8:11" s="11" customFormat="1" x14ac:dyDescent="0.3">
      <c r="H296" s="8"/>
      <c r="I296" s="18"/>
      <c r="K296" s="6"/>
    </row>
    <row r="297" spans="8:11" s="11" customFormat="1" x14ac:dyDescent="0.3">
      <c r="H297" s="8"/>
      <c r="I297" s="18"/>
      <c r="K297" s="6"/>
    </row>
    <row r="298" spans="8:11" s="11" customFormat="1" x14ac:dyDescent="0.3">
      <c r="H298" s="8"/>
      <c r="I298" s="18"/>
      <c r="K298" s="6"/>
    </row>
    <row r="299" spans="8:11" s="11" customFormat="1" x14ac:dyDescent="0.3">
      <c r="H299" s="8"/>
      <c r="I299" s="18"/>
      <c r="K299" s="6"/>
    </row>
    <row r="300" spans="8:11" s="11" customFormat="1" x14ac:dyDescent="0.3">
      <c r="H300" s="8"/>
      <c r="I300" s="18"/>
      <c r="K300" s="6"/>
    </row>
    <row r="301" spans="8:11" s="11" customFormat="1" x14ac:dyDescent="0.3">
      <c r="H301" s="8"/>
      <c r="I301" s="18"/>
      <c r="K301" s="6"/>
    </row>
    <row r="302" spans="8:11" s="11" customFormat="1" x14ac:dyDescent="0.3">
      <c r="H302" s="8"/>
      <c r="I302" s="18"/>
      <c r="K302" s="6"/>
    </row>
    <row r="303" spans="8:11" s="11" customFormat="1" x14ac:dyDescent="0.3">
      <c r="H303" s="8"/>
      <c r="I303" s="18"/>
      <c r="K303" s="6"/>
    </row>
    <row r="304" spans="8:11" s="11" customFormat="1" x14ac:dyDescent="0.3">
      <c r="H304" s="8"/>
      <c r="I304" s="18"/>
      <c r="K304" s="6"/>
    </row>
    <row r="305" spans="8:11" s="11" customFormat="1" x14ac:dyDescent="0.3">
      <c r="H305" s="8"/>
      <c r="I305" s="18"/>
      <c r="K305" s="6"/>
    </row>
    <row r="306" spans="8:11" s="11" customFormat="1" x14ac:dyDescent="0.3">
      <c r="H306" s="8"/>
      <c r="I306" s="18"/>
      <c r="K306" s="6"/>
    </row>
    <row r="307" spans="8:11" s="11" customFormat="1" x14ac:dyDescent="0.3">
      <c r="H307" s="8"/>
      <c r="I307" s="18"/>
      <c r="K307" s="6"/>
    </row>
    <row r="308" spans="8:11" s="11" customFormat="1" x14ac:dyDescent="0.3">
      <c r="H308" s="8"/>
      <c r="I308" s="18"/>
      <c r="K308" s="6"/>
    </row>
    <row r="309" spans="8:11" s="11" customFormat="1" x14ac:dyDescent="0.3">
      <c r="H309" s="8"/>
      <c r="I309" s="18"/>
      <c r="K309" s="6"/>
    </row>
    <row r="310" spans="8:11" s="11" customFormat="1" x14ac:dyDescent="0.3">
      <c r="H310" s="8"/>
      <c r="I310" s="18"/>
      <c r="K310" s="6"/>
    </row>
    <row r="311" spans="8:11" s="11" customFormat="1" x14ac:dyDescent="0.3">
      <c r="H311" s="8"/>
      <c r="I311" s="18"/>
      <c r="K311" s="6"/>
    </row>
    <row r="312" spans="8:11" s="11" customFormat="1" x14ac:dyDescent="0.3">
      <c r="H312" s="8"/>
      <c r="I312" s="18"/>
      <c r="K312" s="6"/>
    </row>
    <row r="313" spans="8:11" s="11" customFormat="1" x14ac:dyDescent="0.3">
      <c r="H313" s="8"/>
      <c r="I313" s="18"/>
      <c r="K313" s="6"/>
    </row>
    <row r="314" spans="8:11" s="11" customFormat="1" x14ac:dyDescent="0.3">
      <c r="H314" s="8"/>
      <c r="I314" s="18"/>
      <c r="K314" s="6"/>
    </row>
    <row r="315" spans="8:11" s="11" customFormat="1" x14ac:dyDescent="0.3">
      <c r="H315" s="8"/>
      <c r="I315" s="18"/>
      <c r="K315" s="6"/>
    </row>
    <row r="316" spans="8:11" s="11" customFormat="1" x14ac:dyDescent="0.3">
      <c r="H316" s="8"/>
      <c r="I316" s="18"/>
      <c r="K316" s="6"/>
    </row>
    <row r="317" spans="8:11" s="11" customFormat="1" x14ac:dyDescent="0.3">
      <c r="H317" s="8"/>
      <c r="I317" s="18"/>
      <c r="K317" s="6"/>
    </row>
    <row r="318" spans="8:11" s="11" customFormat="1" x14ac:dyDescent="0.3">
      <c r="H318" s="8"/>
      <c r="I318" s="18"/>
      <c r="K318" s="6"/>
    </row>
    <row r="319" spans="8:11" s="11" customFormat="1" x14ac:dyDescent="0.3">
      <c r="H319" s="8"/>
      <c r="I319" s="18"/>
      <c r="K319" s="6"/>
    </row>
    <row r="320" spans="8:11" s="11" customFormat="1" x14ac:dyDescent="0.3">
      <c r="H320" s="8"/>
      <c r="I320" s="18"/>
      <c r="K320" s="6"/>
    </row>
    <row r="321" spans="8:11" s="11" customFormat="1" x14ac:dyDescent="0.3">
      <c r="H321" s="8"/>
      <c r="I321" s="18"/>
      <c r="K321" s="6"/>
    </row>
    <row r="322" spans="8:11" s="11" customFormat="1" x14ac:dyDescent="0.3">
      <c r="H322" s="8"/>
      <c r="I322" s="18"/>
      <c r="K322" s="6"/>
    </row>
    <row r="323" spans="8:11" s="11" customFormat="1" x14ac:dyDescent="0.3">
      <c r="H323" s="8"/>
      <c r="I323" s="18"/>
      <c r="K323" s="6"/>
    </row>
    <row r="324" spans="8:11" s="11" customFormat="1" x14ac:dyDescent="0.3">
      <c r="H324" s="8"/>
      <c r="I324" s="18"/>
      <c r="K324" s="6"/>
    </row>
    <row r="325" spans="8:11" s="11" customFormat="1" x14ac:dyDescent="0.3">
      <c r="H325" s="8"/>
      <c r="I325" s="18"/>
      <c r="K325" s="6"/>
    </row>
    <row r="326" spans="8:11" s="11" customFormat="1" x14ac:dyDescent="0.3">
      <c r="H326" s="8"/>
      <c r="I326" s="18"/>
      <c r="K326" s="6"/>
    </row>
    <row r="327" spans="8:11" s="11" customFormat="1" x14ac:dyDescent="0.3">
      <c r="H327" s="8"/>
      <c r="I327" s="18"/>
      <c r="K327" s="6"/>
    </row>
    <row r="328" spans="8:11" s="11" customFormat="1" x14ac:dyDescent="0.3">
      <c r="H328" s="8"/>
      <c r="I328" s="18"/>
      <c r="K328" s="6"/>
    </row>
    <row r="329" spans="8:11" s="11" customFormat="1" x14ac:dyDescent="0.3">
      <c r="H329" s="8"/>
      <c r="I329" s="18"/>
      <c r="K329" s="6"/>
    </row>
    <row r="330" spans="8:11" s="11" customFormat="1" x14ac:dyDescent="0.3">
      <c r="H330" s="8"/>
      <c r="I330" s="18"/>
      <c r="K330" s="6"/>
    </row>
    <row r="331" spans="8:11" s="11" customFormat="1" x14ac:dyDescent="0.3">
      <c r="H331" s="8"/>
      <c r="I331" s="18"/>
      <c r="K331" s="6"/>
    </row>
    <row r="332" spans="8:11" s="11" customFormat="1" x14ac:dyDescent="0.3">
      <c r="H332" s="8"/>
      <c r="I332" s="18"/>
      <c r="K332" s="6"/>
    </row>
    <row r="333" spans="8:11" s="11" customFormat="1" x14ac:dyDescent="0.3">
      <c r="H333" s="8"/>
      <c r="I333" s="18"/>
      <c r="K333" s="6"/>
    </row>
    <row r="334" spans="8:11" s="11" customFormat="1" x14ac:dyDescent="0.3">
      <c r="H334" s="8"/>
      <c r="I334" s="18"/>
      <c r="K334" s="6"/>
    </row>
    <row r="335" spans="8:11" s="11" customFormat="1" x14ac:dyDescent="0.3">
      <c r="H335" s="8"/>
      <c r="I335" s="18"/>
      <c r="K335" s="6"/>
    </row>
    <row r="336" spans="8:11" s="11" customFormat="1" x14ac:dyDescent="0.3">
      <c r="H336" s="8"/>
      <c r="I336" s="18"/>
      <c r="K336" s="6"/>
    </row>
    <row r="337" spans="8:11" s="11" customFormat="1" x14ac:dyDescent="0.3">
      <c r="H337" s="8"/>
      <c r="I337" s="18"/>
      <c r="K337" s="6"/>
    </row>
    <row r="338" spans="8:11" s="11" customFormat="1" x14ac:dyDescent="0.3">
      <c r="H338" s="8"/>
      <c r="I338" s="18"/>
      <c r="K338" s="6"/>
    </row>
    <row r="339" spans="8:11" s="11" customFormat="1" x14ac:dyDescent="0.3">
      <c r="H339" s="8"/>
      <c r="I339" s="18"/>
      <c r="K339" s="6"/>
    </row>
    <row r="340" spans="8:11" s="11" customFormat="1" x14ac:dyDescent="0.3">
      <c r="H340" s="8"/>
      <c r="I340" s="18"/>
      <c r="K340" s="6"/>
    </row>
    <row r="341" spans="8:11" s="11" customFormat="1" x14ac:dyDescent="0.3">
      <c r="H341" s="8"/>
      <c r="I341" s="18"/>
      <c r="K341" s="6"/>
    </row>
    <row r="342" spans="8:11" s="11" customFormat="1" x14ac:dyDescent="0.3">
      <c r="H342" s="8"/>
      <c r="I342" s="18"/>
      <c r="K342" s="6"/>
    </row>
  </sheetData>
  <mergeCells count="4">
    <mergeCell ref="A1:F1"/>
    <mergeCell ref="L1:Q1"/>
    <mergeCell ref="O10:P10"/>
    <mergeCell ref="L11:M11"/>
  </mergeCells>
  <pageMargins left="0.25" right="0.25" top="0.75" bottom="0.75" header="0.3" footer="0.3"/>
  <pageSetup paperSize="9" scale="74" fitToHeight="0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BE03-C70C-456A-834F-531986024DC8}">
  <sheetPr codeName="Sheet16">
    <pageSetUpPr fitToPage="1"/>
  </sheetPr>
  <dimension ref="A1:Q342"/>
  <sheetViews>
    <sheetView rightToLeft="1" zoomScale="115" zoomScaleNormal="115" workbookViewId="0">
      <pane ySplit="13" topLeftCell="A37" activePane="bottomLeft" state="frozen"/>
      <selection pane="bottomLeft" activeCell="E3" sqref="E3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7.88671875" style="2" bestFit="1" customWidth="1"/>
    <col min="4" max="4" width="9.109375" style="2" bestFit="1" customWidth="1"/>
    <col min="5" max="5" width="5.109375" style="2" bestFit="1" customWidth="1"/>
    <col min="6" max="6" width="10.44140625" style="2" bestFit="1" customWidth="1"/>
    <col min="7" max="7" width="2.44140625" style="2" customWidth="1"/>
    <col min="8" max="8" width="14.109375" style="8" bestFit="1" customWidth="1"/>
    <col min="9" max="9" width="10.21875" style="7" bestFit="1" customWidth="1"/>
    <col min="10" max="10" width="8.5546875" style="11" bestFit="1" customWidth="1"/>
    <col min="11" max="11" width="3.33203125" style="6" customWidth="1"/>
    <col min="12" max="12" width="9.44140625" style="2" bestFit="1" customWidth="1"/>
    <col min="13" max="13" width="5.109375" style="2" bestFit="1" customWidth="1"/>
    <col min="14" max="14" width="8.5546875" style="2" bestFit="1" customWidth="1"/>
    <col min="15" max="15" width="9.109375" style="2" bestFit="1" customWidth="1"/>
    <col min="16" max="16" width="5.109375" style="2" bestFit="1" customWidth="1"/>
    <col min="17" max="17" width="11.109375" style="2" bestFit="1" customWidth="1"/>
    <col min="18" max="16384" width="8.88671875" style="2"/>
  </cols>
  <sheetData>
    <row r="1" spans="1:17" x14ac:dyDescent="0.3">
      <c r="A1" s="65" t="s">
        <v>29</v>
      </c>
      <c r="B1" s="65"/>
      <c r="C1" s="65"/>
      <c r="D1" s="65"/>
      <c r="E1" s="65"/>
      <c r="F1" s="65"/>
      <c r="H1" s="8" t="s">
        <v>38</v>
      </c>
      <c r="I1" s="7">
        <f>SUM(Table13456781011121314151617[اللبناني])</f>
        <v>0</v>
      </c>
      <c r="J1" s="7">
        <f>SUM(Table13456781011121314151617[الدولار])</f>
        <v>0</v>
      </c>
      <c r="L1" s="65" t="s">
        <v>33</v>
      </c>
      <c r="M1" s="65"/>
      <c r="N1" s="65"/>
      <c r="O1" s="65"/>
      <c r="P1" s="65"/>
      <c r="Q1" s="65"/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C3" s="21">
        <f>A3*B3</f>
        <v>0</v>
      </c>
      <c r="D3" s="17">
        <v>5</v>
      </c>
      <c r="E3" s="2">
        <v>51</v>
      </c>
      <c r="F3" s="23">
        <f>D3*E3</f>
        <v>255</v>
      </c>
      <c r="G3" s="5"/>
      <c r="H3" s="10"/>
      <c r="I3" s="20"/>
      <c r="L3" s="15">
        <v>1</v>
      </c>
      <c r="N3" s="21">
        <f>L3*M3</f>
        <v>0</v>
      </c>
      <c r="O3" s="17">
        <v>5</v>
      </c>
      <c r="Q3" s="23">
        <f>O3*P3</f>
        <v>0</v>
      </c>
    </row>
    <row r="4" spans="1:17" x14ac:dyDescent="0.3">
      <c r="A4" s="15">
        <v>5</v>
      </c>
      <c r="C4" s="21">
        <f t="shared" ref="C4:C8" si="0">A4*B4</f>
        <v>0</v>
      </c>
      <c r="D4" s="17">
        <v>10</v>
      </c>
      <c r="E4" s="2">
        <v>33</v>
      </c>
      <c r="F4" s="23">
        <f t="shared" ref="F4:F7" si="1">D4*E4</f>
        <v>330</v>
      </c>
      <c r="G4" s="5"/>
      <c r="H4" s="10"/>
      <c r="I4" s="20"/>
      <c r="L4" s="15">
        <v>5</v>
      </c>
      <c r="N4" s="21">
        <f t="shared" ref="N4:N8" si="2">L4*M4</f>
        <v>0</v>
      </c>
      <c r="O4" s="17">
        <v>10</v>
      </c>
      <c r="Q4" s="23">
        <f t="shared" ref="Q4:Q7" si="3">O4*P4</f>
        <v>0</v>
      </c>
    </row>
    <row r="5" spans="1:17" x14ac:dyDescent="0.3">
      <c r="A5" s="15">
        <v>10</v>
      </c>
      <c r="B5" s="2">
        <v>14</v>
      </c>
      <c r="C5" s="21">
        <f t="shared" si="0"/>
        <v>140</v>
      </c>
      <c r="D5" s="17">
        <v>20</v>
      </c>
      <c r="E5" s="2">
        <v>21</v>
      </c>
      <c r="F5" s="23">
        <f t="shared" si="1"/>
        <v>420</v>
      </c>
      <c r="G5" s="5"/>
      <c r="H5" s="10"/>
      <c r="I5" s="20"/>
      <c r="L5" s="15">
        <v>10</v>
      </c>
      <c r="N5" s="21">
        <f t="shared" si="2"/>
        <v>0</v>
      </c>
      <c r="O5" s="17">
        <v>20</v>
      </c>
      <c r="Q5" s="23">
        <f t="shared" si="3"/>
        <v>0</v>
      </c>
    </row>
    <row r="6" spans="1:17" x14ac:dyDescent="0.3">
      <c r="A6" s="15">
        <v>20</v>
      </c>
      <c r="B6" s="2">
        <v>6</v>
      </c>
      <c r="C6" s="21">
        <f t="shared" si="0"/>
        <v>120</v>
      </c>
      <c r="D6" s="17">
        <v>50</v>
      </c>
      <c r="F6" s="23">
        <f t="shared" si="1"/>
        <v>0</v>
      </c>
      <c r="G6" s="5"/>
      <c r="H6" s="10"/>
      <c r="I6" s="20"/>
      <c r="L6" s="15">
        <v>20</v>
      </c>
      <c r="N6" s="21">
        <f t="shared" si="2"/>
        <v>0</v>
      </c>
      <c r="O6" s="17">
        <v>50</v>
      </c>
      <c r="Q6" s="23">
        <f t="shared" si="3"/>
        <v>0</v>
      </c>
    </row>
    <row r="7" spans="1:17" x14ac:dyDescent="0.3">
      <c r="A7" s="15">
        <v>50</v>
      </c>
      <c r="B7" s="2">
        <v>1</v>
      </c>
      <c r="C7" s="21">
        <f t="shared" si="0"/>
        <v>50</v>
      </c>
      <c r="D7" s="17">
        <v>100</v>
      </c>
      <c r="E7" s="2">
        <v>14</v>
      </c>
      <c r="F7" s="23">
        <f t="shared" si="1"/>
        <v>1400</v>
      </c>
      <c r="G7" s="5"/>
      <c r="H7" s="33"/>
      <c r="I7" s="20"/>
      <c r="L7" s="15">
        <v>50</v>
      </c>
      <c r="N7" s="21">
        <f t="shared" si="2"/>
        <v>0</v>
      </c>
      <c r="O7" s="17">
        <v>100</v>
      </c>
      <c r="Q7" s="23">
        <f t="shared" si="3"/>
        <v>0</v>
      </c>
    </row>
    <row r="8" spans="1:17" x14ac:dyDescent="0.3">
      <c r="A8" s="15">
        <v>100</v>
      </c>
      <c r="C8" s="21">
        <f t="shared" si="0"/>
        <v>0</v>
      </c>
      <c r="D8" s="1" t="s">
        <v>1</v>
      </c>
      <c r="E8" s="1"/>
      <c r="F8" s="19">
        <f>SUM(F3:F7)</f>
        <v>2405</v>
      </c>
      <c r="G8" s="5"/>
      <c r="H8" s="10"/>
      <c r="I8" s="20"/>
      <c r="L8" s="15">
        <v>100</v>
      </c>
      <c r="N8" s="21">
        <f t="shared" si="2"/>
        <v>0</v>
      </c>
      <c r="O8" s="1" t="s">
        <v>1</v>
      </c>
      <c r="P8" s="1"/>
      <c r="Q8" s="19">
        <f>SUM(Q3:Q7)</f>
        <v>0</v>
      </c>
    </row>
    <row r="9" spans="1:17" x14ac:dyDescent="0.3">
      <c r="A9" s="1" t="s">
        <v>1</v>
      </c>
      <c r="B9" s="1"/>
      <c r="C9" s="22">
        <f>SUM(C3:C8)</f>
        <v>310</v>
      </c>
      <c r="H9" s="10"/>
      <c r="I9" s="20"/>
      <c r="L9" s="1" t="s">
        <v>1</v>
      </c>
      <c r="M9" s="1"/>
      <c r="N9" s="22">
        <f>SUM(N3:N8)</f>
        <v>0</v>
      </c>
      <c r="Q9" s="20"/>
    </row>
    <row r="10" spans="1:17" x14ac:dyDescent="0.3">
      <c r="H10" s="10"/>
      <c r="I10" s="20"/>
      <c r="N10" s="27"/>
      <c r="O10" s="66" t="s">
        <v>40</v>
      </c>
      <c r="P10" s="66"/>
      <c r="Q10" s="24">
        <f>SUM(Table13456781011121314151617[اللبناني])</f>
        <v>0</v>
      </c>
    </row>
    <row r="11" spans="1:17" x14ac:dyDescent="0.3">
      <c r="H11" s="10"/>
      <c r="I11" s="20"/>
      <c r="L11" s="66" t="s">
        <v>39</v>
      </c>
      <c r="M11" s="66"/>
      <c r="N11" s="12">
        <f>SUM(Table13456781011121314151617[الدولار])</f>
        <v>0</v>
      </c>
      <c r="Q11" s="20"/>
    </row>
    <row r="12" spans="1:17" x14ac:dyDescent="0.3">
      <c r="H12" s="10"/>
      <c r="I12" s="20"/>
      <c r="N12" s="27"/>
      <c r="O12" s="1" t="s">
        <v>27</v>
      </c>
      <c r="P12" s="1"/>
      <c r="Q12" s="24">
        <f>Q8-Q10-F8</f>
        <v>-2405</v>
      </c>
    </row>
    <row r="13" spans="1:17" x14ac:dyDescent="0.3">
      <c r="C13" s="14"/>
      <c r="D13" s="14"/>
      <c r="F13" s="14"/>
      <c r="H13" s="10"/>
      <c r="I13" s="20"/>
      <c r="L13" s="1" t="s">
        <v>27</v>
      </c>
      <c r="M13" s="1"/>
      <c r="N13" s="12">
        <f>N9-N11-C9</f>
        <v>-310</v>
      </c>
    </row>
    <row r="14" spans="1:17" x14ac:dyDescent="0.3">
      <c r="C14" s="14"/>
      <c r="D14" s="14"/>
      <c r="F14" s="14"/>
      <c r="H14" s="10"/>
      <c r="I14" s="18"/>
    </row>
    <row r="15" spans="1:17" x14ac:dyDescent="0.3">
      <c r="C15" s="14"/>
      <c r="D15" s="14"/>
      <c r="F15" s="14"/>
      <c r="H15" s="10"/>
      <c r="I15" s="18"/>
    </row>
    <row r="16" spans="1:17" x14ac:dyDescent="0.3">
      <c r="C16" s="14"/>
      <c r="D16" s="14"/>
      <c r="F16" s="14"/>
      <c r="H16" s="10"/>
      <c r="I16" s="18"/>
    </row>
    <row r="17" spans="3:12" s="11" customFormat="1" x14ac:dyDescent="0.3">
      <c r="C17" s="14"/>
      <c r="D17" s="14"/>
      <c r="E17" s="2"/>
      <c r="F17" s="14"/>
      <c r="G17" s="2"/>
      <c r="H17" s="10"/>
      <c r="I17" s="20"/>
      <c r="K17" s="6"/>
    </row>
    <row r="18" spans="3:12" s="11" customFormat="1" x14ac:dyDescent="0.3">
      <c r="C18" s="14"/>
      <c r="D18" s="2"/>
      <c r="E18" s="2"/>
      <c r="F18" s="14"/>
      <c r="G18" s="2"/>
      <c r="H18" s="10"/>
      <c r="I18" s="20"/>
      <c r="K18" s="6"/>
    </row>
    <row r="19" spans="3:12" s="11" customFormat="1" x14ac:dyDescent="0.3">
      <c r="C19" s="14"/>
      <c r="D19" s="2"/>
      <c r="E19" s="2"/>
      <c r="F19" s="2"/>
      <c r="G19" s="2"/>
      <c r="H19" s="10"/>
      <c r="I19" s="20"/>
      <c r="K19" s="6"/>
    </row>
    <row r="20" spans="3:12" s="11" customFormat="1" x14ac:dyDescent="0.3">
      <c r="C20" s="2"/>
      <c r="D20" s="2"/>
      <c r="E20" s="2"/>
      <c r="F20" s="6"/>
      <c r="G20" s="2"/>
      <c r="H20" s="10"/>
      <c r="I20" s="20"/>
      <c r="K20" s="6"/>
    </row>
    <row r="21" spans="3:12" s="11" customFormat="1" x14ac:dyDescent="0.3">
      <c r="C21" s="6"/>
      <c r="D21" s="2"/>
      <c r="E21" s="2"/>
      <c r="F21" s="2"/>
      <c r="G21" s="2"/>
      <c r="H21" s="10"/>
      <c r="I21" s="20"/>
      <c r="K21" s="6"/>
    </row>
    <row r="22" spans="3:12" s="11" customFormat="1" x14ac:dyDescent="0.3">
      <c r="C22" s="2"/>
      <c r="D22" s="2"/>
      <c r="E22" s="2"/>
      <c r="F22" s="6"/>
      <c r="G22" s="2"/>
      <c r="H22" s="10"/>
      <c r="I22" s="20"/>
      <c r="K22" s="6"/>
    </row>
    <row r="23" spans="3:12" s="11" customFormat="1" x14ac:dyDescent="0.3">
      <c r="C23" s="6"/>
      <c r="D23" s="2"/>
      <c r="E23" s="2"/>
      <c r="F23" s="2"/>
      <c r="G23" s="2"/>
      <c r="H23" s="10"/>
      <c r="I23" s="20"/>
      <c r="K23" s="6"/>
    </row>
    <row r="24" spans="3:12" s="11" customFormat="1" x14ac:dyDescent="0.3">
      <c r="C24" s="2"/>
      <c r="D24" s="2"/>
      <c r="E24" s="2"/>
      <c r="F24" s="2"/>
      <c r="G24" s="2"/>
      <c r="H24" s="10"/>
      <c r="I24" s="20"/>
      <c r="K24" s="6"/>
      <c r="L24" s="11" t="s">
        <v>193</v>
      </c>
    </row>
    <row r="25" spans="3:12" s="11" customFormat="1" x14ac:dyDescent="0.3">
      <c r="C25" s="2"/>
      <c r="D25" s="2"/>
      <c r="E25" s="2"/>
      <c r="F25" s="2"/>
      <c r="G25" s="2"/>
      <c r="H25" s="10"/>
      <c r="I25" s="20"/>
      <c r="K25" s="6"/>
    </row>
    <row r="26" spans="3:12" s="11" customFormat="1" x14ac:dyDescent="0.3">
      <c r="C26" s="2"/>
      <c r="D26" s="2"/>
      <c r="E26" s="2"/>
      <c r="F26" s="2"/>
      <c r="G26" s="2"/>
      <c r="H26" s="10"/>
      <c r="I26" s="20"/>
      <c r="K26" s="6"/>
    </row>
    <row r="27" spans="3:12" s="11" customFormat="1" x14ac:dyDescent="0.3">
      <c r="C27" s="2"/>
      <c r="D27" s="2"/>
      <c r="E27" s="2"/>
      <c r="F27" s="2"/>
      <c r="G27" s="2"/>
      <c r="H27" s="10"/>
      <c r="I27" s="18"/>
      <c r="K27" s="6"/>
    </row>
    <row r="28" spans="3:12" s="11" customFormat="1" x14ac:dyDescent="0.3">
      <c r="C28" s="2"/>
      <c r="D28" s="2"/>
      <c r="E28" s="2"/>
      <c r="F28" s="2"/>
      <c r="G28" s="2"/>
      <c r="H28" s="8"/>
      <c r="I28" s="18"/>
      <c r="K28" s="6"/>
    </row>
    <row r="29" spans="3:12" s="11" customFormat="1" x14ac:dyDescent="0.3">
      <c r="C29" s="2"/>
      <c r="D29" s="2"/>
      <c r="E29" s="2"/>
      <c r="F29" s="2"/>
      <c r="G29" s="2"/>
      <c r="H29" s="8"/>
      <c r="I29" s="18"/>
      <c r="K29" s="6"/>
    </row>
    <row r="30" spans="3:12" s="11" customFormat="1" x14ac:dyDescent="0.3">
      <c r="C30" s="2"/>
      <c r="D30" s="2"/>
      <c r="E30" s="2"/>
      <c r="F30" s="2"/>
      <c r="G30" s="2"/>
      <c r="H30" s="8"/>
      <c r="I30" s="18"/>
      <c r="K30" s="6"/>
    </row>
    <row r="31" spans="3:12" s="11" customFormat="1" x14ac:dyDescent="0.3">
      <c r="C31" s="2"/>
      <c r="D31" s="2"/>
      <c r="E31" s="2"/>
      <c r="F31" s="2"/>
      <c r="G31" s="2"/>
      <c r="H31" s="8"/>
      <c r="I31" s="18"/>
      <c r="K31" s="6"/>
    </row>
    <row r="32" spans="3:12" s="11" customFormat="1" x14ac:dyDescent="0.3">
      <c r="C32" s="2"/>
      <c r="D32" s="2"/>
      <c r="E32" s="2"/>
      <c r="F32" s="2"/>
      <c r="G32" s="2"/>
      <c r="H32" s="8"/>
      <c r="I32" s="18"/>
      <c r="K32" s="6"/>
    </row>
    <row r="33" spans="8:12" s="11" customFormat="1" x14ac:dyDescent="0.3">
      <c r="H33" s="8"/>
      <c r="I33" s="18"/>
      <c r="K33" s="6"/>
    </row>
    <row r="34" spans="8:12" s="11" customFormat="1" x14ac:dyDescent="0.3">
      <c r="H34" s="8"/>
      <c r="I34" s="18"/>
      <c r="K34" s="6"/>
    </row>
    <row r="35" spans="8:12" s="11" customFormat="1" x14ac:dyDescent="0.3">
      <c r="H35" s="8"/>
      <c r="I35" s="18"/>
      <c r="K35" s="6"/>
    </row>
    <row r="36" spans="8:12" s="11" customFormat="1" x14ac:dyDescent="0.3">
      <c r="H36" s="8"/>
      <c r="I36" s="18"/>
      <c r="K36" s="6"/>
    </row>
    <row r="37" spans="8:12" s="11" customFormat="1" x14ac:dyDescent="0.3">
      <c r="H37" s="8"/>
      <c r="I37" s="18"/>
      <c r="K37" s="6"/>
    </row>
    <row r="38" spans="8:12" s="11" customFormat="1" x14ac:dyDescent="0.3">
      <c r="H38" s="8"/>
      <c r="I38" s="18"/>
      <c r="K38" s="6"/>
    </row>
    <row r="39" spans="8:12" s="11" customFormat="1" x14ac:dyDescent="0.3">
      <c r="H39" s="8"/>
      <c r="I39" s="18"/>
      <c r="K39" s="6"/>
    </row>
    <row r="40" spans="8:12" s="11" customFormat="1" x14ac:dyDescent="0.3">
      <c r="H40" s="8"/>
      <c r="I40" s="18"/>
      <c r="K40" s="6"/>
    </row>
    <row r="41" spans="8:12" s="11" customFormat="1" x14ac:dyDescent="0.3">
      <c r="H41" s="8"/>
      <c r="I41" s="18"/>
      <c r="K41" s="6"/>
    </row>
    <row r="42" spans="8:12" s="11" customFormat="1" x14ac:dyDescent="0.3">
      <c r="H42" s="8"/>
      <c r="I42" s="18"/>
      <c r="K42" s="6"/>
      <c r="L42" s="11" t="s">
        <v>193</v>
      </c>
    </row>
    <row r="43" spans="8:12" s="11" customFormat="1" x14ac:dyDescent="0.3">
      <c r="H43" s="8"/>
      <c r="I43" s="18"/>
      <c r="K43" s="6"/>
    </row>
    <row r="44" spans="8:12" s="11" customFormat="1" x14ac:dyDescent="0.3">
      <c r="H44" s="8"/>
      <c r="I44" s="18"/>
      <c r="K44" s="6"/>
    </row>
    <row r="45" spans="8:12" s="11" customFormat="1" x14ac:dyDescent="0.3">
      <c r="H45" s="8"/>
      <c r="I45" s="18"/>
      <c r="K45" s="6"/>
    </row>
    <row r="46" spans="8:12" s="11" customFormat="1" x14ac:dyDescent="0.3">
      <c r="H46" s="8"/>
      <c r="I46" s="18"/>
      <c r="K46" s="6"/>
    </row>
    <row r="47" spans="8:12" s="11" customFormat="1" x14ac:dyDescent="0.3">
      <c r="H47" s="8"/>
      <c r="I47" s="18"/>
      <c r="K47" s="6"/>
    </row>
    <row r="48" spans="8:12" s="11" customFormat="1" x14ac:dyDescent="0.3">
      <c r="H48" s="8"/>
      <c r="I48" s="18"/>
      <c r="K48" s="6"/>
    </row>
    <row r="49" spans="8:11" s="11" customFormat="1" x14ac:dyDescent="0.3">
      <c r="H49" s="8"/>
      <c r="I49" s="18"/>
      <c r="K49" s="6"/>
    </row>
    <row r="50" spans="8:11" s="11" customFormat="1" x14ac:dyDescent="0.3">
      <c r="H50" s="8"/>
      <c r="I50" s="18"/>
      <c r="K50" s="6"/>
    </row>
    <row r="51" spans="8:11" s="11" customFormat="1" x14ac:dyDescent="0.3">
      <c r="H51" s="8"/>
      <c r="I51" s="18"/>
      <c r="K51" s="6"/>
    </row>
    <row r="52" spans="8:11" s="11" customFormat="1" x14ac:dyDescent="0.3">
      <c r="H52" s="8"/>
      <c r="I52" s="18"/>
      <c r="K52" s="6"/>
    </row>
    <row r="53" spans="8:11" s="11" customFormat="1" x14ac:dyDescent="0.3">
      <c r="H53" s="8"/>
      <c r="I53" s="18"/>
      <c r="K53" s="6"/>
    </row>
    <row r="54" spans="8:11" s="11" customFormat="1" x14ac:dyDescent="0.3">
      <c r="H54" s="8"/>
      <c r="I54" s="18"/>
      <c r="K54" s="6"/>
    </row>
    <row r="55" spans="8:11" s="11" customFormat="1" x14ac:dyDescent="0.3">
      <c r="H55" s="8"/>
      <c r="I55" s="18"/>
      <c r="K55" s="6"/>
    </row>
    <row r="56" spans="8:11" s="11" customFormat="1" x14ac:dyDescent="0.3">
      <c r="H56" s="8"/>
      <c r="I56" s="18"/>
      <c r="K56" s="6"/>
    </row>
    <row r="57" spans="8:11" s="11" customFormat="1" x14ac:dyDescent="0.3">
      <c r="H57" s="8"/>
      <c r="I57" s="18"/>
      <c r="K57" s="6"/>
    </row>
    <row r="58" spans="8:11" s="11" customFormat="1" x14ac:dyDescent="0.3">
      <c r="H58" s="8"/>
      <c r="I58" s="18"/>
      <c r="K58" s="6"/>
    </row>
    <row r="59" spans="8:11" s="11" customFormat="1" x14ac:dyDescent="0.3">
      <c r="H59" s="8"/>
      <c r="I59" s="18"/>
      <c r="K59" s="6"/>
    </row>
    <row r="60" spans="8:11" s="11" customFormat="1" x14ac:dyDescent="0.3">
      <c r="H60" s="8"/>
      <c r="I60" s="18"/>
      <c r="K60" s="6"/>
    </row>
    <row r="61" spans="8:11" s="11" customFormat="1" x14ac:dyDescent="0.3">
      <c r="H61" s="8"/>
      <c r="I61" s="18"/>
      <c r="K61" s="6"/>
    </row>
    <row r="62" spans="8:11" s="11" customFormat="1" x14ac:dyDescent="0.3">
      <c r="H62" s="8"/>
      <c r="I62" s="18"/>
      <c r="K62" s="6"/>
    </row>
    <row r="63" spans="8:11" s="11" customFormat="1" x14ac:dyDescent="0.3">
      <c r="H63" s="8"/>
      <c r="I63" s="18"/>
      <c r="K63" s="6"/>
    </row>
    <row r="64" spans="8:11" s="11" customFormat="1" x14ac:dyDescent="0.3">
      <c r="H64" s="8"/>
      <c r="I64" s="18"/>
      <c r="K64" s="6"/>
    </row>
    <row r="65" spans="8:11" s="11" customFormat="1" x14ac:dyDescent="0.3">
      <c r="H65" s="8"/>
      <c r="I65" s="18"/>
      <c r="K65" s="6"/>
    </row>
    <row r="66" spans="8:11" s="11" customFormat="1" x14ac:dyDescent="0.3">
      <c r="H66" s="8"/>
      <c r="I66" s="18"/>
      <c r="K66" s="6"/>
    </row>
    <row r="67" spans="8:11" s="11" customFormat="1" x14ac:dyDescent="0.3">
      <c r="H67" s="8"/>
      <c r="I67" s="18"/>
      <c r="K67" s="6"/>
    </row>
    <row r="68" spans="8:11" s="11" customFormat="1" x14ac:dyDescent="0.3">
      <c r="H68" s="8"/>
      <c r="I68" s="18"/>
      <c r="K68" s="6"/>
    </row>
    <row r="69" spans="8:11" s="11" customFormat="1" x14ac:dyDescent="0.3">
      <c r="H69" s="8"/>
      <c r="I69" s="18"/>
      <c r="K69" s="6"/>
    </row>
    <row r="70" spans="8:11" s="11" customFormat="1" x14ac:dyDescent="0.3">
      <c r="H70" s="8"/>
      <c r="I70" s="18"/>
      <c r="K70" s="6"/>
    </row>
    <row r="71" spans="8:11" s="11" customFormat="1" x14ac:dyDescent="0.3">
      <c r="H71" s="8"/>
      <c r="I71" s="18"/>
      <c r="K71" s="6"/>
    </row>
    <row r="72" spans="8:11" s="11" customFormat="1" x14ac:dyDescent="0.3">
      <c r="H72" s="8"/>
      <c r="I72" s="18"/>
      <c r="K72" s="6"/>
    </row>
    <row r="73" spans="8:11" s="11" customFormat="1" x14ac:dyDescent="0.3">
      <c r="H73" s="8"/>
      <c r="I73" s="18"/>
      <c r="K73" s="6"/>
    </row>
    <row r="74" spans="8:11" s="11" customFormat="1" x14ac:dyDescent="0.3">
      <c r="H74" s="8"/>
      <c r="I74" s="18"/>
      <c r="K74" s="6"/>
    </row>
    <row r="75" spans="8:11" s="11" customFormat="1" x14ac:dyDescent="0.3">
      <c r="H75" s="8"/>
      <c r="I75" s="18"/>
      <c r="K75" s="6"/>
    </row>
    <row r="76" spans="8:11" s="11" customFormat="1" x14ac:dyDescent="0.3">
      <c r="H76" s="8"/>
      <c r="I76" s="18"/>
      <c r="K76" s="6"/>
    </row>
    <row r="77" spans="8:11" s="11" customFormat="1" x14ac:dyDescent="0.3">
      <c r="H77" s="8"/>
      <c r="I77" s="18"/>
      <c r="K77" s="6"/>
    </row>
    <row r="78" spans="8:11" s="11" customFormat="1" x14ac:dyDescent="0.3">
      <c r="H78" s="8"/>
      <c r="I78" s="18"/>
      <c r="K78" s="6"/>
    </row>
    <row r="79" spans="8:11" s="11" customFormat="1" x14ac:dyDescent="0.3">
      <c r="H79" s="8"/>
      <c r="I79" s="18"/>
      <c r="K79" s="6"/>
    </row>
    <row r="80" spans="8:11" s="11" customFormat="1" x14ac:dyDescent="0.3">
      <c r="H80" s="8"/>
      <c r="I80" s="18"/>
      <c r="K80" s="6"/>
    </row>
    <row r="81" spans="8:11" s="11" customFormat="1" x14ac:dyDescent="0.3">
      <c r="H81" s="8"/>
      <c r="I81" s="18"/>
      <c r="K81" s="6"/>
    </row>
    <row r="82" spans="8:11" s="11" customFormat="1" x14ac:dyDescent="0.3">
      <c r="H82" s="8"/>
      <c r="I82" s="18"/>
      <c r="K82" s="6"/>
    </row>
    <row r="83" spans="8:11" s="11" customFormat="1" x14ac:dyDescent="0.3">
      <c r="H83" s="8"/>
      <c r="I83" s="18"/>
      <c r="K83" s="6"/>
    </row>
    <row r="84" spans="8:11" s="11" customFormat="1" x14ac:dyDescent="0.3">
      <c r="H84" s="8"/>
      <c r="I84" s="18"/>
      <c r="K84" s="6"/>
    </row>
    <row r="85" spans="8:11" s="11" customFormat="1" x14ac:dyDescent="0.3">
      <c r="H85" s="8"/>
      <c r="I85" s="18"/>
      <c r="K85" s="6"/>
    </row>
    <row r="86" spans="8:11" s="11" customFormat="1" x14ac:dyDescent="0.3">
      <c r="H86" s="8"/>
      <c r="I86" s="18"/>
      <c r="K86" s="6"/>
    </row>
    <row r="87" spans="8:11" s="11" customFormat="1" x14ac:dyDescent="0.3">
      <c r="H87" s="8"/>
      <c r="I87" s="18"/>
      <c r="K87" s="6"/>
    </row>
    <row r="88" spans="8:11" s="11" customFormat="1" x14ac:dyDescent="0.3">
      <c r="H88" s="8"/>
      <c r="I88" s="18"/>
      <c r="K88" s="6"/>
    </row>
    <row r="89" spans="8:11" s="11" customFormat="1" x14ac:dyDescent="0.3">
      <c r="H89" s="8"/>
      <c r="I89" s="18"/>
      <c r="K89" s="6"/>
    </row>
    <row r="90" spans="8:11" s="11" customFormat="1" x14ac:dyDescent="0.3">
      <c r="H90" s="8"/>
      <c r="I90" s="18"/>
      <c r="K90" s="6"/>
    </row>
    <row r="91" spans="8:11" s="11" customFormat="1" x14ac:dyDescent="0.3">
      <c r="H91" s="8"/>
      <c r="I91" s="18"/>
      <c r="K91" s="6"/>
    </row>
    <row r="92" spans="8:11" s="11" customFormat="1" x14ac:dyDescent="0.3">
      <c r="H92" s="8"/>
      <c r="I92" s="18"/>
      <c r="K92" s="6"/>
    </row>
    <row r="93" spans="8:11" s="11" customFormat="1" x14ac:dyDescent="0.3">
      <c r="H93" s="8"/>
      <c r="I93" s="18"/>
      <c r="K93" s="6"/>
    </row>
    <row r="94" spans="8:11" s="11" customFormat="1" x14ac:dyDescent="0.3">
      <c r="H94" s="8"/>
      <c r="I94" s="18"/>
      <c r="K94" s="6"/>
    </row>
    <row r="95" spans="8:11" s="11" customFormat="1" x14ac:dyDescent="0.3">
      <c r="H95" s="8"/>
      <c r="I95" s="18"/>
      <c r="K95" s="6"/>
    </row>
    <row r="96" spans="8:11" s="11" customFormat="1" x14ac:dyDescent="0.3">
      <c r="H96" s="8"/>
      <c r="I96" s="18"/>
      <c r="K96" s="6"/>
    </row>
    <row r="97" spans="8:11" s="11" customFormat="1" x14ac:dyDescent="0.3">
      <c r="H97" s="8"/>
      <c r="I97" s="18"/>
      <c r="K97" s="6"/>
    </row>
    <row r="98" spans="8:11" s="11" customFormat="1" x14ac:dyDescent="0.3">
      <c r="H98" s="8"/>
      <c r="I98" s="18"/>
      <c r="K98" s="6"/>
    </row>
    <row r="99" spans="8:11" s="11" customFormat="1" x14ac:dyDescent="0.3">
      <c r="H99" s="8"/>
      <c r="I99" s="18"/>
      <c r="K99" s="6"/>
    </row>
    <row r="100" spans="8:11" s="11" customFormat="1" x14ac:dyDescent="0.3">
      <c r="H100" s="8"/>
      <c r="I100" s="18"/>
      <c r="K100" s="6"/>
    </row>
    <row r="101" spans="8:11" s="11" customFormat="1" x14ac:dyDescent="0.3">
      <c r="H101" s="8"/>
      <c r="I101" s="18"/>
      <c r="K101" s="6"/>
    </row>
    <row r="102" spans="8:11" s="11" customFormat="1" x14ac:dyDescent="0.3">
      <c r="H102" s="8"/>
      <c r="I102" s="18"/>
      <c r="K102" s="6"/>
    </row>
    <row r="103" spans="8:11" s="11" customFormat="1" x14ac:dyDescent="0.3">
      <c r="H103" s="8"/>
      <c r="I103" s="18"/>
      <c r="K103" s="6"/>
    </row>
    <row r="104" spans="8:11" s="11" customFormat="1" x14ac:dyDescent="0.3">
      <c r="H104" s="8"/>
      <c r="I104" s="18"/>
      <c r="K104" s="6"/>
    </row>
    <row r="105" spans="8:11" s="11" customFormat="1" x14ac:dyDescent="0.3">
      <c r="H105" s="8"/>
      <c r="I105" s="18"/>
      <c r="K105" s="6"/>
    </row>
    <row r="106" spans="8:11" s="11" customFormat="1" x14ac:dyDescent="0.3">
      <c r="H106" s="8"/>
      <c r="I106" s="18"/>
      <c r="K106" s="6"/>
    </row>
    <row r="107" spans="8:11" s="11" customFormat="1" x14ac:dyDescent="0.3">
      <c r="H107" s="8"/>
      <c r="I107" s="18"/>
      <c r="K107" s="6"/>
    </row>
    <row r="108" spans="8:11" s="11" customFormat="1" x14ac:dyDescent="0.3">
      <c r="H108" s="8"/>
      <c r="I108" s="18"/>
      <c r="K108" s="6"/>
    </row>
    <row r="109" spans="8:11" s="11" customFormat="1" x14ac:dyDescent="0.3">
      <c r="H109" s="8"/>
      <c r="I109" s="18"/>
      <c r="K109" s="6"/>
    </row>
    <row r="110" spans="8:11" s="11" customFormat="1" x14ac:dyDescent="0.3">
      <c r="H110" s="8"/>
      <c r="I110" s="18"/>
      <c r="K110" s="6"/>
    </row>
    <row r="111" spans="8:11" s="11" customFormat="1" x14ac:dyDescent="0.3">
      <c r="H111" s="8"/>
      <c r="I111" s="18"/>
      <c r="K111" s="6"/>
    </row>
    <row r="112" spans="8:11" s="11" customFormat="1" x14ac:dyDescent="0.3">
      <c r="H112" s="8"/>
      <c r="I112" s="18"/>
      <c r="K112" s="6"/>
    </row>
    <row r="113" spans="8:11" s="11" customFormat="1" x14ac:dyDescent="0.3">
      <c r="H113" s="8"/>
      <c r="I113" s="18"/>
      <c r="K113" s="6"/>
    </row>
    <row r="114" spans="8:11" s="11" customFormat="1" x14ac:dyDescent="0.3">
      <c r="H114" s="8"/>
      <c r="I114" s="18"/>
      <c r="K114" s="6"/>
    </row>
    <row r="115" spans="8:11" s="11" customFormat="1" x14ac:dyDescent="0.3">
      <c r="H115" s="8"/>
      <c r="I115" s="18"/>
      <c r="K115" s="6"/>
    </row>
    <row r="116" spans="8:11" s="11" customFormat="1" x14ac:dyDescent="0.3">
      <c r="H116" s="8"/>
      <c r="I116" s="18"/>
      <c r="K116" s="6"/>
    </row>
    <row r="117" spans="8:11" s="11" customFormat="1" x14ac:dyDescent="0.3">
      <c r="H117" s="8"/>
      <c r="I117" s="18"/>
      <c r="K117" s="6"/>
    </row>
    <row r="118" spans="8:11" s="11" customFormat="1" x14ac:dyDescent="0.3">
      <c r="H118" s="8"/>
      <c r="I118" s="18"/>
      <c r="K118" s="6"/>
    </row>
    <row r="119" spans="8:11" s="11" customFormat="1" x14ac:dyDescent="0.3">
      <c r="H119" s="8"/>
      <c r="I119" s="18"/>
      <c r="K119" s="6"/>
    </row>
    <row r="120" spans="8:11" s="11" customFormat="1" x14ac:dyDescent="0.3">
      <c r="H120" s="8"/>
      <c r="I120" s="18"/>
      <c r="K120" s="6"/>
    </row>
    <row r="121" spans="8:11" s="11" customFormat="1" x14ac:dyDescent="0.3">
      <c r="H121" s="8"/>
      <c r="I121" s="18"/>
      <c r="K121" s="6"/>
    </row>
    <row r="122" spans="8:11" s="11" customFormat="1" x14ac:dyDescent="0.3">
      <c r="H122" s="8"/>
      <c r="I122" s="18"/>
      <c r="K122" s="6"/>
    </row>
    <row r="123" spans="8:11" s="11" customFormat="1" x14ac:dyDescent="0.3">
      <c r="H123" s="8"/>
      <c r="I123" s="18"/>
      <c r="K123" s="6"/>
    </row>
    <row r="124" spans="8:11" s="11" customFormat="1" x14ac:dyDescent="0.3">
      <c r="H124" s="8"/>
      <c r="I124" s="18"/>
      <c r="K124" s="6"/>
    </row>
    <row r="125" spans="8:11" s="11" customFormat="1" x14ac:dyDescent="0.3">
      <c r="H125" s="8"/>
      <c r="I125" s="18"/>
      <c r="K125" s="6"/>
    </row>
    <row r="126" spans="8:11" s="11" customFormat="1" x14ac:dyDescent="0.3">
      <c r="H126" s="8"/>
      <c r="I126" s="18"/>
      <c r="K126" s="6"/>
    </row>
    <row r="127" spans="8:11" s="11" customFormat="1" x14ac:dyDescent="0.3">
      <c r="H127" s="8"/>
      <c r="I127" s="18"/>
      <c r="K127" s="6"/>
    </row>
    <row r="128" spans="8:11" s="11" customFormat="1" x14ac:dyDescent="0.3">
      <c r="H128" s="8"/>
      <c r="I128" s="18"/>
      <c r="K128" s="6"/>
    </row>
    <row r="129" spans="8:11" s="11" customFormat="1" x14ac:dyDescent="0.3">
      <c r="H129" s="8"/>
      <c r="I129" s="18"/>
      <c r="K129" s="6"/>
    </row>
    <row r="130" spans="8:11" s="11" customFormat="1" x14ac:dyDescent="0.3">
      <c r="H130" s="8"/>
      <c r="I130" s="18"/>
      <c r="K130" s="6"/>
    </row>
    <row r="131" spans="8:11" s="11" customFormat="1" x14ac:dyDescent="0.3">
      <c r="H131" s="8"/>
      <c r="I131" s="18"/>
      <c r="K131" s="6"/>
    </row>
    <row r="132" spans="8:11" s="11" customFormat="1" x14ac:dyDescent="0.3">
      <c r="H132" s="8"/>
      <c r="I132" s="18"/>
      <c r="K132" s="6"/>
    </row>
    <row r="133" spans="8:11" s="11" customFormat="1" x14ac:dyDescent="0.3">
      <c r="H133" s="8"/>
      <c r="I133" s="18"/>
      <c r="K133" s="6"/>
    </row>
    <row r="134" spans="8:11" s="11" customFormat="1" x14ac:dyDescent="0.3">
      <c r="H134" s="8"/>
      <c r="I134" s="18"/>
      <c r="K134" s="6"/>
    </row>
    <row r="135" spans="8:11" s="11" customFormat="1" x14ac:dyDescent="0.3">
      <c r="H135" s="8"/>
      <c r="I135" s="18"/>
      <c r="K135" s="6"/>
    </row>
    <row r="136" spans="8:11" s="11" customFormat="1" x14ac:dyDescent="0.3">
      <c r="H136" s="8"/>
      <c r="I136" s="18"/>
      <c r="K136" s="6"/>
    </row>
    <row r="137" spans="8:11" s="11" customFormat="1" x14ac:dyDescent="0.3">
      <c r="H137" s="8"/>
      <c r="I137" s="18"/>
      <c r="K137" s="6"/>
    </row>
    <row r="138" spans="8:11" s="11" customFormat="1" x14ac:dyDescent="0.3">
      <c r="H138" s="8"/>
      <c r="I138" s="18"/>
      <c r="K138" s="6"/>
    </row>
    <row r="139" spans="8:11" s="11" customFormat="1" x14ac:dyDescent="0.3">
      <c r="H139" s="8"/>
      <c r="I139" s="18"/>
      <c r="K139" s="6"/>
    </row>
    <row r="140" spans="8:11" s="11" customFormat="1" x14ac:dyDescent="0.3">
      <c r="H140" s="8"/>
      <c r="I140" s="18"/>
      <c r="K140" s="6"/>
    </row>
    <row r="141" spans="8:11" s="11" customFormat="1" x14ac:dyDescent="0.3">
      <c r="H141" s="8"/>
      <c r="I141" s="18"/>
      <c r="K141" s="6"/>
    </row>
    <row r="142" spans="8:11" s="11" customFormat="1" x14ac:dyDescent="0.3">
      <c r="H142" s="8"/>
      <c r="I142" s="18"/>
      <c r="K142" s="6"/>
    </row>
    <row r="143" spans="8:11" s="11" customFormat="1" x14ac:dyDescent="0.3">
      <c r="H143" s="8"/>
      <c r="I143" s="18"/>
      <c r="K143" s="6"/>
    </row>
    <row r="144" spans="8:11" s="11" customFormat="1" x14ac:dyDescent="0.3">
      <c r="H144" s="8"/>
      <c r="I144" s="18"/>
      <c r="K144" s="6"/>
    </row>
    <row r="145" spans="8:11" s="11" customFormat="1" x14ac:dyDescent="0.3">
      <c r="H145" s="8"/>
      <c r="I145" s="18"/>
      <c r="K145" s="6"/>
    </row>
    <row r="146" spans="8:11" s="11" customFormat="1" x14ac:dyDescent="0.3">
      <c r="H146" s="8"/>
      <c r="I146" s="18"/>
      <c r="K146" s="6"/>
    </row>
    <row r="147" spans="8:11" s="11" customFormat="1" x14ac:dyDescent="0.3">
      <c r="H147" s="8"/>
      <c r="I147" s="18"/>
      <c r="K147" s="6"/>
    </row>
    <row r="148" spans="8:11" s="11" customFormat="1" x14ac:dyDescent="0.3">
      <c r="H148" s="8"/>
      <c r="I148" s="18"/>
      <c r="K148" s="6"/>
    </row>
    <row r="149" spans="8:11" s="11" customFormat="1" x14ac:dyDescent="0.3">
      <c r="H149" s="8"/>
      <c r="I149" s="18"/>
      <c r="K149" s="6"/>
    </row>
    <row r="150" spans="8:11" s="11" customFormat="1" x14ac:dyDescent="0.3">
      <c r="H150" s="8"/>
      <c r="I150" s="18"/>
      <c r="K150" s="6"/>
    </row>
    <row r="151" spans="8:11" s="11" customFormat="1" x14ac:dyDescent="0.3">
      <c r="H151" s="8"/>
      <c r="I151" s="18"/>
      <c r="K151" s="6"/>
    </row>
    <row r="152" spans="8:11" s="11" customFormat="1" x14ac:dyDescent="0.3">
      <c r="H152" s="8"/>
      <c r="I152" s="18"/>
      <c r="K152" s="6"/>
    </row>
    <row r="153" spans="8:11" s="11" customFormat="1" x14ac:dyDescent="0.3">
      <c r="H153" s="8"/>
      <c r="I153" s="18"/>
      <c r="K153" s="6"/>
    </row>
    <row r="154" spans="8:11" s="11" customFormat="1" x14ac:dyDescent="0.3">
      <c r="H154" s="8"/>
      <c r="I154" s="18"/>
      <c r="K154" s="6"/>
    </row>
    <row r="155" spans="8:11" s="11" customFormat="1" x14ac:dyDescent="0.3">
      <c r="H155" s="8"/>
      <c r="I155" s="18"/>
      <c r="K155" s="6"/>
    </row>
    <row r="156" spans="8:11" s="11" customFormat="1" x14ac:dyDescent="0.3">
      <c r="H156" s="8"/>
      <c r="I156" s="18"/>
      <c r="K156" s="6"/>
    </row>
    <row r="157" spans="8:11" s="11" customFormat="1" x14ac:dyDescent="0.3">
      <c r="H157" s="8"/>
      <c r="I157" s="18"/>
      <c r="K157" s="6"/>
    </row>
    <row r="158" spans="8:11" s="11" customFormat="1" x14ac:dyDescent="0.3">
      <c r="H158" s="8"/>
      <c r="I158" s="18"/>
      <c r="K158" s="6"/>
    </row>
    <row r="159" spans="8:11" s="11" customFormat="1" x14ac:dyDescent="0.3">
      <c r="H159" s="8"/>
      <c r="I159" s="18"/>
      <c r="K159" s="6"/>
    </row>
    <row r="160" spans="8:11" s="11" customFormat="1" x14ac:dyDescent="0.3">
      <c r="H160" s="8"/>
      <c r="I160" s="18"/>
      <c r="K160" s="6"/>
    </row>
    <row r="161" spans="8:11" s="11" customFormat="1" x14ac:dyDescent="0.3">
      <c r="H161" s="8"/>
      <c r="I161" s="18"/>
      <c r="K161" s="6"/>
    </row>
    <row r="162" spans="8:11" s="11" customFormat="1" x14ac:dyDescent="0.3">
      <c r="H162" s="8"/>
      <c r="I162" s="18"/>
      <c r="K162" s="6"/>
    </row>
    <row r="163" spans="8:11" s="11" customFormat="1" x14ac:dyDescent="0.3">
      <c r="H163" s="8"/>
      <c r="I163" s="18"/>
      <c r="K163" s="6"/>
    </row>
    <row r="164" spans="8:11" s="11" customFormat="1" x14ac:dyDescent="0.3">
      <c r="H164" s="8"/>
      <c r="I164" s="18"/>
      <c r="K164" s="6"/>
    </row>
    <row r="165" spans="8:11" s="11" customFormat="1" x14ac:dyDescent="0.3">
      <c r="H165" s="8"/>
      <c r="I165" s="18"/>
      <c r="K165" s="6"/>
    </row>
    <row r="166" spans="8:11" s="11" customFormat="1" x14ac:dyDescent="0.3">
      <c r="H166" s="8"/>
      <c r="I166" s="18"/>
      <c r="K166" s="6"/>
    </row>
    <row r="167" spans="8:11" s="11" customFormat="1" x14ac:dyDescent="0.3">
      <c r="H167" s="8"/>
      <c r="I167" s="18"/>
      <c r="K167" s="6"/>
    </row>
    <row r="168" spans="8:11" s="11" customFormat="1" x14ac:dyDescent="0.3">
      <c r="H168" s="8"/>
      <c r="I168" s="18"/>
      <c r="K168" s="6"/>
    </row>
    <row r="169" spans="8:11" s="11" customFormat="1" x14ac:dyDescent="0.3">
      <c r="H169" s="8"/>
      <c r="I169" s="18"/>
      <c r="K169" s="6"/>
    </row>
    <row r="170" spans="8:11" s="11" customFormat="1" x14ac:dyDescent="0.3">
      <c r="H170" s="8"/>
      <c r="I170" s="18"/>
      <c r="K170" s="6"/>
    </row>
    <row r="171" spans="8:11" s="11" customFormat="1" x14ac:dyDescent="0.3">
      <c r="H171" s="8"/>
      <c r="I171" s="18"/>
      <c r="K171" s="6"/>
    </row>
    <row r="172" spans="8:11" s="11" customFormat="1" x14ac:dyDescent="0.3">
      <c r="H172" s="8"/>
      <c r="I172" s="18"/>
      <c r="K172" s="6"/>
    </row>
    <row r="173" spans="8:11" s="11" customFormat="1" x14ac:dyDescent="0.3">
      <c r="H173" s="8"/>
      <c r="I173" s="18"/>
      <c r="K173" s="6"/>
    </row>
    <row r="174" spans="8:11" s="11" customFormat="1" x14ac:dyDescent="0.3">
      <c r="H174" s="8"/>
      <c r="I174" s="18"/>
      <c r="K174" s="6"/>
    </row>
    <row r="175" spans="8:11" s="11" customFormat="1" x14ac:dyDescent="0.3">
      <c r="H175" s="8"/>
      <c r="I175" s="18"/>
      <c r="K175" s="6"/>
    </row>
    <row r="176" spans="8:11" s="11" customFormat="1" x14ac:dyDescent="0.3">
      <c r="H176" s="8"/>
      <c r="I176" s="18"/>
      <c r="K176" s="6"/>
    </row>
    <row r="177" spans="8:11" s="11" customFormat="1" x14ac:dyDescent="0.3">
      <c r="H177" s="8"/>
      <c r="I177" s="18"/>
      <c r="K177" s="6"/>
    </row>
    <row r="178" spans="8:11" s="11" customFormat="1" x14ac:dyDescent="0.3">
      <c r="H178" s="8"/>
      <c r="I178" s="18"/>
      <c r="K178" s="6"/>
    </row>
    <row r="179" spans="8:11" s="11" customFormat="1" x14ac:dyDescent="0.3">
      <c r="H179" s="8"/>
      <c r="I179" s="18"/>
      <c r="K179" s="6"/>
    </row>
    <row r="180" spans="8:11" s="11" customFormat="1" x14ac:dyDescent="0.3">
      <c r="H180" s="8"/>
      <c r="I180" s="18"/>
      <c r="K180" s="6"/>
    </row>
    <row r="181" spans="8:11" s="11" customFormat="1" x14ac:dyDescent="0.3">
      <c r="H181" s="8"/>
      <c r="I181" s="18"/>
      <c r="K181" s="6"/>
    </row>
    <row r="182" spans="8:11" s="11" customFormat="1" x14ac:dyDescent="0.3">
      <c r="H182" s="8"/>
      <c r="I182" s="18"/>
      <c r="K182" s="6"/>
    </row>
    <row r="183" spans="8:11" s="11" customFormat="1" x14ac:dyDescent="0.3">
      <c r="H183" s="8"/>
      <c r="I183" s="18"/>
      <c r="K183" s="6"/>
    </row>
    <row r="184" spans="8:11" s="11" customFormat="1" x14ac:dyDescent="0.3">
      <c r="H184" s="8"/>
      <c r="I184" s="18"/>
      <c r="K184" s="6"/>
    </row>
    <row r="185" spans="8:11" s="11" customFormat="1" x14ac:dyDescent="0.3">
      <c r="H185" s="8"/>
      <c r="I185" s="18"/>
      <c r="K185" s="6"/>
    </row>
    <row r="186" spans="8:11" s="11" customFormat="1" x14ac:dyDescent="0.3">
      <c r="H186" s="8"/>
      <c r="I186" s="18"/>
      <c r="K186" s="6"/>
    </row>
    <row r="187" spans="8:11" s="11" customFormat="1" x14ac:dyDescent="0.3">
      <c r="H187" s="8"/>
      <c r="I187" s="18"/>
      <c r="K187" s="6"/>
    </row>
    <row r="188" spans="8:11" s="11" customFormat="1" x14ac:dyDescent="0.3">
      <c r="H188" s="8"/>
      <c r="I188" s="18"/>
      <c r="K188" s="6"/>
    </row>
    <row r="189" spans="8:11" s="11" customFormat="1" x14ac:dyDescent="0.3">
      <c r="H189" s="8"/>
      <c r="I189" s="18"/>
      <c r="K189" s="6"/>
    </row>
    <row r="190" spans="8:11" s="11" customFormat="1" x14ac:dyDescent="0.3">
      <c r="H190" s="8"/>
      <c r="I190" s="18"/>
      <c r="K190" s="6"/>
    </row>
    <row r="191" spans="8:11" s="11" customFormat="1" x14ac:dyDescent="0.3">
      <c r="H191" s="8"/>
      <c r="I191" s="18"/>
      <c r="K191" s="6"/>
    </row>
    <row r="192" spans="8:11" s="11" customFormat="1" x14ac:dyDescent="0.3">
      <c r="H192" s="8"/>
      <c r="I192" s="18"/>
      <c r="K192" s="6"/>
    </row>
    <row r="193" spans="8:11" s="11" customFormat="1" x14ac:dyDescent="0.3">
      <c r="H193" s="8"/>
      <c r="I193" s="18"/>
      <c r="K193" s="6"/>
    </row>
    <row r="194" spans="8:11" s="11" customFormat="1" x14ac:dyDescent="0.3">
      <c r="H194" s="8"/>
      <c r="I194" s="18"/>
      <c r="K194" s="6"/>
    </row>
    <row r="195" spans="8:11" s="11" customFormat="1" x14ac:dyDescent="0.3">
      <c r="H195" s="8"/>
      <c r="I195" s="18"/>
      <c r="K195" s="6"/>
    </row>
    <row r="196" spans="8:11" s="11" customFormat="1" x14ac:dyDescent="0.3">
      <c r="H196" s="8"/>
      <c r="I196" s="18"/>
      <c r="K196" s="6"/>
    </row>
    <row r="197" spans="8:11" s="11" customFormat="1" x14ac:dyDescent="0.3">
      <c r="H197" s="8"/>
      <c r="I197" s="18"/>
      <c r="K197" s="6"/>
    </row>
    <row r="198" spans="8:11" s="11" customFormat="1" x14ac:dyDescent="0.3">
      <c r="H198" s="8"/>
      <c r="I198" s="18"/>
      <c r="K198" s="6"/>
    </row>
    <row r="199" spans="8:11" s="11" customFormat="1" x14ac:dyDescent="0.3">
      <c r="H199" s="8"/>
      <c r="I199" s="18"/>
      <c r="K199" s="6"/>
    </row>
    <row r="200" spans="8:11" s="11" customFormat="1" x14ac:dyDescent="0.3">
      <c r="H200" s="8"/>
      <c r="I200" s="18"/>
      <c r="K200" s="6"/>
    </row>
    <row r="201" spans="8:11" s="11" customFormat="1" x14ac:dyDescent="0.3">
      <c r="H201" s="8"/>
      <c r="I201" s="18"/>
      <c r="K201" s="6"/>
    </row>
    <row r="202" spans="8:11" s="11" customFormat="1" x14ac:dyDescent="0.3">
      <c r="H202" s="8"/>
      <c r="I202" s="18"/>
      <c r="K202" s="6"/>
    </row>
    <row r="203" spans="8:11" s="11" customFormat="1" x14ac:dyDescent="0.3">
      <c r="H203" s="8"/>
      <c r="I203" s="18"/>
      <c r="K203" s="6"/>
    </row>
    <row r="204" spans="8:11" s="11" customFormat="1" x14ac:dyDescent="0.3">
      <c r="H204" s="8"/>
      <c r="I204" s="18"/>
      <c r="K204" s="6"/>
    </row>
    <row r="205" spans="8:11" s="11" customFormat="1" x14ac:dyDescent="0.3">
      <c r="H205" s="8"/>
      <c r="I205" s="18"/>
      <c r="K205" s="6"/>
    </row>
    <row r="206" spans="8:11" s="11" customFormat="1" x14ac:dyDescent="0.3">
      <c r="H206" s="8"/>
      <c r="I206" s="18"/>
      <c r="K206" s="6"/>
    </row>
    <row r="207" spans="8:11" s="11" customFormat="1" x14ac:dyDescent="0.3">
      <c r="H207" s="8"/>
      <c r="I207" s="18"/>
      <c r="K207" s="6"/>
    </row>
    <row r="208" spans="8:11" s="11" customFormat="1" x14ac:dyDescent="0.3">
      <c r="H208" s="8"/>
      <c r="I208" s="18"/>
      <c r="K208" s="6"/>
    </row>
    <row r="209" spans="8:11" s="11" customFormat="1" x14ac:dyDescent="0.3">
      <c r="H209" s="8"/>
      <c r="I209" s="18"/>
      <c r="K209" s="6"/>
    </row>
    <row r="210" spans="8:11" s="11" customFormat="1" x14ac:dyDescent="0.3">
      <c r="H210" s="8"/>
      <c r="I210" s="18"/>
      <c r="K210" s="6"/>
    </row>
    <row r="211" spans="8:11" s="11" customFormat="1" x14ac:dyDescent="0.3">
      <c r="H211" s="8"/>
      <c r="I211" s="18"/>
      <c r="K211" s="6"/>
    </row>
    <row r="212" spans="8:11" s="11" customFormat="1" x14ac:dyDescent="0.3">
      <c r="H212" s="8"/>
      <c r="I212" s="18"/>
      <c r="K212" s="6"/>
    </row>
    <row r="213" spans="8:11" s="11" customFormat="1" x14ac:dyDescent="0.3">
      <c r="H213" s="8"/>
      <c r="I213" s="18"/>
      <c r="K213" s="6"/>
    </row>
    <row r="214" spans="8:11" s="11" customFormat="1" x14ac:dyDescent="0.3">
      <c r="H214" s="8"/>
      <c r="I214" s="18"/>
      <c r="K214" s="6"/>
    </row>
    <row r="215" spans="8:11" s="11" customFormat="1" x14ac:dyDescent="0.3">
      <c r="H215" s="8"/>
      <c r="I215" s="18"/>
      <c r="K215" s="6"/>
    </row>
    <row r="216" spans="8:11" s="11" customFormat="1" x14ac:dyDescent="0.3">
      <c r="H216" s="8"/>
      <c r="I216" s="18"/>
      <c r="K216" s="6"/>
    </row>
    <row r="217" spans="8:11" s="11" customFormat="1" x14ac:dyDescent="0.3">
      <c r="H217" s="8"/>
      <c r="I217" s="18"/>
      <c r="K217" s="6"/>
    </row>
    <row r="218" spans="8:11" s="11" customFormat="1" x14ac:dyDescent="0.3">
      <c r="H218" s="8"/>
      <c r="I218" s="18"/>
      <c r="K218" s="6"/>
    </row>
    <row r="219" spans="8:11" s="11" customFormat="1" x14ac:dyDescent="0.3">
      <c r="H219" s="8"/>
      <c r="I219" s="18"/>
      <c r="K219" s="6"/>
    </row>
    <row r="220" spans="8:11" s="11" customFormat="1" x14ac:dyDescent="0.3">
      <c r="H220" s="8"/>
      <c r="I220" s="18"/>
      <c r="K220" s="6"/>
    </row>
    <row r="221" spans="8:11" s="11" customFormat="1" x14ac:dyDescent="0.3">
      <c r="H221" s="8"/>
      <c r="I221" s="18"/>
      <c r="K221" s="6"/>
    </row>
    <row r="222" spans="8:11" s="11" customFormat="1" x14ac:dyDescent="0.3">
      <c r="H222" s="8"/>
      <c r="I222" s="18"/>
      <c r="K222" s="6"/>
    </row>
    <row r="223" spans="8:11" s="11" customFormat="1" x14ac:dyDescent="0.3">
      <c r="H223" s="8"/>
      <c r="I223" s="18"/>
      <c r="K223" s="6"/>
    </row>
    <row r="224" spans="8:11" s="11" customFormat="1" x14ac:dyDescent="0.3">
      <c r="H224" s="8"/>
      <c r="I224" s="18"/>
      <c r="K224" s="6"/>
    </row>
    <row r="225" spans="8:11" s="11" customFormat="1" x14ac:dyDescent="0.3">
      <c r="H225" s="8"/>
      <c r="I225" s="18"/>
      <c r="K225" s="6"/>
    </row>
    <row r="226" spans="8:11" s="11" customFormat="1" x14ac:dyDescent="0.3">
      <c r="H226" s="8"/>
      <c r="I226" s="18"/>
      <c r="K226" s="6"/>
    </row>
    <row r="227" spans="8:11" s="11" customFormat="1" x14ac:dyDescent="0.3">
      <c r="H227" s="8"/>
      <c r="I227" s="18"/>
      <c r="K227" s="6"/>
    </row>
    <row r="228" spans="8:11" s="11" customFormat="1" x14ac:dyDescent="0.3">
      <c r="H228" s="8"/>
      <c r="I228" s="18"/>
      <c r="K228" s="6"/>
    </row>
    <row r="229" spans="8:11" s="11" customFormat="1" x14ac:dyDescent="0.3">
      <c r="H229" s="8"/>
      <c r="I229" s="18"/>
      <c r="K229" s="6"/>
    </row>
    <row r="230" spans="8:11" s="11" customFormat="1" x14ac:dyDescent="0.3">
      <c r="H230" s="8"/>
      <c r="I230" s="18"/>
      <c r="K230" s="6"/>
    </row>
    <row r="231" spans="8:11" s="11" customFormat="1" x14ac:dyDescent="0.3">
      <c r="H231" s="8"/>
      <c r="I231" s="18"/>
      <c r="K231" s="6"/>
    </row>
    <row r="232" spans="8:11" s="11" customFormat="1" x14ac:dyDescent="0.3">
      <c r="H232" s="8"/>
      <c r="I232" s="18"/>
      <c r="K232" s="6"/>
    </row>
    <row r="233" spans="8:11" s="11" customFormat="1" x14ac:dyDescent="0.3">
      <c r="H233" s="8"/>
      <c r="I233" s="18"/>
      <c r="K233" s="6"/>
    </row>
    <row r="234" spans="8:11" s="11" customFormat="1" x14ac:dyDescent="0.3">
      <c r="H234" s="8"/>
      <c r="I234" s="18"/>
      <c r="K234" s="6"/>
    </row>
    <row r="235" spans="8:11" s="11" customFormat="1" x14ac:dyDescent="0.3">
      <c r="H235" s="8"/>
      <c r="I235" s="18"/>
      <c r="K235" s="6"/>
    </row>
    <row r="236" spans="8:11" s="11" customFormat="1" x14ac:dyDescent="0.3">
      <c r="H236" s="8"/>
      <c r="I236" s="18"/>
      <c r="K236" s="6"/>
    </row>
    <row r="237" spans="8:11" s="11" customFormat="1" x14ac:dyDescent="0.3">
      <c r="H237" s="8"/>
      <c r="I237" s="18"/>
      <c r="K237" s="6"/>
    </row>
    <row r="238" spans="8:11" s="11" customFormat="1" x14ac:dyDescent="0.3">
      <c r="H238" s="8"/>
      <c r="I238" s="18"/>
      <c r="K238" s="6"/>
    </row>
    <row r="239" spans="8:11" s="11" customFormat="1" x14ac:dyDescent="0.3">
      <c r="H239" s="8"/>
      <c r="I239" s="18"/>
      <c r="K239" s="6"/>
    </row>
    <row r="240" spans="8:11" s="11" customFormat="1" x14ac:dyDescent="0.3">
      <c r="H240" s="8"/>
      <c r="I240" s="18"/>
      <c r="K240" s="6"/>
    </row>
    <row r="241" spans="8:11" s="11" customFormat="1" x14ac:dyDescent="0.3">
      <c r="H241" s="8"/>
      <c r="I241" s="18"/>
      <c r="K241" s="6"/>
    </row>
    <row r="242" spans="8:11" s="11" customFormat="1" x14ac:dyDescent="0.3">
      <c r="H242" s="8"/>
      <c r="I242" s="18"/>
      <c r="K242" s="6"/>
    </row>
    <row r="243" spans="8:11" s="11" customFormat="1" x14ac:dyDescent="0.3">
      <c r="H243" s="8"/>
      <c r="I243" s="18"/>
      <c r="K243" s="6"/>
    </row>
    <row r="244" spans="8:11" s="11" customFormat="1" x14ac:dyDescent="0.3">
      <c r="H244" s="8"/>
      <c r="I244" s="18"/>
      <c r="K244" s="6"/>
    </row>
    <row r="245" spans="8:11" s="11" customFormat="1" x14ac:dyDescent="0.3">
      <c r="H245" s="8"/>
      <c r="I245" s="18"/>
      <c r="K245" s="6"/>
    </row>
    <row r="246" spans="8:11" s="11" customFormat="1" x14ac:dyDescent="0.3">
      <c r="H246" s="8"/>
      <c r="I246" s="18"/>
      <c r="K246" s="6"/>
    </row>
    <row r="247" spans="8:11" s="11" customFormat="1" x14ac:dyDescent="0.3">
      <c r="H247" s="8"/>
      <c r="I247" s="18"/>
      <c r="K247" s="6"/>
    </row>
    <row r="248" spans="8:11" s="11" customFormat="1" x14ac:dyDescent="0.3">
      <c r="H248" s="8"/>
      <c r="I248" s="18"/>
      <c r="K248" s="6"/>
    </row>
    <row r="249" spans="8:11" s="11" customFormat="1" x14ac:dyDescent="0.3">
      <c r="H249" s="8"/>
      <c r="I249" s="18"/>
      <c r="K249" s="6"/>
    </row>
    <row r="250" spans="8:11" s="11" customFormat="1" x14ac:dyDescent="0.3">
      <c r="H250" s="8"/>
      <c r="I250" s="18"/>
      <c r="K250" s="6"/>
    </row>
    <row r="251" spans="8:11" s="11" customFormat="1" x14ac:dyDescent="0.3">
      <c r="H251" s="8"/>
      <c r="I251" s="18"/>
      <c r="K251" s="6"/>
    </row>
    <row r="252" spans="8:11" s="11" customFormat="1" x14ac:dyDescent="0.3">
      <c r="H252" s="8"/>
      <c r="I252" s="18"/>
      <c r="K252" s="6"/>
    </row>
    <row r="253" spans="8:11" s="11" customFormat="1" x14ac:dyDescent="0.3">
      <c r="H253" s="8"/>
      <c r="I253" s="18"/>
      <c r="K253" s="6"/>
    </row>
    <row r="254" spans="8:11" s="11" customFormat="1" x14ac:dyDescent="0.3">
      <c r="H254" s="8"/>
      <c r="I254" s="18"/>
      <c r="K254" s="6"/>
    </row>
    <row r="255" spans="8:11" s="11" customFormat="1" x14ac:dyDescent="0.3">
      <c r="H255" s="8"/>
      <c r="I255" s="18"/>
      <c r="K255" s="6"/>
    </row>
    <row r="256" spans="8:11" s="11" customFormat="1" x14ac:dyDescent="0.3">
      <c r="H256" s="8"/>
      <c r="I256" s="18"/>
      <c r="K256" s="6"/>
    </row>
    <row r="257" spans="8:11" s="11" customFormat="1" x14ac:dyDescent="0.3">
      <c r="H257" s="8"/>
      <c r="I257" s="18"/>
      <c r="K257" s="6"/>
    </row>
    <row r="258" spans="8:11" s="11" customFormat="1" x14ac:dyDescent="0.3">
      <c r="H258" s="8"/>
      <c r="I258" s="18"/>
      <c r="K258" s="6"/>
    </row>
    <row r="259" spans="8:11" s="11" customFormat="1" x14ac:dyDescent="0.3">
      <c r="H259" s="8"/>
      <c r="I259" s="18"/>
      <c r="K259" s="6"/>
    </row>
    <row r="260" spans="8:11" s="11" customFormat="1" x14ac:dyDescent="0.3">
      <c r="H260" s="8"/>
      <c r="I260" s="18"/>
      <c r="K260" s="6"/>
    </row>
    <row r="261" spans="8:11" s="11" customFormat="1" x14ac:dyDescent="0.3">
      <c r="H261" s="8"/>
      <c r="I261" s="18"/>
      <c r="K261" s="6"/>
    </row>
    <row r="262" spans="8:11" s="11" customFormat="1" x14ac:dyDescent="0.3">
      <c r="H262" s="8"/>
      <c r="I262" s="18"/>
      <c r="K262" s="6"/>
    </row>
    <row r="263" spans="8:11" s="11" customFormat="1" x14ac:dyDescent="0.3">
      <c r="H263" s="8"/>
      <c r="I263" s="18"/>
      <c r="K263" s="6"/>
    </row>
    <row r="264" spans="8:11" s="11" customFormat="1" x14ac:dyDescent="0.3">
      <c r="H264" s="8"/>
      <c r="I264" s="18"/>
      <c r="K264" s="6"/>
    </row>
    <row r="265" spans="8:11" s="11" customFormat="1" x14ac:dyDescent="0.3">
      <c r="H265" s="8"/>
      <c r="I265" s="18"/>
      <c r="K265" s="6"/>
    </row>
    <row r="266" spans="8:11" s="11" customFormat="1" x14ac:dyDescent="0.3">
      <c r="H266" s="8"/>
      <c r="I266" s="18"/>
      <c r="K266" s="6"/>
    </row>
    <row r="267" spans="8:11" s="11" customFormat="1" x14ac:dyDescent="0.3">
      <c r="H267" s="8"/>
      <c r="I267" s="18"/>
      <c r="K267" s="6"/>
    </row>
    <row r="268" spans="8:11" s="11" customFormat="1" x14ac:dyDescent="0.3">
      <c r="H268" s="8"/>
      <c r="I268" s="18"/>
      <c r="K268" s="6"/>
    </row>
    <row r="269" spans="8:11" s="11" customFormat="1" x14ac:dyDescent="0.3">
      <c r="H269" s="8"/>
      <c r="I269" s="18"/>
      <c r="K269" s="6"/>
    </row>
    <row r="270" spans="8:11" s="11" customFormat="1" x14ac:dyDescent="0.3">
      <c r="H270" s="8"/>
      <c r="I270" s="18"/>
      <c r="K270" s="6"/>
    </row>
    <row r="271" spans="8:11" s="11" customFormat="1" x14ac:dyDescent="0.3">
      <c r="H271" s="8"/>
      <c r="I271" s="18"/>
      <c r="K271" s="6"/>
    </row>
    <row r="272" spans="8:11" s="11" customFormat="1" x14ac:dyDescent="0.3">
      <c r="H272" s="8"/>
      <c r="I272" s="18"/>
      <c r="K272" s="6"/>
    </row>
    <row r="273" spans="8:11" s="11" customFormat="1" x14ac:dyDescent="0.3">
      <c r="H273" s="8"/>
      <c r="I273" s="18"/>
      <c r="K273" s="6"/>
    </row>
    <row r="274" spans="8:11" s="11" customFormat="1" x14ac:dyDescent="0.3">
      <c r="H274" s="8"/>
      <c r="I274" s="18"/>
      <c r="K274" s="6"/>
    </row>
    <row r="275" spans="8:11" s="11" customFormat="1" x14ac:dyDescent="0.3">
      <c r="H275" s="8"/>
      <c r="I275" s="18"/>
      <c r="K275" s="6"/>
    </row>
    <row r="276" spans="8:11" s="11" customFormat="1" x14ac:dyDescent="0.3">
      <c r="H276" s="8"/>
      <c r="I276" s="18"/>
      <c r="K276" s="6"/>
    </row>
    <row r="277" spans="8:11" s="11" customFormat="1" x14ac:dyDescent="0.3">
      <c r="H277" s="8"/>
      <c r="I277" s="18"/>
      <c r="K277" s="6"/>
    </row>
    <row r="278" spans="8:11" s="11" customFormat="1" x14ac:dyDescent="0.3">
      <c r="H278" s="8"/>
      <c r="I278" s="18"/>
      <c r="K278" s="6"/>
    </row>
    <row r="279" spans="8:11" s="11" customFormat="1" x14ac:dyDescent="0.3">
      <c r="H279" s="8"/>
      <c r="I279" s="18"/>
      <c r="K279" s="6"/>
    </row>
    <row r="280" spans="8:11" s="11" customFormat="1" x14ac:dyDescent="0.3">
      <c r="H280" s="8"/>
      <c r="I280" s="18"/>
      <c r="K280" s="6"/>
    </row>
    <row r="281" spans="8:11" s="11" customFormat="1" x14ac:dyDescent="0.3">
      <c r="H281" s="8"/>
      <c r="I281" s="18"/>
      <c r="K281" s="6"/>
    </row>
    <row r="282" spans="8:11" s="11" customFormat="1" x14ac:dyDescent="0.3">
      <c r="H282" s="8"/>
      <c r="I282" s="18"/>
      <c r="K282" s="6"/>
    </row>
    <row r="283" spans="8:11" s="11" customFormat="1" x14ac:dyDescent="0.3">
      <c r="H283" s="8"/>
      <c r="I283" s="18"/>
      <c r="K283" s="6"/>
    </row>
    <row r="284" spans="8:11" s="11" customFormat="1" x14ac:dyDescent="0.3">
      <c r="H284" s="8"/>
      <c r="I284" s="18"/>
      <c r="K284" s="6"/>
    </row>
    <row r="285" spans="8:11" s="11" customFormat="1" x14ac:dyDescent="0.3">
      <c r="H285" s="8"/>
      <c r="I285" s="18"/>
      <c r="K285" s="6"/>
    </row>
    <row r="286" spans="8:11" s="11" customFormat="1" x14ac:dyDescent="0.3">
      <c r="H286" s="8"/>
      <c r="I286" s="18"/>
      <c r="K286" s="6"/>
    </row>
    <row r="287" spans="8:11" s="11" customFormat="1" x14ac:dyDescent="0.3">
      <c r="H287" s="8"/>
      <c r="I287" s="18"/>
      <c r="K287" s="6"/>
    </row>
    <row r="288" spans="8:11" s="11" customFormat="1" x14ac:dyDescent="0.3">
      <c r="H288" s="8"/>
      <c r="I288" s="18"/>
      <c r="K288" s="6"/>
    </row>
    <row r="289" spans="8:11" s="11" customFormat="1" x14ac:dyDescent="0.3">
      <c r="H289" s="8"/>
      <c r="I289" s="18"/>
      <c r="K289" s="6"/>
    </row>
    <row r="290" spans="8:11" s="11" customFormat="1" x14ac:dyDescent="0.3">
      <c r="H290" s="8"/>
      <c r="I290" s="18"/>
      <c r="K290" s="6"/>
    </row>
    <row r="291" spans="8:11" s="11" customFormat="1" x14ac:dyDescent="0.3">
      <c r="H291" s="8"/>
      <c r="I291" s="18"/>
      <c r="K291" s="6"/>
    </row>
    <row r="292" spans="8:11" s="11" customFormat="1" x14ac:dyDescent="0.3">
      <c r="H292" s="8"/>
      <c r="I292" s="18"/>
      <c r="K292" s="6"/>
    </row>
    <row r="293" spans="8:11" s="11" customFormat="1" x14ac:dyDescent="0.3">
      <c r="H293" s="8"/>
      <c r="I293" s="18"/>
      <c r="K293" s="6"/>
    </row>
    <row r="294" spans="8:11" s="11" customFormat="1" x14ac:dyDescent="0.3">
      <c r="H294" s="8"/>
      <c r="I294" s="18"/>
      <c r="K294" s="6"/>
    </row>
    <row r="295" spans="8:11" s="11" customFormat="1" x14ac:dyDescent="0.3">
      <c r="H295" s="8"/>
      <c r="I295" s="18"/>
      <c r="K295" s="6"/>
    </row>
    <row r="296" spans="8:11" s="11" customFormat="1" x14ac:dyDescent="0.3">
      <c r="H296" s="8"/>
      <c r="I296" s="18"/>
      <c r="K296" s="6"/>
    </row>
    <row r="297" spans="8:11" s="11" customFormat="1" x14ac:dyDescent="0.3">
      <c r="H297" s="8"/>
      <c r="I297" s="18"/>
      <c r="K297" s="6"/>
    </row>
    <row r="298" spans="8:11" s="11" customFormat="1" x14ac:dyDescent="0.3">
      <c r="H298" s="8"/>
      <c r="I298" s="18"/>
      <c r="K298" s="6"/>
    </row>
    <row r="299" spans="8:11" s="11" customFormat="1" x14ac:dyDescent="0.3">
      <c r="H299" s="8"/>
      <c r="I299" s="18"/>
      <c r="K299" s="6"/>
    </row>
    <row r="300" spans="8:11" s="11" customFormat="1" x14ac:dyDescent="0.3">
      <c r="H300" s="8"/>
      <c r="I300" s="18"/>
      <c r="K300" s="6"/>
    </row>
    <row r="301" spans="8:11" s="11" customFormat="1" x14ac:dyDescent="0.3">
      <c r="H301" s="8"/>
      <c r="I301" s="18"/>
      <c r="K301" s="6"/>
    </row>
    <row r="302" spans="8:11" s="11" customFormat="1" x14ac:dyDescent="0.3">
      <c r="H302" s="8"/>
      <c r="I302" s="18"/>
      <c r="K302" s="6"/>
    </row>
    <row r="303" spans="8:11" s="11" customFormat="1" x14ac:dyDescent="0.3">
      <c r="H303" s="8"/>
      <c r="I303" s="18"/>
      <c r="K303" s="6"/>
    </row>
    <row r="304" spans="8:11" s="11" customFormat="1" x14ac:dyDescent="0.3">
      <c r="H304" s="8"/>
      <c r="I304" s="18"/>
      <c r="K304" s="6"/>
    </row>
    <row r="305" spans="8:11" s="11" customFormat="1" x14ac:dyDescent="0.3">
      <c r="H305" s="8"/>
      <c r="I305" s="18"/>
      <c r="K305" s="6"/>
    </row>
    <row r="306" spans="8:11" s="11" customFormat="1" x14ac:dyDescent="0.3">
      <c r="H306" s="8"/>
      <c r="I306" s="18"/>
      <c r="K306" s="6"/>
    </row>
    <row r="307" spans="8:11" s="11" customFormat="1" x14ac:dyDescent="0.3">
      <c r="H307" s="8"/>
      <c r="I307" s="18"/>
      <c r="K307" s="6"/>
    </row>
    <row r="308" spans="8:11" s="11" customFormat="1" x14ac:dyDescent="0.3">
      <c r="H308" s="8"/>
      <c r="I308" s="18"/>
      <c r="K308" s="6"/>
    </row>
    <row r="309" spans="8:11" s="11" customFormat="1" x14ac:dyDescent="0.3">
      <c r="H309" s="8"/>
      <c r="I309" s="18"/>
      <c r="K309" s="6"/>
    </row>
    <row r="310" spans="8:11" s="11" customFormat="1" x14ac:dyDescent="0.3">
      <c r="H310" s="8"/>
      <c r="I310" s="18"/>
      <c r="K310" s="6"/>
    </row>
    <row r="311" spans="8:11" s="11" customFormat="1" x14ac:dyDescent="0.3">
      <c r="H311" s="8"/>
      <c r="I311" s="18"/>
      <c r="K311" s="6"/>
    </row>
    <row r="312" spans="8:11" s="11" customFormat="1" x14ac:dyDescent="0.3">
      <c r="H312" s="8"/>
      <c r="I312" s="18"/>
      <c r="K312" s="6"/>
    </row>
    <row r="313" spans="8:11" s="11" customFormat="1" x14ac:dyDescent="0.3">
      <c r="H313" s="8"/>
      <c r="I313" s="18"/>
      <c r="K313" s="6"/>
    </row>
    <row r="314" spans="8:11" s="11" customFormat="1" x14ac:dyDescent="0.3">
      <c r="H314" s="8"/>
      <c r="I314" s="18"/>
      <c r="K314" s="6"/>
    </row>
    <row r="315" spans="8:11" s="11" customFormat="1" x14ac:dyDescent="0.3">
      <c r="H315" s="8"/>
      <c r="I315" s="18"/>
      <c r="K315" s="6"/>
    </row>
    <row r="316" spans="8:11" s="11" customFormat="1" x14ac:dyDescent="0.3">
      <c r="H316" s="8"/>
      <c r="I316" s="18"/>
      <c r="K316" s="6"/>
    </row>
    <row r="317" spans="8:11" s="11" customFormat="1" x14ac:dyDescent="0.3">
      <c r="H317" s="8"/>
      <c r="I317" s="18"/>
      <c r="K317" s="6"/>
    </row>
    <row r="318" spans="8:11" s="11" customFormat="1" x14ac:dyDescent="0.3">
      <c r="H318" s="8"/>
      <c r="I318" s="18"/>
      <c r="K318" s="6"/>
    </row>
    <row r="319" spans="8:11" s="11" customFormat="1" x14ac:dyDescent="0.3">
      <c r="H319" s="8"/>
      <c r="I319" s="18"/>
      <c r="K319" s="6"/>
    </row>
    <row r="320" spans="8:11" s="11" customFormat="1" x14ac:dyDescent="0.3">
      <c r="H320" s="8"/>
      <c r="I320" s="18"/>
      <c r="K320" s="6"/>
    </row>
    <row r="321" spans="8:11" s="11" customFormat="1" x14ac:dyDescent="0.3">
      <c r="H321" s="8"/>
      <c r="I321" s="18"/>
      <c r="K321" s="6"/>
    </row>
    <row r="322" spans="8:11" s="11" customFormat="1" x14ac:dyDescent="0.3">
      <c r="H322" s="8"/>
      <c r="I322" s="18"/>
      <c r="K322" s="6"/>
    </row>
    <row r="323" spans="8:11" s="11" customFormat="1" x14ac:dyDescent="0.3">
      <c r="H323" s="8"/>
      <c r="I323" s="18"/>
      <c r="K323" s="6"/>
    </row>
    <row r="324" spans="8:11" s="11" customFormat="1" x14ac:dyDescent="0.3">
      <c r="H324" s="8"/>
      <c r="I324" s="18"/>
      <c r="K324" s="6"/>
    </row>
    <row r="325" spans="8:11" s="11" customFormat="1" x14ac:dyDescent="0.3">
      <c r="H325" s="8"/>
      <c r="I325" s="18"/>
      <c r="K325" s="6"/>
    </row>
    <row r="326" spans="8:11" s="11" customFormat="1" x14ac:dyDescent="0.3">
      <c r="H326" s="8"/>
      <c r="I326" s="18"/>
      <c r="K326" s="6"/>
    </row>
    <row r="327" spans="8:11" s="11" customFormat="1" x14ac:dyDescent="0.3">
      <c r="H327" s="8"/>
      <c r="I327" s="18"/>
      <c r="K327" s="6"/>
    </row>
    <row r="328" spans="8:11" s="11" customFormat="1" x14ac:dyDescent="0.3">
      <c r="H328" s="8"/>
      <c r="I328" s="18"/>
      <c r="K328" s="6"/>
    </row>
    <row r="329" spans="8:11" s="11" customFormat="1" x14ac:dyDescent="0.3">
      <c r="H329" s="8"/>
      <c r="I329" s="18"/>
      <c r="K329" s="6"/>
    </row>
    <row r="330" spans="8:11" s="11" customFormat="1" x14ac:dyDescent="0.3">
      <c r="H330" s="8"/>
      <c r="I330" s="18"/>
      <c r="K330" s="6"/>
    </row>
    <row r="331" spans="8:11" s="11" customFormat="1" x14ac:dyDescent="0.3">
      <c r="H331" s="8"/>
      <c r="I331" s="18"/>
      <c r="K331" s="6"/>
    </row>
    <row r="332" spans="8:11" s="11" customFormat="1" x14ac:dyDescent="0.3">
      <c r="H332" s="8"/>
      <c r="I332" s="18"/>
      <c r="K332" s="6"/>
    </row>
    <row r="333" spans="8:11" s="11" customFormat="1" x14ac:dyDescent="0.3">
      <c r="H333" s="8"/>
      <c r="I333" s="18"/>
      <c r="K333" s="6"/>
    </row>
    <row r="334" spans="8:11" s="11" customFormat="1" x14ac:dyDescent="0.3">
      <c r="H334" s="8"/>
      <c r="I334" s="18"/>
      <c r="K334" s="6"/>
    </row>
    <row r="335" spans="8:11" s="11" customFormat="1" x14ac:dyDescent="0.3">
      <c r="H335" s="8"/>
      <c r="I335" s="18"/>
      <c r="K335" s="6"/>
    </row>
    <row r="336" spans="8:11" s="11" customFormat="1" x14ac:dyDescent="0.3">
      <c r="H336" s="8"/>
      <c r="I336" s="18"/>
      <c r="K336" s="6"/>
    </row>
    <row r="337" spans="8:11" s="11" customFormat="1" x14ac:dyDescent="0.3">
      <c r="H337" s="8"/>
      <c r="I337" s="18"/>
      <c r="K337" s="6"/>
    </row>
    <row r="338" spans="8:11" s="11" customFormat="1" x14ac:dyDescent="0.3">
      <c r="H338" s="8"/>
      <c r="I338" s="18"/>
      <c r="K338" s="6"/>
    </row>
    <row r="339" spans="8:11" s="11" customFormat="1" x14ac:dyDescent="0.3">
      <c r="H339" s="8"/>
      <c r="I339" s="18"/>
      <c r="K339" s="6"/>
    </row>
    <row r="340" spans="8:11" s="11" customFormat="1" x14ac:dyDescent="0.3">
      <c r="H340" s="8"/>
      <c r="I340" s="18"/>
      <c r="K340" s="6"/>
    </row>
    <row r="341" spans="8:11" s="11" customFormat="1" x14ac:dyDescent="0.3">
      <c r="H341" s="8"/>
      <c r="I341" s="18"/>
      <c r="K341" s="6"/>
    </row>
    <row r="342" spans="8:11" s="11" customFormat="1" x14ac:dyDescent="0.3">
      <c r="H342" s="8"/>
      <c r="I342" s="18"/>
      <c r="K342" s="6"/>
    </row>
  </sheetData>
  <mergeCells count="4">
    <mergeCell ref="A1:F1"/>
    <mergeCell ref="L1:Q1"/>
    <mergeCell ref="O10:P10"/>
    <mergeCell ref="L11:M11"/>
  </mergeCells>
  <pageMargins left="0.25" right="0.25" top="0.75" bottom="0.75" header="0.3" footer="0.3"/>
  <pageSetup paperSize="9" scale="74" fitToHeight="0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A5DDB-B243-4DF0-822A-36C5452FA16F}">
  <sheetPr codeName="Sheet17">
    <pageSetUpPr fitToPage="1"/>
  </sheetPr>
  <dimension ref="A1:Q342"/>
  <sheetViews>
    <sheetView rightToLeft="1" zoomScale="115" zoomScaleNormal="115" workbookViewId="0">
      <pane ySplit="13" topLeftCell="A39" activePane="bottomLeft" state="frozen"/>
      <selection pane="bottomLeft" activeCell="I43" sqref="I43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7.88671875" style="2" bestFit="1" customWidth="1"/>
    <col min="4" max="4" width="9.109375" style="2" bestFit="1" customWidth="1"/>
    <col min="5" max="5" width="5.109375" style="2" bestFit="1" customWidth="1"/>
    <col min="6" max="6" width="10.44140625" style="2" bestFit="1" customWidth="1"/>
    <col min="7" max="7" width="2.44140625" style="2" customWidth="1"/>
    <col min="8" max="8" width="14.109375" style="8" bestFit="1" customWidth="1"/>
    <col min="9" max="9" width="11.44140625" style="7" bestFit="1" customWidth="1"/>
    <col min="10" max="10" width="8.5546875" style="11" bestFit="1" customWidth="1"/>
    <col min="11" max="11" width="3.33203125" style="6" customWidth="1"/>
    <col min="12" max="12" width="9.44140625" style="2" bestFit="1" customWidth="1"/>
    <col min="13" max="13" width="5.109375" style="2" bestFit="1" customWidth="1"/>
    <col min="14" max="14" width="8.5546875" style="2" bestFit="1" customWidth="1"/>
    <col min="15" max="15" width="9.109375" style="2" bestFit="1" customWidth="1"/>
    <col min="16" max="16" width="5.109375" style="2" bestFit="1" customWidth="1"/>
    <col min="17" max="17" width="11.109375" style="2" bestFit="1" customWidth="1"/>
    <col min="18" max="16384" width="8.88671875" style="2"/>
  </cols>
  <sheetData>
    <row r="1" spans="1:17" x14ac:dyDescent="0.3">
      <c r="A1" s="65" t="s">
        <v>29</v>
      </c>
      <c r="B1" s="65"/>
      <c r="C1" s="65"/>
      <c r="D1" s="65"/>
      <c r="E1" s="65"/>
      <c r="F1" s="65"/>
      <c r="H1" s="8" t="s">
        <v>38</v>
      </c>
      <c r="I1" s="7">
        <f>SUM(Table1345678101112131415161718[اللبناني])</f>
        <v>1425</v>
      </c>
      <c r="J1" s="7">
        <f>SUM(Table1345678101112131415161718[الدولار])</f>
        <v>726</v>
      </c>
      <c r="L1" s="65" t="s">
        <v>33</v>
      </c>
      <c r="M1" s="65"/>
      <c r="N1" s="65"/>
      <c r="O1" s="65"/>
      <c r="P1" s="65"/>
      <c r="Q1" s="65"/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C3" s="21">
        <f>A3*B3</f>
        <v>0</v>
      </c>
      <c r="D3" s="17">
        <v>5</v>
      </c>
      <c r="E3" s="2">
        <v>33</v>
      </c>
      <c r="F3" s="23">
        <f>D3*E3</f>
        <v>165</v>
      </c>
      <c r="G3" s="5"/>
      <c r="H3" s="10" t="s">
        <v>279</v>
      </c>
      <c r="I3" s="20"/>
      <c r="J3" s="11">
        <v>50</v>
      </c>
      <c r="L3" s="15">
        <v>1</v>
      </c>
      <c r="M3" s="2">
        <v>1</v>
      </c>
      <c r="N3" s="21">
        <f>L3*M3</f>
        <v>1</v>
      </c>
      <c r="O3" s="17">
        <v>5</v>
      </c>
      <c r="P3" s="2">
        <v>32</v>
      </c>
      <c r="Q3" s="23">
        <f>O3*P3</f>
        <v>160</v>
      </c>
    </row>
    <row r="4" spans="1:17" x14ac:dyDescent="0.3">
      <c r="A4" s="15">
        <v>5</v>
      </c>
      <c r="B4" s="2">
        <v>1</v>
      </c>
      <c r="C4" s="21">
        <f t="shared" ref="C4:C8" si="0">A4*B4</f>
        <v>5</v>
      </c>
      <c r="D4" s="17">
        <v>10</v>
      </c>
      <c r="E4" s="2">
        <v>17</v>
      </c>
      <c r="F4" s="23">
        <f t="shared" ref="F4:F7" si="1">D4*E4</f>
        <v>170</v>
      </c>
      <c r="G4" s="5"/>
      <c r="H4" s="10" t="s">
        <v>280</v>
      </c>
      <c r="I4" s="20">
        <v>90</v>
      </c>
      <c r="J4" s="11">
        <v>2</v>
      </c>
      <c r="L4" s="15">
        <v>5</v>
      </c>
      <c r="M4" s="2">
        <v>1</v>
      </c>
      <c r="N4" s="21">
        <f t="shared" ref="N4:N8" si="2">L4*M4</f>
        <v>5</v>
      </c>
      <c r="O4" s="17">
        <v>10</v>
      </c>
      <c r="P4" s="2">
        <v>9</v>
      </c>
      <c r="Q4" s="23">
        <f t="shared" ref="Q4:Q7" si="3">O4*P4</f>
        <v>90</v>
      </c>
    </row>
    <row r="5" spans="1:17" x14ac:dyDescent="0.3">
      <c r="A5" s="15">
        <v>10</v>
      </c>
      <c r="B5" s="2">
        <v>26</v>
      </c>
      <c r="C5" s="21">
        <f t="shared" si="0"/>
        <v>260</v>
      </c>
      <c r="D5" s="17">
        <v>20</v>
      </c>
      <c r="F5" s="23">
        <f t="shared" si="1"/>
        <v>0</v>
      </c>
      <c r="G5" s="5"/>
      <c r="H5" s="10" t="s">
        <v>281</v>
      </c>
      <c r="I5" s="20">
        <v>500</v>
      </c>
      <c r="J5" s="11">
        <v>10</v>
      </c>
      <c r="L5" s="15">
        <v>10</v>
      </c>
      <c r="M5" s="2">
        <v>31</v>
      </c>
      <c r="N5" s="21">
        <f t="shared" si="2"/>
        <v>310</v>
      </c>
      <c r="O5" s="17">
        <v>20</v>
      </c>
      <c r="Q5" s="23">
        <f t="shared" si="3"/>
        <v>0</v>
      </c>
    </row>
    <row r="6" spans="1:17" x14ac:dyDescent="0.3">
      <c r="A6" s="15">
        <v>20</v>
      </c>
      <c r="B6" s="2">
        <v>9</v>
      </c>
      <c r="C6" s="21">
        <f t="shared" si="0"/>
        <v>180</v>
      </c>
      <c r="D6" s="17">
        <v>50</v>
      </c>
      <c r="E6" s="2">
        <v>3</v>
      </c>
      <c r="F6" s="23">
        <f t="shared" si="1"/>
        <v>150</v>
      </c>
      <c r="G6" s="5"/>
      <c r="H6" s="10" t="s">
        <v>31</v>
      </c>
      <c r="I6" s="20">
        <v>-90</v>
      </c>
      <c r="J6" s="11">
        <v>5</v>
      </c>
      <c r="L6" s="15">
        <v>20</v>
      </c>
      <c r="M6" s="2">
        <v>4</v>
      </c>
      <c r="N6" s="21">
        <f t="shared" si="2"/>
        <v>80</v>
      </c>
      <c r="O6" s="17">
        <v>50</v>
      </c>
      <c r="Q6" s="23">
        <f t="shared" si="3"/>
        <v>0</v>
      </c>
    </row>
    <row r="7" spans="1:17" x14ac:dyDescent="0.3">
      <c r="A7" s="15">
        <v>50</v>
      </c>
      <c r="C7" s="21">
        <f t="shared" si="0"/>
        <v>0</v>
      </c>
      <c r="D7" s="17">
        <v>100</v>
      </c>
      <c r="E7" s="2">
        <v>27</v>
      </c>
      <c r="F7" s="23">
        <f t="shared" si="1"/>
        <v>2700</v>
      </c>
      <c r="G7" s="5"/>
      <c r="H7" s="33" t="s">
        <v>164</v>
      </c>
      <c r="I7" s="20">
        <v>65</v>
      </c>
      <c r="L7" s="15">
        <v>50</v>
      </c>
      <c r="M7" s="2">
        <v>1</v>
      </c>
      <c r="N7" s="21">
        <f t="shared" si="2"/>
        <v>50</v>
      </c>
      <c r="O7" s="17">
        <v>100</v>
      </c>
      <c r="P7" s="2">
        <v>28</v>
      </c>
      <c r="Q7" s="23">
        <f t="shared" si="3"/>
        <v>2800</v>
      </c>
    </row>
    <row r="8" spans="1:17" x14ac:dyDescent="0.3">
      <c r="A8" s="15">
        <v>100</v>
      </c>
      <c r="B8" s="2">
        <v>5</v>
      </c>
      <c r="C8" s="21">
        <f t="shared" si="0"/>
        <v>500</v>
      </c>
      <c r="D8" s="1" t="s">
        <v>1</v>
      </c>
      <c r="E8" s="1"/>
      <c r="F8" s="19">
        <f>SUM(F3:F7)</f>
        <v>3185</v>
      </c>
      <c r="G8" s="5"/>
      <c r="H8" s="10" t="s">
        <v>282</v>
      </c>
      <c r="I8" s="20"/>
      <c r="J8" s="11">
        <v>10</v>
      </c>
      <c r="L8" s="15">
        <v>100</v>
      </c>
      <c r="M8" s="2">
        <v>12</v>
      </c>
      <c r="N8" s="21">
        <f t="shared" si="2"/>
        <v>1200</v>
      </c>
      <c r="O8" s="1" t="s">
        <v>1</v>
      </c>
      <c r="P8" s="1"/>
      <c r="Q8" s="19">
        <f>SUM(Q3:Q7)</f>
        <v>3050</v>
      </c>
    </row>
    <row r="9" spans="1:17" x14ac:dyDescent="0.3">
      <c r="A9" s="1" t="s">
        <v>1</v>
      </c>
      <c r="B9" s="1"/>
      <c r="C9" s="22">
        <f>SUM(C3:C8)</f>
        <v>945</v>
      </c>
      <c r="H9" s="10" t="s">
        <v>283</v>
      </c>
      <c r="I9" s="20"/>
      <c r="J9" s="11">
        <v>4</v>
      </c>
      <c r="L9" s="1" t="s">
        <v>1</v>
      </c>
      <c r="M9" s="1"/>
      <c r="N9" s="22">
        <f>SUM(N3:N8)</f>
        <v>1646</v>
      </c>
      <c r="Q9" s="20"/>
    </row>
    <row r="10" spans="1:17" x14ac:dyDescent="0.3">
      <c r="H10" s="10" t="s">
        <v>135</v>
      </c>
      <c r="I10" s="20"/>
      <c r="J10" s="11">
        <v>10</v>
      </c>
      <c r="N10" s="27"/>
      <c r="O10" s="66" t="s">
        <v>40</v>
      </c>
      <c r="P10" s="66"/>
      <c r="Q10" s="24">
        <f>SUM(Table1345678101112131415161718[اللبناني])</f>
        <v>1425</v>
      </c>
    </row>
    <row r="11" spans="1:17" x14ac:dyDescent="0.3">
      <c r="H11" s="10" t="s">
        <v>284</v>
      </c>
      <c r="I11" s="20">
        <v>-250</v>
      </c>
      <c r="J11" s="11">
        <v>5</v>
      </c>
      <c r="L11" s="66" t="s">
        <v>39</v>
      </c>
      <c r="M11" s="66"/>
      <c r="N11" s="12">
        <f>SUM(Table1345678101112131415161718[الدولار])</f>
        <v>726</v>
      </c>
      <c r="Q11" s="20"/>
    </row>
    <row r="12" spans="1:17" x14ac:dyDescent="0.3">
      <c r="H12" s="10" t="s">
        <v>285</v>
      </c>
      <c r="I12" s="20">
        <v>-400</v>
      </c>
      <c r="J12" s="11">
        <v>10</v>
      </c>
      <c r="N12" s="27"/>
      <c r="O12" s="1" t="s">
        <v>27</v>
      </c>
      <c r="P12" s="1"/>
      <c r="Q12" s="24">
        <f>Q8-Q10-F8</f>
        <v>-1560</v>
      </c>
    </row>
    <row r="13" spans="1:17" x14ac:dyDescent="0.3">
      <c r="C13" s="14"/>
      <c r="D13" s="14"/>
      <c r="F13" s="14"/>
      <c r="H13" s="10" t="s">
        <v>53</v>
      </c>
      <c r="I13" s="20">
        <v>180</v>
      </c>
      <c r="J13" s="11">
        <v>10</v>
      </c>
      <c r="L13" s="1" t="s">
        <v>27</v>
      </c>
      <c r="M13" s="1"/>
      <c r="N13" s="12">
        <f>N9-N11-C9</f>
        <v>-25</v>
      </c>
    </row>
    <row r="14" spans="1:17" x14ac:dyDescent="0.3">
      <c r="C14" s="14"/>
      <c r="D14" s="14"/>
      <c r="F14" s="14"/>
      <c r="H14" s="10" t="s">
        <v>286</v>
      </c>
      <c r="I14" s="18">
        <v>-200</v>
      </c>
      <c r="J14" s="11">
        <v>100</v>
      </c>
    </row>
    <row r="15" spans="1:17" x14ac:dyDescent="0.3">
      <c r="C15" s="14"/>
      <c r="D15" s="14"/>
      <c r="F15" s="14"/>
      <c r="H15" s="10" t="s">
        <v>212</v>
      </c>
      <c r="I15" s="18">
        <v>250</v>
      </c>
    </row>
    <row r="16" spans="1:17" x14ac:dyDescent="0.3">
      <c r="C16" s="14"/>
      <c r="D16" s="14"/>
      <c r="F16" s="14"/>
      <c r="H16" s="10" t="s">
        <v>287</v>
      </c>
      <c r="I16" s="18">
        <v>80</v>
      </c>
      <c r="J16" s="11">
        <v>10</v>
      </c>
    </row>
    <row r="17" spans="3:12" s="11" customFormat="1" x14ac:dyDescent="0.3">
      <c r="C17" s="14"/>
      <c r="D17" s="14"/>
      <c r="E17" s="2"/>
      <c r="F17" s="14"/>
      <c r="G17" s="2"/>
      <c r="H17" s="10" t="s">
        <v>288</v>
      </c>
      <c r="I17" s="20">
        <v>-270</v>
      </c>
      <c r="J17" s="11">
        <v>10</v>
      </c>
      <c r="K17" s="6"/>
    </row>
    <row r="18" spans="3:12" s="11" customFormat="1" x14ac:dyDescent="0.3">
      <c r="C18" s="14"/>
      <c r="D18" s="2"/>
      <c r="E18" s="2"/>
      <c r="F18" s="14"/>
      <c r="G18" s="2"/>
      <c r="H18" s="10" t="s">
        <v>289</v>
      </c>
      <c r="I18" s="20"/>
      <c r="J18" s="11">
        <v>55</v>
      </c>
      <c r="K18" s="6"/>
    </row>
    <row r="19" spans="3:12" s="11" customFormat="1" x14ac:dyDescent="0.3">
      <c r="C19" s="14"/>
      <c r="D19" s="2"/>
      <c r="E19" s="2"/>
      <c r="F19" s="2"/>
      <c r="G19" s="2"/>
      <c r="H19" s="10" t="s">
        <v>84</v>
      </c>
      <c r="I19" s="20"/>
      <c r="J19" s="11">
        <v>29</v>
      </c>
      <c r="K19" s="6"/>
    </row>
    <row r="20" spans="3:12" s="11" customFormat="1" x14ac:dyDescent="0.3">
      <c r="C20" s="2"/>
      <c r="D20" s="2"/>
      <c r="E20" s="2"/>
      <c r="F20" s="6"/>
      <c r="G20" s="2"/>
      <c r="H20" s="10" t="s">
        <v>268</v>
      </c>
      <c r="I20" s="20">
        <v>300</v>
      </c>
      <c r="K20" s="6"/>
    </row>
    <row r="21" spans="3:12" s="11" customFormat="1" x14ac:dyDescent="0.3">
      <c r="C21" s="6"/>
      <c r="D21" s="2"/>
      <c r="E21" s="2"/>
      <c r="F21" s="2"/>
      <c r="G21" s="2"/>
      <c r="H21" s="10" t="s">
        <v>290</v>
      </c>
      <c r="I21" s="20">
        <v>180</v>
      </c>
      <c r="K21" s="6"/>
    </row>
    <row r="22" spans="3:12" s="11" customFormat="1" x14ac:dyDescent="0.3">
      <c r="C22" s="2"/>
      <c r="D22" s="2"/>
      <c r="E22" s="2"/>
      <c r="F22" s="6"/>
      <c r="G22" s="2"/>
      <c r="H22" s="10" t="s">
        <v>291</v>
      </c>
      <c r="I22" s="20">
        <v>60</v>
      </c>
      <c r="K22" s="6"/>
    </row>
    <row r="23" spans="3:12" s="11" customFormat="1" x14ac:dyDescent="0.3">
      <c r="C23" s="6"/>
      <c r="D23" s="2"/>
      <c r="E23" s="2"/>
      <c r="F23" s="2"/>
      <c r="G23" s="2"/>
      <c r="H23" s="10" t="s">
        <v>297</v>
      </c>
      <c r="I23" s="20">
        <v>100</v>
      </c>
      <c r="K23" s="6"/>
    </row>
    <row r="24" spans="3:12" s="11" customFormat="1" x14ac:dyDescent="0.3">
      <c r="C24" s="2"/>
      <c r="D24" s="2"/>
      <c r="E24" s="2"/>
      <c r="F24" s="2"/>
      <c r="G24" s="2"/>
      <c r="H24" s="10" t="s">
        <v>70</v>
      </c>
      <c r="I24" s="20">
        <v>-300</v>
      </c>
      <c r="K24" s="6"/>
    </row>
    <row r="25" spans="3:12" s="11" customFormat="1" x14ac:dyDescent="0.3">
      <c r="C25" s="2"/>
      <c r="D25" s="2"/>
      <c r="E25" s="2"/>
      <c r="F25" s="2"/>
      <c r="G25" s="2"/>
      <c r="H25" s="10" t="s">
        <v>292</v>
      </c>
      <c r="I25" s="20">
        <v>-100</v>
      </c>
      <c r="J25" s="11">
        <v>10</v>
      </c>
      <c r="K25" s="6"/>
    </row>
    <row r="26" spans="3:12" s="11" customFormat="1" x14ac:dyDescent="0.3">
      <c r="C26" s="2"/>
      <c r="D26" s="2"/>
      <c r="E26" s="2"/>
      <c r="F26" s="2"/>
      <c r="G26" s="2"/>
      <c r="H26" s="10" t="s">
        <v>293</v>
      </c>
      <c r="I26" s="20">
        <v>600</v>
      </c>
      <c r="K26" s="6"/>
    </row>
    <row r="27" spans="3:12" s="11" customFormat="1" x14ac:dyDescent="0.3">
      <c r="C27" s="2"/>
      <c r="D27" s="2"/>
      <c r="E27" s="2"/>
      <c r="F27" s="2"/>
      <c r="G27" s="2"/>
      <c r="H27" s="10" t="s">
        <v>294</v>
      </c>
      <c r="I27" s="18"/>
      <c r="J27" s="11">
        <v>95</v>
      </c>
      <c r="K27" s="6"/>
    </row>
    <row r="28" spans="3:12" s="11" customFormat="1" x14ac:dyDescent="0.3">
      <c r="C28" s="2"/>
      <c r="D28" s="2"/>
      <c r="E28" s="2"/>
      <c r="F28" s="2"/>
      <c r="G28" s="2"/>
      <c r="H28" s="8" t="s">
        <v>295</v>
      </c>
      <c r="I28" s="18">
        <v>-200</v>
      </c>
      <c r="J28" s="11">
        <v>125</v>
      </c>
      <c r="K28" s="6"/>
    </row>
    <row r="29" spans="3:12" s="11" customFormat="1" x14ac:dyDescent="0.3">
      <c r="C29" s="2"/>
      <c r="D29" s="2"/>
      <c r="E29" s="2"/>
      <c r="F29" s="2"/>
      <c r="G29" s="2"/>
      <c r="H29" s="8" t="s">
        <v>296</v>
      </c>
      <c r="I29" s="18"/>
      <c r="J29" s="11">
        <v>156</v>
      </c>
      <c r="K29" s="6"/>
    </row>
    <row r="30" spans="3:12" s="11" customFormat="1" x14ac:dyDescent="0.3">
      <c r="C30" s="2"/>
      <c r="D30" s="2"/>
      <c r="E30" s="2"/>
      <c r="F30" s="2"/>
      <c r="G30" s="2"/>
      <c r="H30" s="8" t="s">
        <v>298</v>
      </c>
      <c r="I30" s="18">
        <v>100</v>
      </c>
      <c r="K30" s="6"/>
    </row>
    <row r="31" spans="3:12" s="11" customFormat="1" x14ac:dyDescent="0.3">
      <c r="C31" s="2"/>
      <c r="D31" s="2"/>
      <c r="E31" s="2"/>
      <c r="F31" s="2"/>
      <c r="G31" s="2"/>
      <c r="H31" s="8" t="s">
        <v>299</v>
      </c>
      <c r="I31" s="18">
        <v>-330</v>
      </c>
      <c r="J31" s="11">
        <v>5</v>
      </c>
      <c r="K31" s="6"/>
    </row>
    <row r="32" spans="3:12" s="11" customFormat="1" x14ac:dyDescent="0.3">
      <c r="C32" s="2"/>
      <c r="D32" s="2"/>
      <c r="E32" s="2"/>
      <c r="F32" s="2"/>
      <c r="G32" s="2"/>
      <c r="H32" s="8" t="s">
        <v>300</v>
      </c>
      <c r="I32" s="18">
        <v>-500</v>
      </c>
      <c r="J32" s="11">
        <v>-10</v>
      </c>
      <c r="K32" s="6"/>
      <c r="L32" s="11" t="s">
        <v>193</v>
      </c>
    </row>
    <row r="33" spans="8:11" s="11" customFormat="1" x14ac:dyDescent="0.3">
      <c r="H33" s="8" t="s">
        <v>212</v>
      </c>
      <c r="I33" s="18">
        <v>300</v>
      </c>
      <c r="K33" s="6"/>
    </row>
    <row r="34" spans="8:11" s="11" customFormat="1" x14ac:dyDescent="0.3">
      <c r="H34" s="8" t="s">
        <v>301</v>
      </c>
      <c r="I34" s="18">
        <v>350</v>
      </c>
      <c r="K34" s="6"/>
    </row>
    <row r="35" spans="8:11" s="11" customFormat="1" x14ac:dyDescent="0.3">
      <c r="H35" s="8" t="s">
        <v>22</v>
      </c>
      <c r="I35" s="18">
        <v>50</v>
      </c>
      <c r="K35" s="6"/>
    </row>
    <row r="36" spans="8:11" s="11" customFormat="1" x14ac:dyDescent="0.3">
      <c r="H36" s="8"/>
      <c r="I36" s="18"/>
      <c r="J36" s="11">
        <v>2</v>
      </c>
      <c r="K36" s="6"/>
    </row>
    <row r="37" spans="8:11" s="11" customFormat="1" x14ac:dyDescent="0.3">
      <c r="H37" s="8" t="s">
        <v>291</v>
      </c>
      <c r="I37" s="18">
        <v>60</v>
      </c>
      <c r="K37" s="6"/>
    </row>
    <row r="38" spans="8:11" s="11" customFormat="1" x14ac:dyDescent="0.3">
      <c r="H38" s="8" t="s">
        <v>302</v>
      </c>
      <c r="I38" s="18">
        <v>100</v>
      </c>
      <c r="J38" s="11">
        <v>10</v>
      </c>
      <c r="K38" s="6"/>
    </row>
    <row r="39" spans="8:11" s="11" customFormat="1" x14ac:dyDescent="0.3">
      <c r="H39" s="8" t="s">
        <v>303</v>
      </c>
      <c r="I39" s="18"/>
      <c r="J39" s="11">
        <v>9</v>
      </c>
      <c r="K39" s="6"/>
    </row>
    <row r="40" spans="8:11" s="11" customFormat="1" x14ac:dyDescent="0.3">
      <c r="H40" s="8" t="s">
        <v>304</v>
      </c>
      <c r="I40" s="18">
        <v>450</v>
      </c>
      <c r="K40" s="6"/>
    </row>
    <row r="41" spans="8:11" s="11" customFormat="1" x14ac:dyDescent="0.3">
      <c r="H41" s="8" t="s">
        <v>115</v>
      </c>
      <c r="I41" s="18">
        <v>100</v>
      </c>
      <c r="K41" s="6"/>
    </row>
    <row r="42" spans="8:11" s="11" customFormat="1" x14ac:dyDescent="0.3">
      <c r="H42" s="8" t="s">
        <v>303</v>
      </c>
      <c r="I42" s="18">
        <v>150</v>
      </c>
      <c r="K42" s="6"/>
    </row>
    <row r="43" spans="8:11" s="11" customFormat="1" x14ac:dyDescent="0.3">
      <c r="H43" s="8"/>
      <c r="I43" s="18"/>
      <c r="J43" s="11">
        <v>4</v>
      </c>
      <c r="K43" s="6"/>
    </row>
    <row r="44" spans="8:11" s="11" customFormat="1" x14ac:dyDescent="0.3">
      <c r="H44" s="8"/>
      <c r="I44" s="18"/>
      <c r="K44" s="6"/>
    </row>
    <row r="45" spans="8:11" s="11" customFormat="1" x14ac:dyDescent="0.3">
      <c r="H45" s="8"/>
      <c r="I45" s="18"/>
      <c r="K45" s="6"/>
    </row>
    <row r="46" spans="8:11" s="11" customFormat="1" x14ac:dyDescent="0.3">
      <c r="H46" s="8"/>
      <c r="I46" s="18"/>
      <c r="K46" s="6"/>
    </row>
    <row r="47" spans="8:11" s="11" customFormat="1" x14ac:dyDescent="0.3">
      <c r="H47" s="8"/>
      <c r="I47" s="18"/>
      <c r="K47" s="6"/>
    </row>
    <row r="48" spans="8:11" s="11" customFormat="1" x14ac:dyDescent="0.3">
      <c r="H48" s="8"/>
      <c r="I48" s="18"/>
      <c r="K48" s="6"/>
    </row>
    <row r="49" spans="8:11" s="11" customFormat="1" x14ac:dyDescent="0.3">
      <c r="H49" s="8"/>
      <c r="I49" s="18"/>
      <c r="K49" s="6"/>
    </row>
    <row r="50" spans="8:11" s="11" customFormat="1" x14ac:dyDescent="0.3">
      <c r="H50" s="8"/>
      <c r="I50" s="18"/>
      <c r="K50" s="6"/>
    </row>
    <row r="51" spans="8:11" s="11" customFormat="1" x14ac:dyDescent="0.3">
      <c r="H51" s="8"/>
      <c r="I51" s="18"/>
      <c r="K51" s="6"/>
    </row>
    <row r="52" spans="8:11" s="11" customFormat="1" x14ac:dyDescent="0.3">
      <c r="H52" s="8"/>
      <c r="I52" s="18"/>
      <c r="K52" s="6"/>
    </row>
    <row r="53" spans="8:11" s="11" customFormat="1" x14ac:dyDescent="0.3">
      <c r="H53" s="8"/>
      <c r="I53" s="18"/>
      <c r="K53" s="6"/>
    </row>
    <row r="54" spans="8:11" s="11" customFormat="1" x14ac:dyDescent="0.3">
      <c r="H54" s="8"/>
      <c r="I54" s="18"/>
      <c r="K54" s="6"/>
    </row>
    <row r="55" spans="8:11" s="11" customFormat="1" x14ac:dyDescent="0.3">
      <c r="H55" s="8"/>
      <c r="I55" s="18"/>
      <c r="K55" s="6"/>
    </row>
    <row r="56" spans="8:11" s="11" customFormat="1" x14ac:dyDescent="0.3">
      <c r="H56" s="8"/>
      <c r="I56" s="18"/>
      <c r="K56" s="6"/>
    </row>
    <row r="57" spans="8:11" s="11" customFormat="1" x14ac:dyDescent="0.3">
      <c r="H57" s="8"/>
      <c r="I57" s="18"/>
      <c r="K57" s="6"/>
    </row>
    <row r="58" spans="8:11" s="11" customFormat="1" x14ac:dyDescent="0.3">
      <c r="H58" s="8"/>
      <c r="I58" s="18"/>
      <c r="K58" s="6"/>
    </row>
    <row r="59" spans="8:11" s="11" customFormat="1" x14ac:dyDescent="0.3">
      <c r="H59" s="8"/>
      <c r="I59" s="18"/>
      <c r="K59" s="6"/>
    </row>
    <row r="60" spans="8:11" s="11" customFormat="1" x14ac:dyDescent="0.3">
      <c r="H60" s="8"/>
      <c r="I60" s="18"/>
      <c r="K60" s="6"/>
    </row>
    <row r="61" spans="8:11" s="11" customFormat="1" x14ac:dyDescent="0.3">
      <c r="H61" s="8"/>
      <c r="I61" s="18"/>
      <c r="K61" s="6"/>
    </row>
    <row r="62" spans="8:11" s="11" customFormat="1" x14ac:dyDescent="0.3">
      <c r="H62" s="8"/>
      <c r="I62" s="18"/>
      <c r="K62" s="6"/>
    </row>
    <row r="63" spans="8:11" s="11" customFormat="1" x14ac:dyDescent="0.3">
      <c r="H63" s="8"/>
      <c r="I63" s="18"/>
      <c r="K63" s="6"/>
    </row>
    <row r="64" spans="8:11" s="11" customFormat="1" x14ac:dyDescent="0.3">
      <c r="H64" s="8"/>
      <c r="I64" s="18"/>
      <c r="K64" s="6"/>
    </row>
    <row r="65" spans="8:11" s="11" customFormat="1" x14ac:dyDescent="0.3">
      <c r="H65" s="8"/>
      <c r="I65" s="18"/>
      <c r="K65" s="6"/>
    </row>
    <row r="66" spans="8:11" s="11" customFormat="1" x14ac:dyDescent="0.3">
      <c r="H66" s="8"/>
      <c r="I66" s="18"/>
      <c r="K66" s="6"/>
    </row>
    <row r="67" spans="8:11" s="11" customFormat="1" x14ac:dyDescent="0.3">
      <c r="H67" s="8"/>
      <c r="I67" s="18"/>
      <c r="K67" s="6"/>
    </row>
    <row r="68" spans="8:11" s="11" customFormat="1" x14ac:dyDescent="0.3">
      <c r="H68" s="8"/>
      <c r="I68" s="18"/>
      <c r="K68" s="6"/>
    </row>
    <row r="69" spans="8:11" s="11" customFormat="1" x14ac:dyDescent="0.3">
      <c r="H69" s="8"/>
      <c r="I69" s="18"/>
      <c r="K69" s="6"/>
    </row>
    <row r="70" spans="8:11" s="11" customFormat="1" x14ac:dyDescent="0.3">
      <c r="H70" s="8"/>
      <c r="I70" s="18"/>
      <c r="K70" s="6"/>
    </row>
    <row r="71" spans="8:11" s="11" customFormat="1" x14ac:dyDescent="0.3">
      <c r="H71" s="8"/>
      <c r="I71" s="18"/>
      <c r="K71" s="6"/>
    </row>
    <row r="72" spans="8:11" s="11" customFormat="1" x14ac:dyDescent="0.3">
      <c r="H72" s="8"/>
      <c r="I72" s="18"/>
      <c r="K72" s="6"/>
    </row>
    <row r="73" spans="8:11" s="11" customFormat="1" x14ac:dyDescent="0.3">
      <c r="H73" s="8"/>
      <c r="I73" s="18"/>
      <c r="K73" s="6"/>
    </row>
    <row r="74" spans="8:11" s="11" customFormat="1" x14ac:dyDescent="0.3">
      <c r="H74" s="8"/>
      <c r="I74" s="18"/>
      <c r="K74" s="6"/>
    </row>
    <row r="75" spans="8:11" s="11" customFormat="1" x14ac:dyDescent="0.3">
      <c r="H75" s="8"/>
      <c r="I75" s="18"/>
      <c r="K75" s="6"/>
    </row>
    <row r="76" spans="8:11" s="11" customFormat="1" x14ac:dyDescent="0.3">
      <c r="H76" s="8"/>
      <c r="I76" s="18"/>
      <c r="K76" s="6"/>
    </row>
    <row r="77" spans="8:11" s="11" customFormat="1" x14ac:dyDescent="0.3">
      <c r="H77" s="8"/>
      <c r="I77" s="18"/>
      <c r="K77" s="6"/>
    </row>
    <row r="78" spans="8:11" s="11" customFormat="1" x14ac:dyDescent="0.3">
      <c r="H78" s="8"/>
      <c r="I78" s="18"/>
      <c r="K78" s="6"/>
    </row>
    <row r="79" spans="8:11" s="11" customFormat="1" x14ac:dyDescent="0.3">
      <c r="H79" s="8"/>
      <c r="I79" s="18"/>
      <c r="K79" s="6"/>
    </row>
    <row r="80" spans="8:11" s="11" customFormat="1" x14ac:dyDescent="0.3">
      <c r="H80" s="8"/>
      <c r="I80" s="18"/>
      <c r="K80" s="6"/>
    </row>
    <row r="81" spans="8:11" s="11" customFormat="1" x14ac:dyDescent="0.3">
      <c r="H81" s="8"/>
      <c r="I81" s="18"/>
      <c r="K81" s="6"/>
    </row>
    <row r="82" spans="8:11" s="11" customFormat="1" x14ac:dyDescent="0.3">
      <c r="H82" s="8"/>
      <c r="I82" s="18"/>
      <c r="K82" s="6"/>
    </row>
    <row r="83" spans="8:11" s="11" customFormat="1" x14ac:dyDescent="0.3">
      <c r="H83" s="8"/>
      <c r="I83" s="18"/>
      <c r="K83" s="6"/>
    </row>
    <row r="84" spans="8:11" s="11" customFormat="1" x14ac:dyDescent="0.3">
      <c r="H84" s="8"/>
      <c r="I84" s="18"/>
      <c r="K84" s="6"/>
    </row>
    <row r="85" spans="8:11" s="11" customFormat="1" x14ac:dyDescent="0.3">
      <c r="H85" s="8"/>
      <c r="I85" s="18"/>
      <c r="K85" s="6"/>
    </row>
    <row r="86" spans="8:11" s="11" customFormat="1" x14ac:dyDescent="0.3">
      <c r="H86" s="8"/>
      <c r="I86" s="18"/>
      <c r="K86" s="6"/>
    </row>
    <row r="87" spans="8:11" s="11" customFormat="1" x14ac:dyDescent="0.3">
      <c r="H87" s="8"/>
      <c r="I87" s="18"/>
      <c r="K87" s="6"/>
    </row>
    <row r="88" spans="8:11" s="11" customFormat="1" x14ac:dyDescent="0.3">
      <c r="H88" s="8"/>
      <c r="I88" s="18"/>
      <c r="K88" s="6"/>
    </row>
    <row r="89" spans="8:11" s="11" customFormat="1" x14ac:dyDescent="0.3">
      <c r="H89" s="8"/>
      <c r="I89" s="18"/>
      <c r="K89" s="6"/>
    </row>
    <row r="90" spans="8:11" s="11" customFormat="1" x14ac:dyDescent="0.3">
      <c r="H90" s="8"/>
      <c r="I90" s="18"/>
      <c r="K90" s="6"/>
    </row>
    <row r="91" spans="8:11" s="11" customFormat="1" x14ac:dyDescent="0.3">
      <c r="H91" s="8"/>
      <c r="I91" s="18"/>
      <c r="K91" s="6"/>
    </row>
    <row r="92" spans="8:11" s="11" customFormat="1" x14ac:dyDescent="0.3">
      <c r="H92" s="8"/>
      <c r="I92" s="18"/>
      <c r="K92" s="6"/>
    </row>
    <row r="93" spans="8:11" s="11" customFormat="1" x14ac:dyDescent="0.3">
      <c r="H93" s="8"/>
      <c r="I93" s="18"/>
      <c r="K93" s="6"/>
    </row>
    <row r="94" spans="8:11" s="11" customFormat="1" x14ac:dyDescent="0.3">
      <c r="H94" s="8"/>
      <c r="I94" s="18"/>
      <c r="K94" s="6"/>
    </row>
    <row r="95" spans="8:11" s="11" customFormat="1" x14ac:dyDescent="0.3">
      <c r="H95" s="8"/>
      <c r="I95" s="18"/>
      <c r="K95" s="6"/>
    </row>
    <row r="96" spans="8:11" s="11" customFormat="1" x14ac:dyDescent="0.3">
      <c r="H96" s="8"/>
      <c r="I96" s="18"/>
      <c r="K96" s="6"/>
    </row>
    <row r="97" spans="8:11" s="11" customFormat="1" x14ac:dyDescent="0.3">
      <c r="H97" s="8"/>
      <c r="I97" s="18"/>
      <c r="K97" s="6"/>
    </row>
    <row r="98" spans="8:11" s="11" customFormat="1" x14ac:dyDescent="0.3">
      <c r="H98" s="8"/>
      <c r="I98" s="18"/>
      <c r="K98" s="6"/>
    </row>
    <row r="99" spans="8:11" s="11" customFormat="1" x14ac:dyDescent="0.3">
      <c r="H99" s="8"/>
      <c r="I99" s="18"/>
      <c r="K99" s="6"/>
    </row>
    <row r="100" spans="8:11" s="11" customFormat="1" x14ac:dyDescent="0.3">
      <c r="H100" s="8"/>
      <c r="I100" s="18"/>
      <c r="K100" s="6"/>
    </row>
    <row r="101" spans="8:11" s="11" customFormat="1" x14ac:dyDescent="0.3">
      <c r="H101" s="8"/>
      <c r="I101" s="18"/>
      <c r="K101" s="6"/>
    </row>
    <row r="102" spans="8:11" s="11" customFormat="1" x14ac:dyDescent="0.3">
      <c r="H102" s="8"/>
      <c r="I102" s="18"/>
      <c r="K102" s="6"/>
    </row>
    <row r="103" spans="8:11" s="11" customFormat="1" x14ac:dyDescent="0.3">
      <c r="H103" s="8"/>
      <c r="I103" s="18"/>
      <c r="K103" s="6"/>
    </row>
    <row r="104" spans="8:11" s="11" customFormat="1" x14ac:dyDescent="0.3">
      <c r="H104" s="8"/>
      <c r="I104" s="18"/>
      <c r="K104" s="6"/>
    </row>
    <row r="105" spans="8:11" s="11" customFormat="1" x14ac:dyDescent="0.3">
      <c r="H105" s="8"/>
      <c r="I105" s="18"/>
      <c r="K105" s="6"/>
    </row>
    <row r="106" spans="8:11" s="11" customFormat="1" x14ac:dyDescent="0.3">
      <c r="H106" s="8"/>
      <c r="I106" s="18"/>
      <c r="K106" s="6"/>
    </row>
    <row r="107" spans="8:11" s="11" customFormat="1" x14ac:dyDescent="0.3">
      <c r="H107" s="8"/>
      <c r="I107" s="18"/>
      <c r="K107" s="6"/>
    </row>
    <row r="108" spans="8:11" s="11" customFormat="1" x14ac:dyDescent="0.3">
      <c r="H108" s="8"/>
      <c r="I108" s="18"/>
      <c r="K108" s="6"/>
    </row>
    <row r="109" spans="8:11" s="11" customFormat="1" x14ac:dyDescent="0.3">
      <c r="H109" s="8"/>
      <c r="I109" s="18"/>
      <c r="K109" s="6"/>
    </row>
    <row r="110" spans="8:11" s="11" customFormat="1" x14ac:dyDescent="0.3">
      <c r="H110" s="8"/>
      <c r="I110" s="18"/>
      <c r="K110" s="6"/>
    </row>
    <row r="111" spans="8:11" s="11" customFormat="1" x14ac:dyDescent="0.3">
      <c r="H111" s="8"/>
      <c r="I111" s="18"/>
      <c r="K111" s="6"/>
    </row>
    <row r="112" spans="8:11" s="11" customFormat="1" x14ac:dyDescent="0.3">
      <c r="H112" s="8"/>
      <c r="I112" s="18"/>
      <c r="K112" s="6"/>
    </row>
    <row r="113" spans="8:11" s="11" customFormat="1" x14ac:dyDescent="0.3">
      <c r="H113" s="8"/>
      <c r="I113" s="18"/>
      <c r="K113" s="6"/>
    </row>
    <row r="114" spans="8:11" s="11" customFormat="1" x14ac:dyDescent="0.3">
      <c r="H114" s="8"/>
      <c r="I114" s="18"/>
      <c r="K114" s="6"/>
    </row>
    <row r="115" spans="8:11" s="11" customFormat="1" x14ac:dyDescent="0.3">
      <c r="H115" s="8"/>
      <c r="I115" s="18"/>
      <c r="K115" s="6"/>
    </row>
    <row r="116" spans="8:11" s="11" customFormat="1" x14ac:dyDescent="0.3">
      <c r="H116" s="8"/>
      <c r="I116" s="18"/>
      <c r="K116" s="6"/>
    </row>
    <row r="117" spans="8:11" s="11" customFormat="1" x14ac:dyDescent="0.3">
      <c r="H117" s="8"/>
      <c r="I117" s="18"/>
      <c r="K117" s="6"/>
    </row>
    <row r="118" spans="8:11" s="11" customFormat="1" x14ac:dyDescent="0.3">
      <c r="H118" s="8"/>
      <c r="I118" s="18"/>
      <c r="K118" s="6"/>
    </row>
    <row r="119" spans="8:11" s="11" customFormat="1" x14ac:dyDescent="0.3">
      <c r="H119" s="8"/>
      <c r="I119" s="18"/>
      <c r="K119" s="6"/>
    </row>
    <row r="120" spans="8:11" s="11" customFormat="1" x14ac:dyDescent="0.3">
      <c r="H120" s="8"/>
      <c r="I120" s="18"/>
      <c r="K120" s="6"/>
    </row>
    <row r="121" spans="8:11" s="11" customFormat="1" x14ac:dyDescent="0.3">
      <c r="H121" s="8"/>
      <c r="I121" s="18"/>
      <c r="K121" s="6"/>
    </row>
    <row r="122" spans="8:11" s="11" customFormat="1" x14ac:dyDescent="0.3">
      <c r="H122" s="8"/>
      <c r="I122" s="18"/>
      <c r="K122" s="6"/>
    </row>
    <row r="123" spans="8:11" s="11" customFormat="1" x14ac:dyDescent="0.3">
      <c r="H123" s="8"/>
      <c r="I123" s="18"/>
      <c r="K123" s="6"/>
    </row>
    <row r="124" spans="8:11" s="11" customFormat="1" x14ac:dyDescent="0.3">
      <c r="H124" s="8"/>
      <c r="I124" s="18"/>
      <c r="K124" s="6"/>
    </row>
    <row r="125" spans="8:11" s="11" customFormat="1" x14ac:dyDescent="0.3">
      <c r="H125" s="8"/>
      <c r="I125" s="18"/>
      <c r="K125" s="6"/>
    </row>
    <row r="126" spans="8:11" s="11" customFormat="1" x14ac:dyDescent="0.3">
      <c r="H126" s="8"/>
      <c r="I126" s="18"/>
      <c r="K126" s="6"/>
    </row>
    <row r="127" spans="8:11" s="11" customFormat="1" x14ac:dyDescent="0.3">
      <c r="H127" s="8"/>
      <c r="I127" s="18"/>
      <c r="K127" s="6"/>
    </row>
    <row r="128" spans="8:11" s="11" customFormat="1" x14ac:dyDescent="0.3">
      <c r="H128" s="8"/>
      <c r="I128" s="18"/>
      <c r="K128" s="6"/>
    </row>
    <row r="129" spans="8:11" s="11" customFormat="1" x14ac:dyDescent="0.3">
      <c r="H129" s="8"/>
      <c r="I129" s="18"/>
      <c r="K129" s="6"/>
    </row>
    <row r="130" spans="8:11" s="11" customFormat="1" x14ac:dyDescent="0.3">
      <c r="H130" s="8"/>
      <c r="I130" s="18"/>
      <c r="K130" s="6"/>
    </row>
    <row r="131" spans="8:11" s="11" customFormat="1" x14ac:dyDescent="0.3">
      <c r="H131" s="8"/>
      <c r="I131" s="18"/>
      <c r="K131" s="6"/>
    </row>
    <row r="132" spans="8:11" s="11" customFormat="1" x14ac:dyDescent="0.3">
      <c r="H132" s="8"/>
      <c r="I132" s="18"/>
      <c r="K132" s="6"/>
    </row>
    <row r="133" spans="8:11" s="11" customFormat="1" x14ac:dyDescent="0.3">
      <c r="H133" s="8"/>
      <c r="I133" s="18"/>
      <c r="K133" s="6"/>
    </row>
    <row r="134" spans="8:11" s="11" customFormat="1" x14ac:dyDescent="0.3">
      <c r="H134" s="8"/>
      <c r="I134" s="18"/>
      <c r="K134" s="6"/>
    </row>
    <row r="135" spans="8:11" s="11" customFormat="1" x14ac:dyDescent="0.3">
      <c r="H135" s="8"/>
      <c r="I135" s="18"/>
      <c r="K135" s="6"/>
    </row>
    <row r="136" spans="8:11" s="11" customFormat="1" x14ac:dyDescent="0.3">
      <c r="H136" s="8"/>
      <c r="I136" s="18"/>
      <c r="K136" s="6"/>
    </row>
    <row r="137" spans="8:11" s="11" customFormat="1" x14ac:dyDescent="0.3">
      <c r="H137" s="8"/>
      <c r="I137" s="18"/>
      <c r="K137" s="6"/>
    </row>
    <row r="138" spans="8:11" s="11" customFormat="1" x14ac:dyDescent="0.3">
      <c r="H138" s="8"/>
      <c r="I138" s="18"/>
      <c r="K138" s="6"/>
    </row>
    <row r="139" spans="8:11" s="11" customFormat="1" x14ac:dyDescent="0.3">
      <c r="H139" s="8"/>
      <c r="I139" s="18"/>
      <c r="K139" s="6"/>
    </row>
    <row r="140" spans="8:11" s="11" customFormat="1" x14ac:dyDescent="0.3">
      <c r="H140" s="8"/>
      <c r="I140" s="18"/>
      <c r="K140" s="6"/>
    </row>
    <row r="141" spans="8:11" s="11" customFormat="1" x14ac:dyDescent="0.3">
      <c r="H141" s="8"/>
      <c r="I141" s="18"/>
      <c r="K141" s="6"/>
    </row>
    <row r="142" spans="8:11" s="11" customFormat="1" x14ac:dyDescent="0.3">
      <c r="H142" s="8"/>
      <c r="I142" s="18"/>
      <c r="K142" s="6"/>
    </row>
    <row r="143" spans="8:11" s="11" customFormat="1" x14ac:dyDescent="0.3">
      <c r="H143" s="8"/>
      <c r="I143" s="18"/>
      <c r="K143" s="6"/>
    </row>
    <row r="144" spans="8:11" s="11" customFormat="1" x14ac:dyDescent="0.3">
      <c r="H144" s="8"/>
      <c r="I144" s="18"/>
      <c r="K144" s="6"/>
    </row>
    <row r="145" spans="8:11" s="11" customFormat="1" x14ac:dyDescent="0.3">
      <c r="H145" s="8"/>
      <c r="I145" s="18"/>
      <c r="K145" s="6"/>
    </row>
    <row r="146" spans="8:11" s="11" customFormat="1" x14ac:dyDescent="0.3">
      <c r="H146" s="8"/>
      <c r="I146" s="18"/>
      <c r="K146" s="6"/>
    </row>
    <row r="147" spans="8:11" s="11" customFormat="1" x14ac:dyDescent="0.3">
      <c r="H147" s="8"/>
      <c r="I147" s="18"/>
      <c r="K147" s="6"/>
    </row>
    <row r="148" spans="8:11" s="11" customFormat="1" x14ac:dyDescent="0.3">
      <c r="H148" s="8"/>
      <c r="I148" s="18"/>
      <c r="K148" s="6"/>
    </row>
    <row r="149" spans="8:11" s="11" customFormat="1" x14ac:dyDescent="0.3">
      <c r="H149" s="8"/>
      <c r="I149" s="18"/>
      <c r="K149" s="6"/>
    </row>
    <row r="150" spans="8:11" s="11" customFormat="1" x14ac:dyDescent="0.3">
      <c r="H150" s="8"/>
      <c r="I150" s="18"/>
      <c r="K150" s="6"/>
    </row>
    <row r="151" spans="8:11" s="11" customFormat="1" x14ac:dyDescent="0.3">
      <c r="H151" s="8"/>
      <c r="I151" s="18"/>
      <c r="K151" s="6"/>
    </row>
    <row r="152" spans="8:11" s="11" customFormat="1" x14ac:dyDescent="0.3">
      <c r="H152" s="8"/>
      <c r="I152" s="18"/>
      <c r="K152" s="6"/>
    </row>
    <row r="153" spans="8:11" s="11" customFormat="1" x14ac:dyDescent="0.3">
      <c r="H153" s="8"/>
      <c r="I153" s="18"/>
      <c r="K153" s="6"/>
    </row>
    <row r="154" spans="8:11" s="11" customFormat="1" x14ac:dyDescent="0.3">
      <c r="H154" s="8"/>
      <c r="I154" s="18"/>
      <c r="K154" s="6"/>
    </row>
    <row r="155" spans="8:11" s="11" customFormat="1" x14ac:dyDescent="0.3">
      <c r="H155" s="8"/>
      <c r="I155" s="18"/>
      <c r="K155" s="6"/>
    </row>
    <row r="156" spans="8:11" s="11" customFormat="1" x14ac:dyDescent="0.3">
      <c r="H156" s="8"/>
      <c r="I156" s="18"/>
      <c r="K156" s="6"/>
    </row>
    <row r="157" spans="8:11" s="11" customFormat="1" x14ac:dyDescent="0.3">
      <c r="H157" s="8"/>
      <c r="I157" s="18"/>
      <c r="K157" s="6"/>
    </row>
    <row r="158" spans="8:11" s="11" customFormat="1" x14ac:dyDescent="0.3">
      <c r="H158" s="8"/>
      <c r="I158" s="18"/>
      <c r="K158" s="6"/>
    </row>
    <row r="159" spans="8:11" s="11" customFormat="1" x14ac:dyDescent="0.3">
      <c r="H159" s="8"/>
      <c r="I159" s="18"/>
      <c r="K159" s="6"/>
    </row>
    <row r="160" spans="8:11" s="11" customFormat="1" x14ac:dyDescent="0.3">
      <c r="H160" s="8"/>
      <c r="I160" s="18"/>
      <c r="K160" s="6"/>
    </row>
    <row r="161" spans="8:11" s="11" customFormat="1" x14ac:dyDescent="0.3">
      <c r="H161" s="8"/>
      <c r="I161" s="18"/>
      <c r="K161" s="6"/>
    </row>
    <row r="162" spans="8:11" s="11" customFormat="1" x14ac:dyDescent="0.3">
      <c r="H162" s="8"/>
      <c r="I162" s="18"/>
      <c r="K162" s="6"/>
    </row>
    <row r="163" spans="8:11" s="11" customFormat="1" x14ac:dyDescent="0.3">
      <c r="H163" s="8"/>
      <c r="I163" s="18"/>
      <c r="K163" s="6"/>
    </row>
    <row r="164" spans="8:11" s="11" customFormat="1" x14ac:dyDescent="0.3">
      <c r="H164" s="8"/>
      <c r="I164" s="18"/>
      <c r="K164" s="6"/>
    </row>
    <row r="165" spans="8:11" s="11" customFormat="1" x14ac:dyDescent="0.3">
      <c r="H165" s="8"/>
      <c r="I165" s="18"/>
      <c r="K165" s="6"/>
    </row>
    <row r="166" spans="8:11" s="11" customFormat="1" x14ac:dyDescent="0.3">
      <c r="H166" s="8"/>
      <c r="I166" s="18"/>
      <c r="K166" s="6"/>
    </row>
    <row r="167" spans="8:11" s="11" customFormat="1" x14ac:dyDescent="0.3">
      <c r="H167" s="8"/>
      <c r="I167" s="18"/>
      <c r="K167" s="6"/>
    </row>
    <row r="168" spans="8:11" s="11" customFormat="1" x14ac:dyDescent="0.3">
      <c r="H168" s="8"/>
      <c r="I168" s="18"/>
      <c r="K168" s="6"/>
    </row>
    <row r="169" spans="8:11" s="11" customFormat="1" x14ac:dyDescent="0.3">
      <c r="H169" s="8"/>
      <c r="I169" s="18"/>
      <c r="K169" s="6"/>
    </row>
    <row r="170" spans="8:11" s="11" customFormat="1" x14ac:dyDescent="0.3">
      <c r="H170" s="8"/>
      <c r="I170" s="18"/>
      <c r="K170" s="6"/>
    </row>
    <row r="171" spans="8:11" s="11" customFormat="1" x14ac:dyDescent="0.3">
      <c r="H171" s="8"/>
      <c r="I171" s="18"/>
      <c r="K171" s="6"/>
    </row>
    <row r="172" spans="8:11" s="11" customFormat="1" x14ac:dyDescent="0.3">
      <c r="H172" s="8"/>
      <c r="I172" s="18"/>
      <c r="K172" s="6"/>
    </row>
    <row r="173" spans="8:11" s="11" customFormat="1" x14ac:dyDescent="0.3">
      <c r="H173" s="8"/>
      <c r="I173" s="18"/>
      <c r="K173" s="6"/>
    </row>
    <row r="174" spans="8:11" s="11" customFormat="1" x14ac:dyDescent="0.3">
      <c r="H174" s="8"/>
      <c r="I174" s="18"/>
      <c r="K174" s="6"/>
    </row>
    <row r="175" spans="8:11" s="11" customFormat="1" x14ac:dyDescent="0.3">
      <c r="H175" s="8"/>
      <c r="I175" s="18"/>
      <c r="K175" s="6"/>
    </row>
    <row r="176" spans="8:11" s="11" customFormat="1" x14ac:dyDescent="0.3">
      <c r="H176" s="8"/>
      <c r="I176" s="18"/>
      <c r="K176" s="6"/>
    </row>
    <row r="177" spans="8:11" s="11" customFormat="1" x14ac:dyDescent="0.3">
      <c r="H177" s="8"/>
      <c r="I177" s="18"/>
      <c r="K177" s="6"/>
    </row>
    <row r="178" spans="8:11" s="11" customFormat="1" x14ac:dyDescent="0.3">
      <c r="H178" s="8"/>
      <c r="I178" s="18"/>
      <c r="K178" s="6"/>
    </row>
    <row r="179" spans="8:11" s="11" customFormat="1" x14ac:dyDescent="0.3">
      <c r="H179" s="8"/>
      <c r="I179" s="18"/>
      <c r="K179" s="6"/>
    </row>
    <row r="180" spans="8:11" s="11" customFormat="1" x14ac:dyDescent="0.3">
      <c r="H180" s="8"/>
      <c r="I180" s="18"/>
      <c r="K180" s="6"/>
    </row>
    <row r="181" spans="8:11" s="11" customFormat="1" x14ac:dyDescent="0.3">
      <c r="H181" s="8"/>
      <c r="I181" s="18"/>
      <c r="K181" s="6"/>
    </row>
    <row r="182" spans="8:11" s="11" customFormat="1" x14ac:dyDescent="0.3">
      <c r="H182" s="8"/>
      <c r="I182" s="18"/>
      <c r="K182" s="6"/>
    </row>
    <row r="183" spans="8:11" s="11" customFormat="1" x14ac:dyDescent="0.3">
      <c r="H183" s="8"/>
      <c r="I183" s="18"/>
      <c r="K183" s="6"/>
    </row>
    <row r="184" spans="8:11" s="11" customFormat="1" x14ac:dyDescent="0.3">
      <c r="H184" s="8"/>
      <c r="I184" s="18"/>
      <c r="K184" s="6"/>
    </row>
    <row r="185" spans="8:11" s="11" customFormat="1" x14ac:dyDescent="0.3">
      <c r="H185" s="8"/>
      <c r="I185" s="18"/>
      <c r="K185" s="6"/>
    </row>
    <row r="186" spans="8:11" s="11" customFormat="1" x14ac:dyDescent="0.3">
      <c r="H186" s="8"/>
      <c r="I186" s="18"/>
      <c r="K186" s="6"/>
    </row>
    <row r="187" spans="8:11" s="11" customFormat="1" x14ac:dyDescent="0.3">
      <c r="H187" s="8"/>
      <c r="I187" s="18"/>
      <c r="K187" s="6"/>
    </row>
    <row r="188" spans="8:11" s="11" customFormat="1" x14ac:dyDescent="0.3">
      <c r="H188" s="8"/>
      <c r="I188" s="18"/>
      <c r="K188" s="6"/>
    </row>
    <row r="189" spans="8:11" s="11" customFormat="1" x14ac:dyDescent="0.3">
      <c r="H189" s="8"/>
      <c r="I189" s="18"/>
      <c r="K189" s="6"/>
    </row>
    <row r="190" spans="8:11" s="11" customFormat="1" x14ac:dyDescent="0.3">
      <c r="H190" s="8"/>
      <c r="I190" s="18"/>
      <c r="K190" s="6"/>
    </row>
    <row r="191" spans="8:11" s="11" customFormat="1" x14ac:dyDescent="0.3">
      <c r="H191" s="8"/>
      <c r="I191" s="18"/>
      <c r="K191" s="6"/>
    </row>
    <row r="192" spans="8:11" s="11" customFormat="1" x14ac:dyDescent="0.3">
      <c r="H192" s="8"/>
      <c r="I192" s="18"/>
      <c r="K192" s="6"/>
    </row>
    <row r="193" spans="8:11" s="11" customFormat="1" x14ac:dyDescent="0.3">
      <c r="H193" s="8"/>
      <c r="I193" s="18"/>
      <c r="K193" s="6"/>
    </row>
    <row r="194" spans="8:11" s="11" customFormat="1" x14ac:dyDescent="0.3">
      <c r="H194" s="8"/>
      <c r="I194" s="18"/>
      <c r="K194" s="6"/>
    </row>
    <row r="195" spans="8:11" s="11" customFormat="1" x14ac:dyDescent="0.3">
      <c r="H195" s="8"/>
      <c r="I195" s="18"/>
      <c r="K195" s="6"/>
    </row>
    <row r="196" spans="8:11" s="11" customFormat="1" x14ac:dyDescent="0.3">
      <c r="H196" s="8"/>
      <c r="I196" s="18"/>
      <c r="K196" s="6"/>
    </row>
    <row r="197" spans="8:11" s="11" customFormat="1" x14ac:dyDescent="0.3">
      <c r="H197" s="8"/>
      <c r="I197" s="18"/>
      <c r="K197" s="6"/>
    </row>
    <row r="198" spans="8:11" s="11" customFormat="1" x14ac:dyDescent="0.3">
      <c r="H198" s="8"/>
      <c r="I198" s="18"/>
      <c r="K198" s="6"/>
    </row>
    <row r="199" spans="8:11" s="11" customFormat="1" x14ac:dyDescent="0.3">
      <c r="H199" s="8"/>
      <c r="I199" s="18"/>
      <c r="K199" s="6"/>
    </row>
    <row r="200" spans="8:11" s="11" customFormat="1" x14ac:dyDescent="0.3">
      <c r="H200" s="8"/>
      <c r="I200" s="18"/>
      <c r="K200" s="6"/>
    </row>
    <row r="201" spans="8:11" s="11" customFormat="1" x14ac:dyDescent="0.3">
      <c r="H201" s="8"/>
      <c r="I201" s="18"/>
      <c r="K201" s="6"/>
    </row>
    <row r="202" spans="8:11" s="11" customFormat="1" x14ac:dyDescent="0.3">
      <c r="H202" s="8"/>
      <c r="I202" s="18"/>
      <c r="K202" s="6"/>
    </row>
    <row r="203" spans="8:11" s="11" customFormat="1" x14ac:dyDescent="0.3">
      <c r="H203" s="8"/>
      <c r="I203" s="18"/>
      <c r="K203" s="6"/>
    </row>
    <row r="204" spans="8:11" s="11" customFormat="1" x14ac:dyDescent="0.3">
      <c r="H204" s="8"/>
      <c r="I204" s="18"/>
      <c r="K204" s="6"/>
    </row>
    <row r="205" spans="8:11" s="11" customFormat="1" x14ac:dyDescent="0.3">
      <c r="H205" s="8"/>
      <c r="I205" s="18"/>
      <c r="K205" s="6"/>
    </row>
    <row r="206" spans="8:11" s="11" customFormat="1" x14ac:dyDescent="0.3">
      <c r="H206" s="8"/>
      <c r="I206" s="18"/>
      <c r="K206" s="6"/>
    </row>
    <row r="207" spans="8:11" s="11" customFormat="1" x14ac:dyDescent="0.3">
      <c r="H207" s="8"/>
      <c r="I207" s="18"/>
      <c r="K207" s="6"/>
    </row>
    <row r="208" spans="8:11" s="11" customFormat="1" x14ac:dyDescent="0.3">
      <c r="H208" s="8"/>
      <c r="I208" s="18"/>
      <c r="K208" s="6"/>
    </row>
    <row r="209" spans="8:11" s="11" customFormat="1" x14ac:dyDescent="0.3">
      <c r="H209" s="8"/>
      <c r="I209" s="18"/>
      <c r="K209" s="6"/>
    </row>
    <row r="210" spans="8:11" s="11" customFormat="1" x14ac:dyDescent="0.3">
      <c r="H210" s="8"/>
      <c r="I210" s="18"/>
      <c r="K210" s="6"/>
    </row>
    <row r="211" spans="8:11" s="11" customFormat="1" x14ac:dyDescent="0.3">
      <c r="H211" s="8"/>
      <c r="I211" s="18"/>
      <c r="K211" s="6"/>
    </row>
    <row r="212" spans="8:11" s="11" customFormat="1" x14ac:dyDescent="0.3">
      <c r="H212" s="8"/>
      <c r="I212" s="18"/>
      <c r="K212" s="6"/>
    </row>
    <row r="213" spans="8:11" s="11" customFormat="1" x14ac:dyDescent="0.3">
      <c r="H213" s="8"/>
      <c r="I213" s="18"/>
      <c r="K213" s="6"/>
    </row>
    <row r="214" spans="8:11" s="11" customFormat="1" x14ac:dyDescent="0.3">
      <c r="H214" s="8"/>
      <c r="I214" s="18"/>
      <c r="K214" s="6"/>
    </row>
    <row r="215" spans="8:11" s="11" customFormat="1" x14ac:dyDescent="0.3">
      <c r="H215" s="8"/>
      <c r="I215" s="18"/>
      <c r="K215" s="6"/>
    </row>
    <row r="216" spans="8:11" s="11" customFormat="1" x14ac:dyDescent="0.3">
      <c r="H216" s="8"/>
      <c r="I216" s="18"/>
      <c r="K216" s="6"/>
    </row>
    <row r="217" spans="8:11" s="11" customFormat="1" x14ac:dyDescent="0.3">
      <c r="H217" s="8"/>
      <c r="I217" s="18"/>
      <c r="K217" s="6"/>
    </row>
    <row r="218" spans="8:11" s="11" customFormat="1" x14ac:dyDescent="0.3">
      <c r="H218" s="8"/>
      <c r="I218" s="18"/>
      <c r="K218" s="6"/>
    </row>
    <row r="219" spans="8:11" s="11" customFormat="1" x14ac:dyDescent="0.3">
      <c r="H219" s="8"/>
      <c r="I219" s="18"/>
      <c r="K219" s="6"/>
    </row>
    <row r="220" spans="8:11" s="11" customFormat="1" x14ac:dyDescent="0.3">
      <c r="H220" s="8"/>
      <c r="I220" s="18"/>
      <c r="K220" s="6"/>
    </row>
    <row r="221" spans="8:11" s="11" customFormat="1" x14ac:dyDescent="0.3">
      <c r="H221" s="8"/>
      <c r="I221" s="18"/>
      <c r="K221" s="6"/>
    </row>
    <row r="222" spans="8:11" s="11" customFormat="1" x14ac:dyDescent="0.3">
      <c r="H222" s="8"/>
      <c r="I222" s="18"/>
      <c r="K222" s="6"/>
    </row>
    <row r="223" spans="8:11" s="11" customFormat="1" x14ac:dyDescent="0.3">
      <c r="H223" s="8"/>
      <c r="I223" s="18"/>
      <c r="K223" s="6"/>
    </row>
    <row r="224" spans="8:11" s="11" customFormat="1" x14ac:dyDescent="0.3">
      <c r="H224" s="8"/>
      <c r="I224" s="18"/>
      <c r="K224" s="6"/>
    </row>
    <row r="225" spans="8:11" s="11" customFormat="1" x14ac:dyDescent="0.3">
      <c r="H225" s="8"/>
      <c r="I225" s="18"/>
      <c r="K225" s="6"/>
    </row>
    <row r="226" spans="8:11" s="11" customFormat="1" x14ac:dyDescent="0.3">
      <c r="H226" s="8"/>
      <c r="I226" s="18"/>
      <c r="K226" s="6"/>
    </row>
    <row r="227" spans="8:11" s="11" customFormat="1" x14ac:dyDescent="0.3">
      <c r="H227" s="8"/>
      <c r="I227" s="18"/>
      <c r="K227" s="6"/>
    </row>
    <row r="228" spans="8:11" s="11" customFormat="1" x14ac:dyDescent="0.3">
      <c r="H228" s="8"/>
      <c r="I228" s="18"/>
      <c r="K228" s="6"/>
    </row>
    <row r="229" spans="8:11" s="11" customFormat="1" x14ac:dyDescent="0.3">
      <c r="H229" s="8"/>
      <c r="I229" s="18"/>
      <c r="K229" s="6"/>
    </row>
    <row r="230" spans="8:11" s="11" customFormat="1" x14ac:dyDescent="0.3">
      <c r="H230" s="8"/>
      <c r="I230" s="18"/>
      <c r="K230" s="6"/>
    </row>
    <row r="231" spans="8:11" s="11" customFormat="1" x14ac:dyDescent="0.3">
      <c r="H231" s="8"/>
      <c r="I231" s="18"/>
      <c r="K231" s="6"/>
    </row>
    <row r="232" spans="8:11" s="11" customFormat="1" x14ac:dyDescent="0.3">
      <c r="H232" s="8"/>
      <c r="I232" s="18"/>
      <c r="K232" s="6"/>
    </row>
    <row r="233" spans="8:11" s="11" customFormat="1" x14ac:dyDescent="0.3">
      <c r="H233" s="8"/>
      <c r="I233" s="18"/>
      <c r="K233" s="6"/>
    </row>
    <row r="234" spans="8:11" s="11" customFormat="1" x14ac:dyDescent="0.3">
      <c r="H234" s="8"/>
      <c r="I234" s="18"/>
      <c r="K234" s="6"/>
    </row>
    <row r="235" spans="8:11" s="11" customFormat="1" x14ac:dyDescent="0.3">
      <c r="H235" s="8"/>
      <c r="I235" s="18"/>
      <c r="K235" s="6"/>
    </row>
    <row r="236" spans="8:11" s="11" customFormat="1" x14ac:dyDescent="0.3">
      <c r="H236" s="8"/>
      <c r="I236" s="18"/>
      <c r="K236" s="6"/>
    </row>
    <row r="237" spans="8:11" s="11" customFormat="1" x14ac:dyDescent="0.3">
      <c r="H237" s="8"/>
      <c r="I237" s="18"/>
      <c r="K237" s="6"/>
    </row>
    <row r="238" spans="8:11" s="11" customFormat="1" x14ac:dyDescent="0.3">
      <c r="H238" s="8"/>
      <c r="I238" s="18"/>
      <c r="K238" s="6"/>
    </row>
    <row r="239" spans="8:11" s="11" customFormat="1" x14ac:dyDescent="0.3">
      <c r="H239" s="8"/>
      <c r="I239" s="18"/>
      <c r="K239" s="6"/>
    </row>
    <row r="240" spans="8:11" s="11" customFormat="1" x14ac:dyDescent="0.3">
      <c r="H240" s="8"/>
      <c r="I240" s="18"/>
      <c r="K240" s="6"/>
    </row>
    <row r="241" spans="8:11" s="11" customFormat="1" x14ac:dyDescent="0.3">
      <c r="H241" s="8"/>
      <c r="I241" s="18"/>
      <c r="K241" s="6"/>
    </row>
    <row r="242" spans="8:11" s="11" customFormat="1" x14ac:dyDescent="0.3">
      <c r="H242" s="8"/>
      <c r="I242" s="18"/>
      <c r="K242" s="6"/>
    </row>
    <row r="243" spans="8:11" s="11" customFormat="1" x14ac:dyDescent="0.3">
      <c r="H243" s="8"/>
      <c r="I243" s="18"/>
      <c r="K243" s="6"/>
    </row>
    <row r="244" spans="8:11" s="11" customFormat="1" x14ac:dyDescent="0.3">
      <c r="H244" s="8"/>
      <c r="I244" s="18"/>
      <c r="K244" s="6"/>
    </row>
    <row r="245" spans="8:11" s="11" customFormat="1" x14ac:dyDescent="0.3">
      <c r="H245" s="8"/>
      <c r="I245" s="18"/>
      <c r="K245" s="6"/>
    </row>
    <row r="246" spans="8:11" s="11" customFormat="1" x14ac:dyDescent="0.3">
      <c r="H246" s="8"/>
      <c r="I246" s="18"/>
      <c r="K246" s="6"/>
    </row>
    <row r="247" spans="8:11" s="11" customFormat="1" x14ac:dyDescent="0.3">
      <c r="H247" s="8"/>
      <c r="I247" s="18"/>
      <c r="K247" s="6"/>
    </row>
    <row r="248" spans="8:11" s="11" customFormat="1" x14ac:dyDescent="0.3">
      <c r="H248" s="8"/>
      <c r="I248" s="18"/>
      <c r="K248" s="6"/>
    </row>
    <row r="249" spans="8:11" s="11" customFormat="1" x14ac:dyDescent="0.3">
      <c r="H249" s="8"/>
      <c r="I249" s="18"/>
      <c r="K249" s="6"/>
    </row>
    <row r="250" spans="8:11" s="11" customFormat="1" x14ac:dyDescent="0.3">
      <c r="H250" s="8"/>
      <c r="I250" s="18"/>
      <c r="K250" s="6"/>
    </row>
    <row r="251" spans="8:11" s="11" customFormat="1" x14ac:dyDescent="0.3">
      <c r="H251" s="8"/>
      <c r="I251" s="18"/>
      <c r="K251" s="6"/>
    </row>
    <row r="252" spans="8:11" s="11" customFormat="1" x14ac:dyDescent="0.3">
      <c r="H252" s="8"/>
      <c r="I252" s="18"/>
      <c r="K252" s="6"/>
    </row>
    <row r="253" spans="8:11" s="11" customFormat="1" x14ac:dyDescent="0.3">
      <c r="H253" s="8"/>
      <c r="I253" s="18"/>
      <c r="K253" s="6"/>
    </row>
    <row r="254" spans="8:11" s="11" customFormat="1" x14ac:dyDescent="0.3">
      <c r="H254" s="8"/>
      <c r="I254" s="18"/>
      <c r="K254" s="6"/>
    </row>
    <row r="255" spans="8:11" s="11" customFormat="1" x14ac:dyDescent="0.3">
      <c r="H255" s="8"/>
      <c r="I255" s="18"/>
      <c r="K255" s="6"/>
    </row>
    <row r="256" spans="8:11" s="11" customFormat="1" x14ac:dyDescent="0.3">
      <c r="H256" s="8"/>
      <c r="I256" s="18"/>
      <c r="K256" s="6"/>
    </row>
    <row r="257" spans="8:11" s="11" customFormat="1" x14ac:dyDescent="0.3">
      <c r="H257" s="8"/>
      <c r="I257" s="18"/>
      <c r="K257" s="6"/>
    </row>
    <row r="258" spans="8:11" s="11" customFormat="1" x14ac:dyDescent="0.3">
      <c r="H258" s="8"/>
      <c r="I258" s="18"/>
      <c r="K258" s="6"/>
    </row>
    <row r="259" spans="8:11" s="11" customFormat="1" x14ac:dyDescent="0.3">
      <c r="H259" s="8"/>
      <c r="I259" s="18"/>
      <c r="K259" s="6"/>
    </row>
    <row r="260" spans="8:11" s="11" customFormat="1" x14ac:dyDescent="0.3">
      <c r="H260" s="8"/>
      <c r="I260" s="18"/>
      <c r="K260" s="6"/>
    </row>
    <row r="261" spans="8:11" s="11" customFormat="1" x14ac:dyDescent="0.3">
      <c r="H261" s="8"/>
      <c r="I261" s="18"/>
      <c r="K261" s="6"/>
    </row>
    <row r="262" spans="8:11" s="11" customFormat="1" x14ac:dyDescent="0.3">
      <c r="H262" s="8"/>
      <c r="I262" s="18"/>
      <c r="K262" s="6"/>
    </row>
    <row r="263" spans="8:11" s="11" customFormat="1" x14ac:dyDescent="0.3">
      <c r="H263" s="8"/>
      <c r="I263" s="18"/>
      <c r="K263" s="6"/>
    </row>
    <row r="264" spans="8:11" s="11" customFormat="1" x14ac:dyDescent="0.3">
      <c r="H264" s="8"/>
      <c r="I264" s="18"/>
      <c r="K264" s="6"/>
    </row>
    <row r="265" spans="8:11" s="11" customFormat="1" x14ac:dyDescent="0.3">
      <c r="H265" s="8"/>
      <c r="I265" s="18"/>
      <c r="K265" s="6"/>
    </row>
    <row r="266" spans="8:11" s="11" customFormat="1" x14ac:dyDescent="0.3">
      <c r="H266" s="8"/>
      <c r="I266" s="18"/>
      <c r="K266" s="6"/>
    </row>
    <row r="267" spans="8:11" s="11" customFormat="1" x14ac:dyDescent="0.3">
      <c r="H267" s="8"/>
      <c r="I267" s="18"/>
      <c r="K267" s="6"/>
    </row>
    <row r="268" spans="8:11" s="11" customFormat="1" x14ac:dyDescent="0.3">
      <c r="H268" s="8"/>
      <c r="I268" s="18"/>
      <c r="K268" s="6"/>
    </row>
    <row r="269" spans="8:11" s="11" customFormat="1" x14ac:dyDescent="0.3">
      <c r="H269" s="8"/>
      <c r="I269" s="18"/>
      <c r="K269" s="6"/>
    </row>
    <row r="270" spans="8:11" s="11" customFormat="1" x14ac:dyDescent="0.3">
      <c r="H270" s="8"/>
      <c r="I270" s="18"/>
      <c r="K270" s="6"/>
    </row>
    <row r="271" spans="8:11" s="11" customFormat="1" x14ac:dyDescent="0.3">
      <c r="H271" s="8"/>
      <c r="I271" s="18"/>
      <c r="K271" s="6"/>
    </row>
    <row r="272" spans="8:11" s="11" customFormat="1" x14ac:dyDescent="0.3">
      <c r="H272" s="8"/>
      <c r="I272" s="18"/>
      <c r="K272" s="6"/>
    </row>
    <row r="273" spans="8:11" s="11" customFormat="1" x14ac:dyDescent="0.3">
      <c r="H273" s="8"/>
      <c r="I273" s="18"/>
      <c r="K273" s="6"/>
    </row>
    <row r="274" spans="8:11" s="11" customFormat="1" x14ac:dyDescent="0.3">
      <c r="H274" s="8"/>
      <c r="I274" s="18"/>
      <c r="K274" s="6"/>
    </row>
    <row r="275" spans="8:11" s="11" customFormat="1" x14ac:dyDescent="0.3">
      <c r="H275" s="8"/>
      <c r="I275" s="18"/>
      <c r="K275" s="6"/>
    </row>
    <row r="276" spans="8:11" s="11" customFormat="1" x14ac:dyDescent="0.3">
      <c r="H276" s="8"/>
      <c r="I276" s="18"/>
      <c r="K276" s="6"/>
    </row>
    <row r="277" spans="8:11" s="11" customFormat="1" x14ac:dyDescent="0.3">
      <c r="H277" s="8"/>
      <c r="I277" s="18"/>
      <c r="K277" s="6"/>
    </row>
    <row r="278" spans="8:11" s="11" customFormat="1" x14ac:dyDescent="0.3">
      <c r="H278" s="8"/>
      <c r="I278" s="18"/>
      <c r="K278" s="6"/>
    </row>
    <row r="279" spans="8:11" s="11" customFormat="1" x14ac:dyDescent="0.3">
      <c r="H279" s="8"/>
      <c r="I279" s="18"/>
      <c r="K279" s="6"/>
    </row>
    <row r="280" spans="8:11" s="11" customFormat="1" x14ac:dyDescent="0.3">
      <c r="H280" s="8"/>
      <c r="I280" s="18"/>
      <c r="K280" s="6"/>
    </row>
    <row r="281" spans="8:11" s="11" customFormat="1" x14ac:dyDescent="0.3">
      <c r="H281" s="8"/>
      <c r="I281" s="18"/>
      <c r="K281" s="6"/>
    </row>
    <row r="282" spans="8:11" s="11" customFormat="1" x14ac:dyDescent="0.3">
      <c r="H282" s="8"/>
      <c r="I282" s="18"/>
      <c r="K282" s="6"/>
    </row>
    <row r="283" spans="8:11" s="11" customFormat="1" x14ac:dyDescent="0.3">
      <c r="H283" s="8"/>
      <c r="I283" s="18"/>
      <c r="K283" s="6"/>
    </row>
    <row r="284" spans="8:11" s="11" customFormat="1" x14ac:dyDescent="0.3">
      <c r="H284" s="8"/>
      <c r="I284" s="18"/>
      <c r="K284" s="6"/>
    </row>
    <row r="285" spans="8:11" s="11" customFormat="1" x14ac:dyDescent="0.3">
      <c r="H285" s="8"/>
      <c r="I285" s="18"/>
      <c r="K285" s="6"/>
    </row>
    <row r="286" spans="8:11" s="11" customFormat="1" x14ac:dyDescent="0.3">
      <c r="H286" s="8"/>
      <c r="I286" s="18"/>
      <c r="K286" s="6"/>
    </row>
    <row r="287" spans="8:11" s="11" customFormat="1" x14ac:dyDescent="0.3">
      <c r="H287" s="8"/>
      <c r="I287" s="18"/>
      <c r="K287" s="6"/>
    </row>
    <row r="288" spans="8:11" s="11" customFormat="1" x14ac:dyDescent="0.3">
      <c r="H288" s="8"/>
      <c r="I288" s="18"/>
      <c r="K288" s="6"/>
    </row>
    <row r="289" spans="8:11" s="11" customFormat="1" x14ac:dyDescent="0.3">
      <c r="H289" s="8"/>
      <c r="I289" s="18"/>
      <c r="K289" s="6"/>
    </row>
    <row r="290" spans="8:11" s="11" customFormat="1" x14ac:dyDescent="0.3">
      <c r="H290" s="8"/>
      <c r="I290" s="18"/>
      <c r="K290" s="6"/>
    </row>
    <row r="291" spans="8:11" s="11" customFormat="1" x14ac:dyDescent="0.3">
      <c r="H291" s="8"/>
      <c r="I291" s="18"/>
      <c r="K291" s="6"/>
    </row>
    <row r="292" spans="8:11" s="11" customFormat="1" x14ac:dyDescent="0.3">
      <c r="H292" s="8"/>
      <c r="I292" s="18"/>
      <c r="K292" s="6"/>
    </row>
    <row r="293" spans="8:11" s="11" customFormat="1" x14ac:dyDescent="0.3">
      <c r="H293" s="8"/>
      <c r="I293" s="18"/>
      <c r="K293" s="6"/>
    </row>
    <row r="294" spans="8:11" s="11" customFormat="1" x14ac:dyDescent="0.3">
      <c r="H294" s="8"/>
      <c r="I294" s="18"/>
      <c r="K294" s="6"/>
    </row>
    <row r="295" spans="8:11" s="11" customFormat="1" x14ac:dyDescent="0.3">
      <c r="H295" s="8"/>
      <c r="I295" s="18"/>
      <c r="K295" s="6"/>
    </row>
    <row r="296" spans="8:11" s="11" customFormat="1" x14ac:dyDescent="0.3">
      <c r="H296" s="8"/>
      <c r="I296" s="18"/>
      <c r="K296" s="6"/>
    </row>
    <row r="297" spans="8:11" s="11" customFormat="1" x14ac:dyDescent="0.3">
      <c r="H297" s="8"/>
      <c r="I297" s="18"/>
      <c r="K297" s="6"/>
    </row>
    <row r="298" spans="8:11" s="11" customFormat="1" x14ac:dyDescent="0.3">
      <c r="H298" s="8"/>
      <c r="I298" s="18"/>
      <c r="K298" s="6"/>
    </row>
    <row r="299" spans="8:11" s="11" customFormat="1" x14ac:dyDescent="0.3">
      <c r="H299" s="8"/>
      <c r="I299" s="18"/>
      <c r="K299" s="6"/>
    </row>
    <row r="300" spans="8:11" s="11" customFormat="1" x14ac:dyDescent="0.3">
      <c r="H300" s="8"/>
      <c r="I300" s="18"/>
      <c r="K300" s="6"/>
    </row>
    <row r="301" spans="8:11" s="11" customFormat="1" x14ac:dyDescent="0.3">
      <c r="H301" s="8"/>
      <c r="I301" s="18"/>
      <c r="K301" s="6"/>
    </row>
    <row r="302" spans="8:11" s="11" customFormat="1" x14ac:dyDescent="0.3">
      <c r="H302" s="8"/>
      <c r="I302" s="18"/>
      <c r="K302" s="6"/>
    </row>
    <row r="303" spans="8:11" s="11" customFormat="1" x14ac:dyDescent="0.3">
      <c r="H303" s="8"/>
      <c r="I303" s="18"/>
      <c r="K303" s="6"/>
    </row>
    <row r="304" spans="8:11" s="11" customFormat="1" x14ac:dyDescent="0.3">
      <c r="H304" s="8"/>
      <c r="I304" s="18"/>
      <c r="K304" s="6"/>
    </row>
    <row r="305" spans="8:11" s="11" customFormat="1" x14ac:dyDescent="0.3">
      <c r="H305" s="8"/>
      <c r="I305" s="18"/>
      <c r="K305" s="6"/>
    </row>
    <row r="306" spans="8:11" s="11" customFormat="1" x14ac:dyDescent="0.3">
      <c r="H306" s="8"/>
      <c r="I306" s="18"/>
      <c r="K306" s="6"/>
    </row>
    <row r="307" spans="8:11" s="11" customFormat="1" x14ac:dyDescent="0.3">
      <c r="H307" s="8"/>
      <c r="I307" s="18"/>
      <c r="K307" s="6"/>
    </row>
    <row r="308" spans="8:11" s="11" customFormat="1" x14ac:dyDescent="0.3">
      <c r="H308" s="8"/>
      <c r="I308" s="18"/>
      <c r="K308" s="6"/>
    </row>
    <row r="309" spans="8:11" s="11" customFormat="1" x14ac:dyDescent="0.3">
      <c r="H309" s="8"/>
      <c r="I309" s="18"/>
      <c r="K309" s="6"/>
    </row>
    <row r="310" spans="8:11" s="11" customFormat="1" x14ac:dyDescent="0.3">
      <c r="H310" s="8"/>
      <c r="I310" s="18"/>
      <c r="K310" s="6"/>
    </row>
    <row r="311" spans="8:11" s="11" customFormat="1" x14ac:dyDescent="0.3">
      <c r="H311" s="8"/>
      <c r="I311" s="18"/>
      <c r="K311" s="6"/>
    </row>
    <row r="312" spans="8:11" s="11" customFormat="1" x14ac:dyDescent="0.3">
      <c r="H312" s="8"/>
      <c r="I312" s="18"/>
      <c r="K312" s="6"/>
    </row>
    <row r="313" spans="8:11" s="11" customFormat="1" x14ac:dyDescent="0.3">
      <c r="H313" s="8"/>
      <c r="I313" s="18"/>
      <c r="K313" s="6"/>
    </row>
    <row r="314" spans="8:11" s="11" customFormat="1" x14ac:dyDescent="0.3">
      <c r="H314" s="8"/>
      <c r="I314" s="18"/>
      <c r="K314" s="6"/>
    </row>
    <row r="315" spans="8:11" s="11" customFormat="1" x14ac:dyDescent="0.3">
      <c r="H315" s="8"/>
      <c r="I315" s="18"/>
      <c r="K315" s="6"/>
    </row>
    <row r="316" spans="8:11" s="11" customFormat="1" x14ac:dyDescent="0.3">
      <c r="H316" s="8"/>
      <c r="I316" s="18"/>
      <c r="K316" s="6"/>
    </row>
    <row r="317" spans="8:11" s="11" customFormat="1" x14ac:dyDescent="0.3">
      <c r="H317" s="8"/>
      <c r="I317" s="18"/>
      <c r="K317" s="6"/>
    </row>
    <row r="318" spans="8:11" s="11" customFormat="1" x14ac:dyDescent="0.3">
      <c r="H318" s="8"/>
      <c r="I318" s="18"/>
      <c r="K318" s="6"/>
    </row>
    <row r="319" spans="8:11" s="11" customFormat="1" x14ac:dyDescent="0.3">
      <c r="H319" s="8"/>
      <c r="I319" s="18"/>
      <c r="K319" s="6"/>
    </row>
    <row r="320" spans="8:11" s="11" customFormat="1" x14ac:dyDescent="0.3">
      <c r="H320" s="8"/>
      <c r="I320" s="18"/>
      <c r="K320" s="6"/>
    </row>
    <row r="321" spans="8:11" s="11" customFormat="1" x14ac:dyDescent="0.3">
      <c r="H321" s="8"/>
      <c r="I321" s="18"/>
      <c r="K321" s="6"/>
    </row>
    <row r="322" spans="8:11" s="11" customFormat="1" x14ac:dyDescent="0.3">
      <c r="H322" s="8"/>
      <c r="I322" s="18"/>
      <c r="K322" s="6"/>
    </row>
    <row r="323" spans="8:11" s="11" customFormat="1" x14ac:dyDescent="0.3">
      <c r="H323" s="8"/>
      <c r="I323" s="18"/>
      <c r="K323" s="6"/>
    </row>
    <row r="324" spans="8:11" s="11" customFormat="1" x14ac:dyDescent="0.3">
      <c r="H324" s="8"/>
      <c r="I324" s="18"/>
      <c r="K324" s="6"/>
    </row>
    <row r="325" spans="8:11" s="11" customFormat="1" x14ac:dyDescent="0.3">
      <c r="H325" s="8"/>
      <c r="I325" s="18"/>
      <c r="K325" s="6"/>
    </row>
    <row r="326" spans="8:11" s="11" customFormat="1" x14ac:dyDescent="0.3">
      <c r="H326" s="8"/>
      <c r="I326" s="18"/>
      <c r="K326" s="6"/>
    </row>
    <row r="327" spans="8:11" s="11" customFormat="1" x14ac:dyDescent="0.3">
      <c r="H327" s="8"/>
      <c r="I327" s="18"/>
      <c r="K327" s="6"/>
    </row>
    <row r="328" spans="8:11" s="11" customFormat="1" x14ac:dyDescent="0.3">
      <c r="H328" s="8"/>
      <c r="I328" s="18"/>
      <c r="K328" s="6"/>
    </row>
    <row r="329" spans="8:11" s="11" customFormat="1" x14ac:dyDescent="0.3">
      <c r="H329" s="8"/>
      <c r="I329" s="18"/>
      <c r="K329" s="6"/>
    </row>
    <row r="330" spans="8:11" s="11" customFormat="1" x14ac:dyDescent="0.3">
      <c r="H330" s="8"/>
      <c r="I330" s="18"/>
      <c r="K330" s="6"/>
    </row>
    <row r="331" spans="8:11" s="11" customFormat="1" x14ac:dyDescent="0.3">
      <c r="H331" s="8"/>
      <c r="I331" s="18"/>
      <c r="K331" s="6"/>
    </row>
    <row r="332" spans="8:11" s="11" customFormat="1" x14ac:dyDescent="0.3">
      <c r="H332" s="8"/>
      <c r="I332" s="18"/>
      <c r="K332" s="6"/>
    </row>
    <row r="333" spans="8:11" s="11" customFormat="1" x14ac:dyDescent="0.3">
      <c r="H333" s="8"/>
      <c r="I333" s="18"/>
      <c r="K333" s="6"/>
    </row>
    <row r="334" spans="8:11" s="11" customFormat="1" x14ac:dyDescent="0.3">
      <c r="H334" s="8"/>
      <c r="I334" s="18"/>
      <c r="K334" s="6"/>
    </row>
    <row r="335" spans="8:11" s="11" customFormat="1" x14ac:dyDescent="0.3">
      <c r="H335" s="8"/>
      <c r="I335" s="18"/>
      <c r="K335" s="6"/>
    </row>
    <row r="336" spans="8:11" s="11" customFormat="1" x14ac:dyDescent="0.3">
      <c r="H336" s="8"/>
      <c r="I336" s="18"/>
      <c r="K336" s="6"/>
    </row>
    <row r="337" spans="8:11" s="11" customFormat="1" x14ac:dyDescent="0.3">
      <c r="H337" s="8"/>
      <c r="I337" s="18"/>
      <c r="K337" s="6"/>
    </row>
    <row r="338" spans="8:11" s="11" customFormat="1" x14ac:dyDescent="0.3">
      <c r="H338" s="8"/>
      <c r="I338" s="18"/>
      <c r="K338" s="6"/>
    </row>
    <row r="339" spans="8:11" s="11" customFormat="1" x14ac:dyDescent="0.3">
      <c r="H339" s="8"/>
      <c r="I339" s="18"/>
      <c r="K339" s="6"/>
    </row>
    <row r="340" spans="8:11" s="11" customFormat="1" x14ac:dyDescent="0.3">
      <c r="H340" s="8"/>
      <c r="I340" s="18"/>
      <c r="K340" s="6"/>
    </row>
    <row r="341" spans="8:11" s="11" customFormat="1" x14ac:dyDescent="0.3">
      <c r="H341" s="8"/>
      <c r="I341" s="18"/>
      <c r="K341" s="6"/>
    </row>
    <row r="342" spans="8:11" s="11" customFormat="1" x14ac:dyDescent="0.3">
      <c r="H342" s="8"/>
      <c r="I342" s="18"/>
      <c r="K342" s="6"/>
    </row>
  </sheetData>
  <mergeCells count="4">
    <mergeCell ref="A1:F1"/>
    <mergeCell ref="L1:Q1"/>
    <mergeCell ref="O10:P10"/>
    <mergeCell ref="L11:M11"/>
  </mergeCells>
  <pageMargins left="0.25" right="0.25" top="0.75" bottom="0.75" header="0.3" footer="0.3"/>
  <pageSetup paperSize="9" scale="74" fitToHeight="0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8099-FA19-4F19-84F1-ABD568849F8E}">
  <sheetPr codeName="Sheet18">
    <pageSetUpPr fitToPage="1"/>
  </sheetPr>
  <dimension ref="A1:Q342"/>
  <sheetViews>
    <sheetView rightToLeft="1" zoomScale="115" zoomScaleNormal="115" workbookViewId="0">
      <pane ySplit="13" topLeftCell="A40" activePane="bottomLeft" state="frozen"/>
      <selection pane="bottomLeft" activeCell="P4" sqref="P4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7.88671875" style="2" bestFit="1" customWidth="1"/>
    <col min="4" max="4" width="9.109375" style="2" bestFit="1" customWidth="1"/>
    <col min="5" max="5" width="5.109375" style="2" bestFit="1" customWidth="1"/>
    <col min="6" max="6" width="10.44140625" style="2" bestFit="1" customWidth="1"/>
    <col min="7" max="7" width="2.44140625" style="2" customWidth="1"/>
    <col min="8" max="8" width="14.109375" style="8" bestFit="1" customWidth="1"/>
    <col min="9" max="9" width="11.44140625" style="7" bestFit="1" customWidth="1"/>
    <col min="10" max="10" width="8.5546875" style="11" bestFit="1" customWidth="1"/>
    <col min="11" max="11" width="3.33203125" style="6" customWidth="1"/>
    <col min="12" max="12" width="9.44140625" style="2" bestFit="1" customWidth="1"/>
    <col min="13" max="13" width="5.109375" style="2" bestFit="1" customWidth="1"/>
    <col min="14" max="14" width="8.5546875" style="2" bestFit="1" customWidth="1"/>
    <col min="15" max="15" width="9.109375" style="2" bestFit="1" customWidth="1"/>
    <col min="16" max="16" width="5.109375" style="2" bestFit="1" customWidth="1"/>
    <col min="17" max="17" width="11.109375" style="2" bestFit="1" customWidth="1"/>
    <col min="18" max="16384" width="8.88671875" style="2"/>
  </cols>
  <sheetData>
    <row r="1" spans="1:17" x14ac:dyDescent="0.3">
      <c r="A1" s="65" t="s">
        <v>29</v>
      </c>
      <c r="B1" s="65"/>
      <c r="C1" s="65"/>
      <c r="D1" s="65"/>
      <c r="E1" s="65"/>
      <c r="F1" s="65"/>
      <c r="H1" s="8" t="s">
        <v>38</v>
      </c>
      <c r="I1" s="7">
        <f>SUM(Table134567810111213141516171819[اللبناني])</f>
        <v>4650</v>
      </c>
      <c r="J1" s="7">
        <f>SUM(Table134567810111213141516171819[الدولار])</f>
        <v>4434</v>
      </c>
      <c r="L1" s="65" t="s">
        <v>33</v>
      </c>
      <c r="M1" s="65"/>
      <c r="N1" s="65"/>
      <c r="O1" s="65"/>
      <c r="P1" s="65"/>
      <c r="Q1" s="65"/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B3" s="2">
        <v>1</v>
      </c>
      <c r="C3" s="21">
        <f>A3*B3</f>
        <v>1</v>
      </c>
      <c r="D3" s="17">
        <v>5</v>
      </c>
      <c r="E3" s="2">
        <v>30</v>
      </c>
      <c r="F3" s="23">
        <f>D3*E3</f>
        <v>150</v>
      </c>
      <c r="G3" s="5"/>
      <c r="H3" s="10"/>
      <c r="I3" s="20"/>
      <c r="J3" s="11">
        <v>10</v>
      </c>
      <c r="L3" s="15">
        <v>1</v>
      </c>
      <c r="N3" s="21">
        <f>L3*M3</f>
        <v>0</v>
      </c>
      <c r="O3" s="17">
        <v>5</v>
      </c>
      <c r="P3" s="2">
        <v>32</v>
      </c>
      <c r="Q3" s="23">
        <f>O3*P3</f>
        <v>160</v>
      </c>
    </row>
    <row r="4" spans="1:17" x14ac:dyDescent="0.3">
      <c r="A4" s="15">
        <v>5</v>
      </c>
      <c r="B4" s="2">
        <v>2</v>
      </c>
      <c r="C4" s="21">
        <f t="shared" ref="C4:C8" si="0">A4*B4</f>
        <v>10</v>
      </c>
      <c r="D4" s="17">
        <v>10</v>
      </c>
      <c r="E4" s="2">
        <v>14</v>
      </c>
      <c r="F4" s="23">
        <f t="shared" ref="F4:F7" si="1">D4*E4</f>
        <v>140</v>
      </c>
      <c r="G4" s="5"/>
      <c r="H4" s="10"/>
      <c r="I4" s="20">
        <v>-180</v>
      </c>
      <c r="J4" s="11">
        <v>5</v>
      </c>
      <c r="L4" s="15">
        <v>5</v>
      </c>
      <c r="M4" s="2">
        <v>3</v>
      </c>
      <c r="N4" s="21">
        <f t="shared" ref="N4:N8" si="2">L4*M4</f>
        <v>15</v>
      </c>
      <c r="O4" s="17">
        <v>10</v>
      </c>
      <c r="P4" s="2">
        <v>15</v>
      </c>
      <c r="Q4" s="23">
        <f t="shared" ref="Q4:Q7" si="3">O4*P4</f>
        <v>150</v>
      </c>
    </row>
    <row r="5" spans="1:17" x14ac:dyDescent="0.3">
      <c r="A5" s="15">
        <v>10</v>
      </c>
      <c r="B5" s="2">
        <v>31</v>
      </c>
      <c r="C5" s="21">
        <f t="shared" si="0"/>
        <v>310</v>
      </c>
      <c r="D5" s="17">
        <v>20</v>
      </c>
      <c r="E5" s="2">
        <v>9</v>
      </c>
      <c r="F5" s="23">
        <f t="shared" si="1"/>
        <v>180</v>
      </c>
      <c r="G5" s="5"/>
      <c r="H5" s="10"/>
      <c r="I5" s="20"/>
      <c r="J5" s="11">
        <v>20</v>
      </c>
      <c r="L5" s="15">
        <v>10</v>
      </c>
      <c r="M5" s="2">
        <v>34</v>
      </c>
      <c r="N5" s="21">
        <f t="shared" si="2"/>
        <v>340</v>
      </c>
      <c r="O5" s="17">
        <v>20</v>
      </c>
      <c r="P5" s="2">
        <v>18</v>
      </c>
      <c r="Q5" s="23">
        <f t="shared" si="3"/>
        <v>360</v>
      </c>
    </row>
    <row r="6" spans="1:17" x14ac:dyDescent="0.3">
      <c r="A6" s="15">
        <v>20</v>
      </c>
      <c r="B6" s="2">
        <v>13</v>
      </c>
      <c r="C6" s="21">
        <f t="shared" si="0"/>
        <v>260</v>
      </c>
      <c r="D6" s="17">
        <v>50</v>
      </c>
      <c r="E6" s="2">
        <v>16</v>
      </c>
      <c r="F6" s="23">
        <f t="shared" si="1"/>
        <v>800</v>
      </c>
      <c r="G6" s="5"/>
      <c r="H6" s="10" t="s">
        <v>305</v>
      </c>
      <c r="I6" s="20">
        <v>-30</v>
      </c>
      <c r="J6" s="11">
        <v>39</v>
      </c>
      <c r="L6" s="15">
        <v>20</v>
      </c>
      <c r="M6" s="2">
        <v>8</v>
      </c>
      <c r="N6" s="21">
        <f t="shared" si="2"/>
        <v>160</v>
      </c>
      <c r="O6" s="17">
        <v>50</v>
      </c>
      <c r="P6" s="2">
        <v>17</v>
      </c>
      <c r="Q6" s="23">
        <f t="shared" si="3"/>
        <v>850</v>
      </c>
    </row>
    <row r="7" spans="1:17" x14ac:dyDescent="0.3">
      <c r="A7" s="15">
        <v>50</v>
      </c>
      <c r="C7" s="21">
        <f t="shared" si="0"/>
        <v>0</v>
      </c>
      <c r="D7" s="17">
        <v>100</v>
      </c>
      <c r="E7" s="2">
        <v>6</v>
      </c>
      <c r="F7" s="23">
        <f t="shared" si="1"/>
        <v>600</v>
      </c>
      <c r="G7" s="5"/>
      <c r="H7" s="33" t="s">
        <v>250</v>
      </c>
      <c r="I7" s="20"/>
      <c r="J7" s="11">
        <v>110</v>
      </c>
      <c r="L7" s="15">
        <v>50</v>
      </c>
      <c r="M7" s="2">
        <v>4</v>
      </c>
      <c r="N7" s="21">
        <f t="shared" si="2"/>
        <v>200</v>
      </c>
      <c r="O7" s="17">
        <v>100</v>
      </c>
      <c r="P7" s="2">
        <v>50</v>
      </c>
      <c r="Q7" s="23">
        <f t="shared" si="3"/>
        <v>5000</v>
      </c>
    </row>
    <row r="8" spans="1:17" x14ac:dyDescent="0.3">
      <c r="A8" s="15">
        <v>100</v>
      </c>
      <c r="C8" s="21">
        <f t="shared" si="0"/>
        <v>0</v>
      </c>
      <c r="D8" s="1" t="s">
        <v>1</v>
      </c>
      <c r="E8" s="1"/>
      <c r="F8" s="19">
        <f>SUM(F3:F7)</f>
        <v>1870</v>
      </c>
      <c r="G8" s="5"/>
      <c r="H8" s="10"/>
      <c r="I8" s="20">
        <v>260</v>
      </c>
      <c r="L8" s="15">
        <v>100</v>
      </c>
      <c r="M8" s="2">
        <v>43</v>
      </c>
      <c r="N8" s="21">
        <f t="shared" si="2"/>
        <v>4300</v>
      </c>
      <c r="O8" s="1" t="s">
        <v>1</v>
      </c>
      <c r="P8" s="1"/>
      <c r="Q8" s="19">
        <f>SUM(Q3:Q7)</f>
        <v>6520</v>
      </c>
    </row>
    <row r="9" spans="1:17" x14ac:dyDescent="0.3">
      <c r="A9" s="1" t="s">
        <v>1</v>
      </c>
      <c r="B9" s="1"/>
      <c r="C9" s="22">
        <f>SUM(C3:C8)</f>
        <v>581</v>
      </c>
      <c r="H9" s="10" t="s">
        <v>306</v>
      </c>
      <c r="I9" s="20"/>
      <c r="J9" s="11">
        <v>250</v>
      </c>
      <c r="L9" s="1" t="s">
        <v>1</v>
      </c>
      <c r="M9" s="1"/>
      <c r="N9" s="22">
        <f>SUM(N3:N8)</f>
        <v>5015</v>
      </c>
      <c r="Q9" s="20"/>
    </row>
    <row r="10" spans="1:17" x14ac:dyDescent="0.3">
      <c r="H10" s="10" t="s">
        <v>201</v>
      </c>
      <c r="I10" s="20">
        <v>240</v>
      </c>
      <c r="N10" s="27"/>
      <c r="O10" s="66" t="s">
        <v>40</v>
      </c>
      <c r="P10" s="66"/>
      <c r="Q10" s="24">
        <f>SUM(Table134567810111213141516171819[اللبناني])</f>
        <v>4650</v>
      </c>
    </row>
    <row r="11" spans="1:17" x14ac:dyDescent="0.3">
      <c r="H11" s="10"/>
      <c r="I11" s="20"/>
      <c r="J11" s="11">
        <v>4</v>
      </c>
      <c r="L11" s="66" t="s">
        <v>39</v>
      </c>
      <c r="M11" s="66"/>
      <c r="N11" s="12">
        <f>SUM(Table134567810111213141516171819[الدولار])</f>
        <v>4434</v>
      </c>
      <c r="Q11" s="20"/>
    </row>
    <row r="12" spans="1:17" x14ac:dyDescent="0.3">
      <c r="H12" s="10" t="s">
        <v>104</v>
      </c>
      <c r="I12" s="20">
        <v>-300</v>
      </c>
      <c r="N12" s="27"/>
      <c r="O12" s="1" t="s">
        <v>27</v>
      </c>
      <c r="P12" s="1"/>
      <c r="Q12" s="24">
        <f>Q8-Q10-F8</f>
        <v>0</v>
      </c>
    </row>
    <row r="13" spans="1:17" x14ac:dyDescent="0.3">
      <c r="C13" s="14"/>
      <c r="D13" s="14"/>
      <c r="F13" s="14"/>
      <c r="H13" s="10"/>
      <c r="I13" s="20">
        <v>180</v>
      </c>
      <c r="L13" s="1" t="s">
        <v>27</v>
      </c>
      <c r="M13" s="1"/>
      <c r="N13" s="12">
        <f>N9-N11-C9</f>
        <v>0</v>
      </c>
    </row>
    <row r="14" spans="1:17" x14ac:dyDescent="0.3">
      <c r="C14" s="14"/>
      <c r="D14" s="14"/>
      <c r="F14" s="14"/>
      <c r="H14" s="10" t="s">
        <v>307</v>
      </c>
      <c r="I14" s="18"/>
      <c r="J14" s="11">
        <v>99</v>
      </c>
    </row>
    <row r="15" spans="1:17" x14ac:dyDescent="0.3">
      <c r="C15" s="14"/>
      <c r="D15" s="14"/>
      <c r="F15" s="14"/>
      <c r="H15" s="10" t="s">
        <v>308</v>
      </c>
      <c r="I15" s="18"/>
      <c r="J15" s="11">
        <v>678</v>
      </c>
    </row>
    <row r="16" spans="1:17" x14ac:dyDescent="0.3">
      <c r="C16" s="14"/>
      <c r="D16" s="14"/>
      <c r="F16" s="14"/>
      <c r="H16" s="10" t="s">
        <v>309</v>
      </c>
      <c r="I16" s="18">
        <v>-200</v>
      </c>
      <c r="J16" s="11">
        <v>10</v>
      </c>
    </row>
    <row r="17" spans="3:12" s="11" customFormat="1" x14ac:dyDescent="0.3">
      <c r="C17" s="14"/>
      <c r="D17" s="14"/>
      <c r="E17" s="2"/>
      <c r="F17" s="14"/>
      <c r="G17" s="2"/>
      <c r="H17" s="10" t="s">
        <v>310</v>
      </c>
      <c r="I17" s="20">
        <v>2600</v>
      </c>
      <c r="J17" s="11">
        <v>5</v>
      </c>
      <c r="K17" s="6"/>
    </row>
    <row r="18" spans="3:12" s="11" customFormat="1" x14ac:dyDescent="0.3">
      <c r="C18" s="14"/>
      <c r="D18" s="2"/>
      <c r="E18" s="2"/>
      <c r="F18" s="14"/>
      <c r="G18" s="2"/>
      <c r="H18" s="10" t="s">
        <v>311</v>
      </c>
      <c r="I18" s="20">
        <v>300</v>
      </c>
      <c r="K18" s="6"/>
    </row>
    <row r="19" spans="3:12" s="11" customFormat="1" x14ac:dyDescent="0.3">
      <c r="C19" s="14"/>
      <c r="D19" s="2"/>
      <c r="E19" s="2"/>
      <c r="F19" s="2"/>
      <c r="G19" s="2"/>
      <c r="H19" s="10" t="s">
        <v>44</v>
      </c>
      <c r="I19" s="20">
        <v>350</v>
      </c>
      <c r="K19" s="6"/>
    </row>
    <row r="20" spans="3:12" s="11" customFormat="1" x14ac:dyDescent="0.3">
      <c r="C20" s="2"/>
      <c r="D20" s="2"/>
      <c r="E20" s="2"/>
      <c r="F20" s="6"/>
      <c r="G20" s="2"/>
      <c r="H20" s="10" t="s">
        <v>268</v>
      </c>
      <c r="I20" s="20">
        <v>140</v>
      </c>
      <c r="K20" s="6"/>
    </row>
    <row r="21" spans="3:12" s="11" customFormat="1" x14ac:dyDescent="0.3">
      <c r="C21" s="6"/>
      <c r="D21" s="2"/>
      <c r="E21" s="2"/>
      <c r="F21" s="2"/>
      <c r="G21" s="2"/>
      <c r="H21" s="10" t="s">
        <v>312</v>
      </c>
      <c r="I21" s="20">
        <v>150</v>
      </c>
      <c r="K21" s="6"/>
    </row>
    <row r="22" spans="3:12" s="11" customFormat="1" x14ac:dyDescent="0.3">
      <c r="C22" s="2"/>
      <c r="D22" s="2"/>
      <c r="E22" s="2"/>
      <c r="F22" s="6"/>
      <c r="G22" s="2"/>
      <c r="H22" s="10" t="s">
        <v>305</v>
      </c>
      <c r="I22" s="20"/>
      <c r="J22" s="11">
        <v>3000</v>
      </c>
      <c r="K22" s="6"/>
    </row>
    <row r="23" spans="3:12" s="11" customFormat="1" x14ac:dyDescent="0.3">
      <c r="C23" s="6"/>
      <c r="D23" s="2"/>
      <c r="E23" s="2"/>
      <c r="F23" s="2"/>
      <c r="G23" s="2"/>
      <c r="H23" s="10"/>
      <c r="I23" s="20">
        <v>180</v>
      </c>
      <c r="K23" s="6"/>
    </row>
    <row r="24" spans="3:12" s="11" customFormat="1" x14ac:dyDescent="0.3">
      <c r="C24" s="2"/>
      <c r="D24" s="2"/>
      <c r="E24" s="2"/>
      <c r="F24" s="2"/>
      <c r="G24" s="2"/>
      <c r="H24" s="10" t="s">
        <v>313</v>
      </c>
      <c r="I24" s="20">
        <v>360</v>
      </c>
      <c r="K24" s="6"/>
    </row>
    <row r="25" spans="3:12" s="11" customFormat="1" x14ac:dyDescent="0.3">
      <c r="C25" s="2"/>
      <c r="D25" s="2"/>
      <c r="E25" s="2"/>
      <c r="F25" s="2"/>
      <c r="G25" s="2" t="s">
        <v>196</v>
      </c>
      <c r="H25" s="10" t="s">
        <v>314</v>
      </c>
      <c r="I25" s="20"/>
      <c r="J25" s="11">
        <v>107</v>
      </c>
      <c r="K25" s="6" t="s">
        <v>196</v>
      </c>
    </row>
    <row r="26" spans="3:12" s="11" customFormat="1" x14ac:dyDescent="0.3">
      <c r="C26" s="2"/>
      <c r="D26" s="2"/>
      <c r="E26" s="2"/>
      <c r="F26" s="2"/>
      <c r="G26" s="2" t="s">
        <v>196</v>
      </c>
      <c r="H26" s="10" t="s">
        <v>315</v>
      </c>
      <c r="I26" s="20"/>
      <c r="J26" s="11">
        <v>1</v>
      </c>
      <c r="K26" s="6" t="s">
        <v>196</v>
      </c>
    </row>
    <row r="27" spans="3:12" s="11" customFormat="1" x14ac:dyDescent="0.3">
      <c r="C27" s="2"/>
      <c r="D27" s="2"/>
      <c r="E27" s="2"/>
      <c r="F27" s="2"/>
      <c r="G27" s="2" t="s">
        <v>196</v>
      </c>
      <c r="H27" s="10" t="s">
        <v>315</v>
      </c>
      <c r="I27" s="18">
        <v>350</v>
      </c>
      <c r="K27" s="6" t="s">
        <v>196</v>
      </c>
    </row>
    <row r="28" spans="3:12" s="11" customFormat="1" x14ac:dyDescent="0.3">
      <c r="C28" s="2"/>
      <c r="D28" s="2"/>
      <c r="E28" s="2"/>
      <c r="F28" s="2"/>
      <c r="G28" s="2" t="s">
        <v>196</v>
      </c>
      <c r="H28" s="8"/>
      <c r="I28" s="18"/>
      <c r="J28" s="11">
        <v>10</v>
      </c>
      <c r="K28" s="6" t="s">
        <v>196</v>
      </c>
    </row>
    <row r="29" spans="3:12" s="11" customFormat="1" x14ac:dyDescent="0.3">
      <c r="C29" s="2"/>
      <c r="D29" s="2"/>
      <c r="E29" s="2"/>
      <c r="F29" s="2"/>
      <c r="G29" s="2" t="s">
        <v>196</v>
      </c>
      <c r="H29" s="8"/>
      <c r="I29" s="18">
        <v>-360</v>
      </c>
      <c r="K29" s="6" t="s">
        <v>196</v>
      </c>
    </row>
    <row r="30" spans="3:12" s="11" customFormat="1" x14ac:dyDescent="0.3">
      <c r="C30" s="2"/>
      <c r="D30" s="2"/>
      <c r="E30" s="2"/>
      <c r="F30" s="2"/>
      <c r="G30" s="2" t="s">
        <v>196</v>
      </c>
      <c r="H30" s="8" t="s">
        <v>316</v>
      </c>
      <c r="I30" s="18">
        <v>150</v>
      </c>
      <c r="K30" s="6" t="s">
        <v>196</v>
      </c>
    </row>
    <row r="31" spans="3:12" s="11" customFormat="1" x14ac:dyDescent="0.3">
      <c r="C31" s="2"/>
      <c r="D31" s="2"/>
      <c r="E31" s="2"/>
      <c r="F31" s="2"/>
      <c r="G31" s="2"/>
      <c r="H31" s="8" t="s">
        <v>317</v>
      </c>
      <c r="I31" s="18">
        <v>-50</v>
      </c>
      <c r="K31" s="6"/>
    </row>
    <row r="32" spans="3:12" s="11" customFormat="1" x14ac:dyDescent="0.3">
      <c r="C32" s="2"/>
      <c r="D32" s="2"/>
      <c r="E32" s="2"/>
      <c r="F32" s="2"/>
      <c r="G32" s="2"/>
      <c r="H32" s="8" t="s">
        <v>220</v>
      </c>
      <c r="I32" s="18">
        <v>85</v>
      </c>
      <c r="K32" s="6"/>
      <c r="L32" s="11" t="s">
        <v>145</v>
      </c>
    </row>
    <row r="33" spans="8:11" s="11" customFormat="1" x14ac:dyDescent="0.3">
      <c r="H33" s="8"/>
      <c r="I33" s="18">
        <v>320</v>
      </c>
      <c r="K33" s="6"/>
    </row>
    <row r="34" spans="8:11" s="11" customFormat="1" x14ac:dyDescent="0.3">
      <c r="H34" s="8" t="s">
        <v>318</v>
      </c>
      <c r="I34" s="18">
        <v>350</v>
      </c>
      <c r="K34" s="6"/>
    </row>
    <row r="35" spans="8:11" s="11" customFormat="1" x14ac:dyDescent="0.3">
      <c r="H35" s="8" t="s">
        <v>319</v>
      </c>
      <c r="I35" s="18"/>
      <c r="J35" s="11">
        <v>2</v>
      </c>
      <c r="K35" s="6"/>
    </row>
    <row r="36" spans="8:11" s="11" customFormat="1" x14ac:dyDescent="0.3">
      <c r="H36" s="8" t="s">
        <v>320</v>
      </c>
      <c r="I36" s="18"/>
      <c r="J36" s="11">
        <v>15</v>
      </c>
      <c r="K36" s="6"/>
    </row>
    <row r="37" spans="8:11" s="11" customFormat="1" x14ac:dyDescent="0.3">
      <c r="H37" s="8" t="s">
        <v>321</v>
      </c>
      <c r="I37" s="18"/>
      <c r="J37" s="11">
        <v>10</v>
      </c>
      <c r="K37" s="6"/>
    </row>
    <row r="38" spans="8:11" s="11" customFormat="1" x14ac:dyDescent="0.3">
      <c r="H38" s="8"/>
      <c r="I38" s="18"/>
      <c r="J38" s="11">
        <v>11</v>
      </c>
      <c r="K38" s="6"/>
    </row>
    <row r="39" spans="8:11" s="11" customFormat="1" x14ac:dyDescent="0.3">
      <c r="H39" s="8" t="s">
        <v>322</v>
      </c>
      <c r="I39" s="18">
        <v>180</v>
      </c>
      <c r="J39" s="11">
        <v>20</v>
      </c>
      <c r="K39" s="6"/>
    </row>
    <row r="40" spans="8:11" s="11" customFormat="1" x14ac:dyDescent="0.3">
      <c r="H40" s="8" t="s">
        <v>178</v>
      </c>
      <c r="I40" s="18">
        <v>75</v>
      </c>
      <c r="K40" s="6"/>
    </row>
    <row r="41" spans="8:11" s="11" customFormat="1" x14ac:dyDescent="0.3">
      <c r="H41" s="8" t="s">
        <v>323</v>
      </c>
      <c r="I41" s="18">
        <v>-500</v>
      </c>
      <c r="J41" s="11">
        <v>10</v>
      </c>
      <c r="K41" s="6"/>
    </row>
    <row r="42" spans="8:11" s="11" customFormat="1" x14ac:dyDescent="0.3">
      <c r="H42" s="8" t="s">
        <v>324</v>
      </c>
      <c r="I42" s="18"/>
      <c r="J42" s="11">
        <v>18</v>
      </c>
      <c r="K42" s="6"/>
    </row>
    <row r="43" spans="8:11" s="11" customFormat="1" x14ac:dyDescent="0.3">
      <c r="H43" s="8"/>
      <c r="I43" s="18"/>
      <c r="K43" s="6"/>
    </row>
    <row r="44" spans="8:11" s="11" customFormat="1" x14ac:dyDescent="0.3">
      <c r="H44" s="8"/>
      <c r="I44" s="18"/>
      <c r="K44" s="6"/>
    </row>
    <row r="45" spans="8:11" s="11" customFormat="1" x14ac:dyDescent="0.3">
      <c r="H45" s="8"/>
      <c r="I45" s="18"/>
      <c r="K45" s="6"/>
    </row>
    <row r="46" spans="8:11" s="11" customFormat="1" x14ac:dyDescent="0.3">
      <c r="H46" s="8"/>
      <c r="I46" s="18"/>
      <c r="K46" s="6"/>
    </row>
    <row r="47" spans="8:11" s="11" customFormat="1" x14ac:dyDescent="0.3">
      <c r="H47" s="8"/>
      <c r="I47" s="18"/>
      <c r="K47" s="6"/>
    </row>
    <row r="48" spans="8:11" s="11" customFormat="1" x14ac:dyDescent="0.3">
      <c r="H48" s="8"/>
      <c r="I48" s="18"/>
      <c r="K48" s="6"/>
    </row>
    <row r="49" spans="8:11" s="11" customFormat="1" x14ac:dyDescent="0.3">
      <c r="H49" s="8"/>
      <c r="I49" s="18"/>
      <c r="K49" s="6"/>
    </row>
    <row r="50" spans="8:11" s="11" customFormat="1" x14ac:dyDescent="0.3">
      <c r="H50" s="8"/>
      <c r="I50" s="18"/>
      <c r="K50" s="6"/>
    </row>
    <row r="51" spans="8:11" s="11" customFormat="1" x14ac:dyDescent="0.3">
      <c r="H51" s="8"/>
      <c r="I51" s="18"/>
      <c r="K51" s="6"/>
    </row>
    <row r="52" spans="8:11" s="11" customFormat="1" x14ac:dyDescent="0.3">
      <c r="H52" s="8"/>
      <c r="I52" s="18"/>
      <c r="K52" s="6"/>
    </row>
    <row r="53" spans="8:11" s="11" customFormat="1" x14ac:dyDescent="0.3">
      <c r="H53" s="8"/>
      <c r="I53" s="18"/>
      <c r="K53" s="6"/>
    </row>
    <row r="54" spans="8:11" s="11" customFormat="1" x14ac:dyDescent="0.3">
      <c r="H54" s="8"/>
      <c r="I54" s="18"/>
      <c r="K54" s="6"/>
    </row>
    <row r="55" spans="8:11" s="11" customFormat="1" x14ac:dyDescent="0.3">
      <c r="H55" s="8"/>
      <c r="I55" s="18"/>
      <c r="K55" s="6"/>
    </row>
    <row r="56" spans="8:11" s="11" customFormat="1" x14ac:dyDescent="0.3">
      <c r="H56" s="8"/>
      <c r="I56" s="18"/>
      <c r="K56" s="6"/>
    </row>
    <row r="57" spans="8:11" s="11" customFormat="1" x14ac:dyDescent="0.3">
      <c r="H57" s="8"/>
      <c r="I57" s="18"/>
      <c r="K57" s="6"/>
    </row>
    <row r="58" spans="8:11" s="11" customFormat="1" x14ac:dyDescent="0.3">
      <c r="H58" s="8"/>
      <c r="I58" s="18"/>
      <c r="K58" s="6"/>
    </row>
    <row r="59" spans="8:11" s="11" customFormat="1" x14ac:dyDescent="0.3">
      <c r="H59" s="8"/>
      <c r="I59" s="18"/>
      <c r="K59" s="6"/>
    </row>
    <row r="60" spans="8:11" s="11" customFormat="1" x14ac:dyDescent="0.3">
      <c r="H60" s="8"/>
      <c r="I60" s="18"/>
      <c r="K60" s="6"/>
    </row>
    <row r="61" spans="8:11" s="11" customFormat="1" x14ac:dyDescent="0.3">
      <c r="H61" s="8"/>
      <c r="I61" s="18"/>
      <c r="K61" s="6"/>
    </row>
    <row r="62" spans="8:11" s="11" customFormat="1" x14ac:dyDescent="0.3">
      <c r="H62" s="8"/>
      <c r="I62" s="18"/>
      <c r="K62" s="6"/>
    </row>
    <row r="63" spans="8:11" s="11" customFormat="1" x14ac:dyDescent="0.3">
      <c r="H63" s="8"/>
      <c r="I63" s="18"/>
      <c r="K63" s="6"/>
    </row>
    <row r="64" spans="8:11" s="11" customFormat="1" x14ac:dyDescent="0.3">
      <c r="H64" s="8"/>
      <c r="I64" s="18"/>
      <c r="K64" s="6"/>
    </row>
    <row r="65" spans="8:11" s="11" customFormat="1" x14ac:dyDescent="0.3">
      <c r="H65" s="8"/>
      <c r="I65" s="18"/>
      <c r="K65" s="6"/>
    </row>
    <row r="66" spans="8:11" s="11" customFormat="1" x14ac:dyDescent="0.3">
      <c r="H66" s="8"/>
      <c r="I66" s="18"/>
      <c r="K66" s="6"/>
    </row>
    <row r="67" spans="8:11" s="11" customFormat="1" x14ac:dyDescent="0.3">
      <c r="H67" s="8"/>
      <c r="I67" s="18"/>
      <c r="K67" s="6"/>
    </row>
    <row r="68" spans="8:11" s="11" customFormat="1" x14ac:dyDescent="0.3">
      <c r="H68" s="8"/>
      <c r="I68" s="18"/>
      <c r="K68" s="6"/>
    </row>
    <row r="69" spans="8:11" s="11" customFormat="1" x14ac:dyDescent="0.3">
      <c r="H69" s="8"/>
      <c r="I69" s="18"/>
      <c r="K69" s="6"/>
    </row>
    <row r="70" spans="8:11" s="11" customFormat="1" x14ac:dyDescent="0.3">
      <c r="H70" s="8"/>
      <c r="I70" s="18"/>
      <c r="K70" s="6"/>
    </row>
    <row r="71" spans="8:11" s="11" customFormat="1" x14ac:dyDescent="0.3">
      <c r="H71" s="8"/>
      <c r="I71" s="18"/>
      <c r="K71" s="6"/>
    </row>
    <row r="72" spans="8:11" s="11" customFormat="1" x14ac:dyDescent="0.3">
      <c r="H72" s="8"/>
      <c r="I72" s="18"/>
      <c r="K72" s="6"/>
    </row>
    <row r="73" spans="8:11" s="11" customFormat="1" x14ac:dyDescent="0.3">
      <c r="H73" s="8"/>
      <c r="I73" s="18"/>
      <c r="K73" s="6"/>
    </row>
    <row r="74" spans="8:11" s="11" customFormat="1" x14ac:dyDescent="0.3">
      <c r="H74" s="8"/>
      <c r="I74" s="18"/>
      <c r="K74" s="6"/>
    </row>
    <row r="75" spans="8:11" s="11" customFormat="1" x14ac:dyDescent="0.3">
      <c r="H75" s="8"/>
      <c r="I75" s="18"/>
      <c r="K75" s="6"/>
    </row>
    <row r="76" spans="8:11" s="11" customFormat="1" x14ac:dyDescent="0.3">
      <c r="H76" s="8"/>
      <c r="I76" s="18"/>
      <c r="K76" s="6"/>
    </row>
    <row r="77" spans="8:11" s="11" customFormat="1" x14ac:dyDescent="0.3">
      <c r="H77" s="8"/>
      <c r="I77" s="18"/>
      <c r="K77" s="6"/>
    </row>
    <row r="78" spans="8:11" s="11" customFormat="1" x14ac:dyDescent="0.3">
      <c r="H78" s="8"/>
      <c r="I78" s="18"/>
      <c r="K78" s="6"/>
    </row>
    <row r="79" spans="8:11" s="11" customFormat="1" x14ac:dyDescent="0.3">
      <c r="H79" s="8"/>
      <c r="I79" s="18"/>
      <c r="K79" s="6"/>
    </row>
    <row r="80" spans="8:11" s="11" customFormat="1" x14ac:dyDescent="0.3">
      <c r="H80" s="8"/>
      <c r="I80" s="18"/>
      <c r="K80" s="6"/>
    </row>
    <row r="81" spans="8:11" s="11" customFormat="1" x14ac:dyDescent="0.3">
      <c r="H81" s="8"/>
      <c r="I81" s="18"/>
      <c r="K81" s="6"/>
    </row>
    <row r="82" spans="8:11" s="11" customFormat="1" x14ac:dyDescent="0.3">
      <c r="H82" s="8"/>
      <c r="I82" s="18"/>
      <c r="K82" s="6"/>
    </row>
    <row r="83" spans="8:11" s="11" customFormat="1" x14ac:dyDescent="0.3">
      <c r="H83" s="8"/>
      <c r="I83" s="18"/>
      <c r="K83" s="6"/>
    </row>
    <row r="84" spans="8:11" s="11" customFormat="1" x14ac:dyDescent="0.3">
      <c r="H84" s="8"/>
      <c r="I84" s="18"/>
      <c r="K84" s="6"/>
    </row>
    <row r="85" spans="8:11" s="11" customFormat="1" x14ac:dyDescent="0.3">
      <c r="H85" s="8"/>
      <c r="I85" s="18"/>
      <c r="K85" s="6"/>
    </row>
    <row r="86" spans="8:11" s="11" customFormat="1" x14ac:dyDescent="0.3">
      <c r="H86" s="8"/>
      <c r="I86" s="18"/>
      <c r="K86" s="6"/>
    </row>
    <row r="87" spans="8:11" s="11" customFormat="1" x14ac:dyDescent="0.3">
      <c r="H87" s="8"/>
      <c r="I87" s="18"/>
      <c r="K87" s="6"/>
    </row>
    <row r="88" spans="8:11" s="11" customFormat="1" x14ac:dyDescent="0.3">
      <c r="H88" s="8"/>
      <c r="I88" s="18"/>
      <c r="K88" s="6"/>
    </row>
    <row r="89" spans="8:11" s="11" customFormat="1" x14ac:dyDescent="0.3">
      <c r="H89" s="8"/>
      <c r="I89" s="18"/>
      <c r="K89" s="6"/>
    </row>
    <row r="90" spans="8:11" s="11" customFormat="1" x14ac:dyDescent="0.3">
      <c r="H90" s="8"/>
      <c r="I90" s="18"/>
      <c r="K90" s="6"/>
    </row>
    <row r="91" spans="8:11" s="11" customFormat="1" x14ac:dyDescent="0.3">
      <c r="H91" s="8"/>
      <c r="I91" s="18"/>
      <c r="K91" s="6"/>
    </row>
    <row r="92" spans="8:11" s="11" customFormat="1" x14ac:dyDescent="0.3">
      <c r="H92" s="8"/>
      <c r="I92" s="18"/>
      <c r="K92" s="6"/>
    </row>
    <row r="93" spans="8:11" s="11" customFormat="1" x14ac:dyDescent="0.3">
      <c r="H93" s="8"/>
      <c r="I93" s="18"/>
      <c r="K93" s="6"/>
    </row>
    <row r="94" spans="8:11" s="11" customFormat="1" x14ac:dyDescent="0.3">
      <c r="H94" s="8"/>
      <c r="I94" s="18"/>
      <c r="K94" s="6"/>
    </row>
    <row r="95" spans="8:11" s="11" customFormat="1" x14ac:dyDescent="0.3">
      <c r="H95" s="8"/>
      <c r="I95" s="18"/>
      <c r="K95" s="6"/>
    </row>
    <row r="96" spans="8:11" s="11" customFormat="1" x14ac:dyDescent="0.3">
      <c r="H96" s="8"/>
      <c r="I96" s="18"/>
      <c r="K96" s="6"/>
    </row>
    <row r="97" spans="8:11" s="11" customFormat="1" x14ac:dyDescent="0.3">
      <c r="H97" s="8"/>
      <c r="I97" s="18"/>
      <c r="K97" s="6"/>
    </row>
    <row r="98" spans="8:11" s="11" customFormat="1" x14ac:dyDescent="0.3">
      <c r="H98" s="8"/>
      <c r="I98" s="18"/>
      <c r="K98" s="6"/>
    </row>
    <row r="99" spans="8:11" s="11" customFormat="1" x14ac:dyDescent="0.3">
      <c r="H99" s="8"/>
      <c r="I99" s="18"/>
      <c r="K99" s="6"/>
    </row>
    <row r="100" spans="8:11" s="11" customFormat="1" x14ac:dyDescent="0.3">
      <c r="H100" s="8"/>
      <c r="I100" s="18"/>
      <c r="K100" s="6"/>
    </row>
    <row r="101" spans="8:11" s="11" customFormat="1" x14ac:dyDescent="0.3">
      <c r="H101" s="8"/>
      <c r="I101" s="18"/>
      <c r="K101" s="6"/>
    </row>
    <row r="102" spans="8:11" s="11" customFormat="1" x14ac:dyDescent="0.3">
      <c r="H102" s="8"/>
      <c r="I102" s="18"/>
      <c r="K102" s="6"/>
    </row>
    <row r="103" spans="8:11" s="11" customFormat="1" x14ac:dyDescent="0.3">
      <c r="H103" s="8"/>
      <c r="I103" s="18"/>
      <c r="K103" s="6"/>
    </row>
    <row r="104" spans="8:11" s="11" customFormat="1" x14ac:dyDescent="0.3">
      <c r="H104" s="8"/>
      <c r="I104" s="18"/>
      <c r="K104" s="6"/>
    </row>
    <row r="105" spans="8:11" s="11" customFormat="1" x14ac:dyDescent="0.3">
      <c r="H105" s="8"/>
      <c r="I105" s="18"/>
      <c r="K105" s="6"/>
    </row>
    <row r="106" spans="8:11" s="11" customFormat="1" x14ac:dyDescent="0.3">
      <c r="H106" s="8"/>
      <c r="I106" s="18"/>
      <c r="K106" s="6"/>
    </row>
    <row r="107" spans="8:11" s="11" customFormat="1" x14ac:dyDescent="0.3">
      <c r="H107" s="8"/>
      <c r="I107" s="18"/>
      <c r="K107" s="6"/>
    </row>
    <row r="108" spans="8:11" s="11" customFormat="1" x14ac:dyDescent="0.3">
      <c r="H108" s="8"/>
      <c r="I108" s="18"/>
      <c r="K108" s="6"/>
    </row>
    <row r="109" spans="8:11" s="11" customFormat="1" x14ac:dyDescent="0.3">
      <c r="H109" s="8"/>
      <c r="I109" s="18"/>
      <c r="K109" s="6"/>
    </row>
    <row r="110" spans="8:11" s="11" customFormat="1" x14ac:dyDescent="0.3">
      <c r="H110" s="8"/>
      <c r="I110" s="18"/>
      <c r="K110" s="6"/>
    </row>
    <row r="111" spans="8:11" s="11" customFormat="1" x14ac:dyDescent="0.3">
      <c r="H111" s="8"/>
      <c r="I111" s="18"/>
      <c r="K111" s="6"/>
    </row>
    <row r="112" spans="8:11" s="11" customFormat="1" x14ac:dyDescent="0.3">
      <c r="H112" s="8"/>
      <c r="I112" s="18"/>
      <c r="K112" s="6"/>
    </row>
    <row r="113" spans="8:11" s="11" customFormat="1" x14ac:dyDescent="0.3">
      <c r="H113" s="8"/>
      <c r="I113" s="18"/>
      <c r="K113" s="6"/>
    </row>
    <row r="114" spans="8:11" s="11" customFormat="1" x14ac:dyDescent="0.3">
      <c r="H114" s="8"/>
      <c r="I114" s="18"/>
      <c r="K114" s="6"/>
    </row>
    <row r="115" spans="8:11" s="11" customFormat="1" x14ac:dyDescent="0.3">
      <c r="H115" s="8"/>
      <c r="I115" s="18"/>
      <c r="K115" s="6"/>
    </row>
    <row r="116" spans="8:11" s="11" customFormat="1" x14ac:dyDescent="0.3">
      <c r="H116" s="8"/>
      <c r="I116" s="18"/>
      <c r="K116" s="6"/>
    </row>
    <row r="117" spans="8:11" s="11" customFormat="1" x14ac:dyDescent="0.3">
      <c r="H117" s="8"/>
      <c r="I117" s="18"/>
      <c r="K117" s="6"/>
    </row>
    <row r="118" spans="8:11" s="11" customFormat="1" x14ac:dyDescent="0.3">
      <c r="H118" s="8"/>
      <c r="I118" s="18"/>
      <c r="K118" s="6"/>
    </row>
    <row r="119" spans="8:11" s="11" customFormat="1" x14ac:dyDescent="0.3">
      <c r="H119" s="8"/>
      <c r="I119" s="18"/>
      <c r="K119" s="6"/>
    </row>
    <row r="120" spans="8:11" s="11" customFormat="1" x14ac:dyDescent="0.3">
      <c r="H120" s="8"/>
      <c r="I120" s="18"/>
      <c r="K120" s="6"/>
    </row>
    <row r="121" spans="8:11" s="11" customFormat="1" x14ac:dyDescent="0.3">
      <c r="H121" s="8"/>
      <c r="I121" s="18"/>
      <c r="K121" s="6"/>
    </row>
    <row r="122" spans="8:11" s="11" customFormat="1" x14ac:dyDescent="0.3">
      <c r="H122" s="8"/>
      <c r="I122" s="18"/>
      <c r="K122" s="6"/>
    </row>
    <row r="123" spans="8:11" s="11" customFormat="1" x14ac:dyDescent="0.3">
      <c r="H123" s="8"/>
      <c r="I123" s="18"/>
      <c r="K123" s="6"/>
    </row>
    <row r="124" spans="8:11" s="11" customFormat="1" x14ac:dyDescent="0.3">
      <c r="H124" s="8"/>
      <c r="I124" s="18"/>
      <c r="K124" s="6"/>
    </row>
    <row r="125" spans="8:11" s="11" customFormat="1" x14ac:dyDescent="0.3">
      <c r="H125" s="8"/>
      <c r="I125" s="18"/>
      <c r="K125" s="6"/>
    </row>
    <row r="126" spans="8:11" s="11" customFormat="1" x14ac:dyDescent="0.3">
      <c r="H126" s="8"/>
      <c r="I126" s="18"/>
      <c r="K126" s="6"/>
    </row>
    <row r="127" spans="8:11" s="11" customFormat="1" x14ac:dyDescent="0.3">
      <c r="H127" s="8"/>
      <c r="I127" s="18"/>
      <c r="K127" s="6"/>
    </row>
    <row r="128" spans="8:11" s="11" customFormat="1" x14ac:dyDescent="0.3">
      <c r="H128" s="8"/>
      <c r="I128" s="18"/>
      <c r="K128" s="6"/>
    </row>
    <row r="129" spans="8:11" s="11" customFormat="1" x14ac:dyDescent="0.3">
      <c r="H129" s="8"/>
      <c r="I129" s="18"/>
      <c r="K129" s="6"/>
    </row>
    <row r="130" spans="8:11" s="11" customFormat="1" x14ac:dyDescent="0.3">
      <c r="H130" s="8"/>
      <c r="I130" s="18"/>
      <c r="K130" s="6"/>
    </row>
    <row r="131" spans="8:11" s="11" customFormat="1" x14ac:dyDescent="0.3">
      <c r="H131" s="8"/>
      <c r="I131" s="18"/>
      <c r="K131" s="6"/>
    </row>
    <row r="132" spans="8:11" s="11" customFormat="1" x14ac:dyDescent="0.3">
      <c r="H132" s="8"/>
      <c r="I132" s="18"/>
      <c r="K132" s="6"/>
    </row>
    <row r="133" spans="8:11" s="11" customFormat="1" x14ac:dyDescent="0.3">
      <c r="H133" s="8"/>
      <c r="I133" s="18"/>
      <c r="K133" s="6"/>
    </row>
    <row r="134" spans="8:11" s="11" customFormat="1" x14ac:dyDescent="0.3">
      <c r="H134" s="8"/>
      <c r="I134" s="18"/>
      <c r="K134" s="6"/>
    </row>
    <row r="135" spans="8:11" s="11" customFormat="1" x14ac:dyDescent="0.3">
      <c r="H135" s="8"/>
      <c r="I135" s="18"/>
      <c r="K135" s="6"/>
    </row>
    <row r="136" spans="8:11" s="11" customFormat="1" x14ac:dyDescent="0.3">
      <c r="H136" s="8"/>
      <c r="I136" s="18"/>
      <c r="K136" s="6"/>
    </row>
    <row r="137" spans="8:11" s="11" customFormat="1" x14ac:dyDescent="0.3">
      <c r="H137" s="8"/>
      <c r="I137" s="18"/>
      <c r="K137" s="6"/>
    </row>
    <row r="138" spans="8:11" s="11" customFormat="1" x14ac:dyDescent="0.3">
      <c r="H138" s="8"/>
      <c r="I138" s="18"/>
      <c r="K138" s="6"/>
    </row>
    <row r="139" spans="8:11" s="11" customFormat="1" x14ac:dyDescent="0.3">
      <c r="H139" s="8"/>
      <c r="I139" s="18"/>
      <c r="K139" s="6"/>
    </row>
    <row r="140" spans="8:11" s="11" customFormat="1" x14ac:dyDescent="0.3">
      <c r="H140" s="8"/>
      <c r="I140" s="18"/>
      <c r="K140" s="6"/>
    </row>
    <row r="141" spans="8:11" s="11" customFormat="1" x14ac:dyDescent="0.3">
      <c r="H141" s="8"/>
      <c r="I141" s="18"/>
      <c r="K141" s="6"/>
    </row>
    <row r="142" spans="8:11" s="11" customFormat="1" x14ac:dyDescent="0.3">
      <c r="H142" s="8"/>
      <c r="I142" s="18"/>
      <c r="K142" s="6"/>
    </row>
    <row r="143" spans="8:11" s="11" customFormat="1" x14ac:dyDescent="0.3">
      <c r="H143" s="8"/>
      <c r="I143" s="18"/>
      <c r="K143" s="6"/>
    </row>
    <row r="144" spans="8:11" s="11" customFormat="1" x14ac:dyDescent="0.3">
      <c r="H144" s="8"/>
      <c r="I144" s="18"/>
      <c r="K144" s="6"/>
    </row>
    <row r="145" spans="8:11" s="11" customFormat="1" x14ac:dyDescent="0.3">
      <c r="H145" s="8"/>
      <c r="I145" s="18"/>
      <c r="K145" s="6"/>
    </row>
    <row r="146" spans="8:11" s="11" customFormat="1" x14ac:dyDescent="0.3">
      <c r="H146" s="8"/>
      <c r="I146" s="18"/>
      <c r="K146" s="6"/>
    </row>
    <row r="147" spans="8:11" s="11" customFormat="1" x14ac:dyDescent="0.3">
      <c r="H147" s="8"/>
      <c r="I147" s="18"/>
      <c r="K147" s="6"/>
    </row>
    <row r="148" spans="8:11" s="11" customFormat="1" x14ac:dyDescent="0.3">
      <c r="H148" s="8"/>
      <c r="I148" s="18"/>
      <c r="K148" s="6"/>
    </row>
    <row r="149" spans="8:11" s="11" customFormat="1" x14ac:dyDescent="0.3">
      <c r="H149" s="8"/>
      <c r="I149" s="18"/>
      <c r="K149" s="6"/>
    </row>
    <row r="150" spans="8:11" s="11" customFormat="1" x14ac:dyDescent="0.3">
      <c r="H150" s="8"/>
      <c r="I150" s="18"/>
      <c r="K150" s="6"/>
    </row>
    <row r="151" spans="8:11" s="11" customFormat="1" x14ac:dyDescent="0.3">
      <c r="H151" s="8"/>
      <c r="I151" s="18"/>
      <c r="K151" s="6"/>
    </row>
    <row r="152" spans="8:11" s="11" customFormat="1" x14ac:dyDescent="0.3">
      <c r="H152" s="8"/>
      <c r="I152" s="18"/>
      <c r="K152" s="6"/>
    </row>
    <row r="153" spans="8:11" s="11" customFormat="1" x14ac:dyDescent="0.3">
      <c r="H153" s="8"/>
      <c r="I153" s="18"/>
      <c r="K153" s="6"/>
    </row>
    <row r="154" spans="8:11" s="11" customFormat="1" x14ac:dyDescent="0.3">
      <c r="H154" s="8"/>
      <c r="I154" s="18"/>
      <c r="K154" s="6"/>
    </row>
    <row r="155" spans="8:11" s="11" customFormat="1" x14ac:dyDescent="0.3">
      <c r="H155" s="8"/>
      <c r="I155" s="18"/>
      <c r="K155" s="6"/>
    </row>
    <row r="156" spans="8:11" s="11" customFormat="1" x14ac:dyDescent="0.3">
      <c r="H156" s="8"/>
      <c r="I156" s="18"/>
      <c r="K156" s="6"/>
    </row>
    <row r="157" spans="8:11" s="11" customFormat="1" x14ac:dyDescent="0.3">
      <c r="H157" s="8"/>
      <c r="I157" s="18"/>
      <c r="K157" s="6"/>
    </row>
    <row r="158" spans="8:11" s="11" customFormat="1" x14ac:dyDescent="0.3">
      <c r="H158" s="8"/>
      <c r="I158" s="18"/>
      <c r="K158" s="6"/>
    </row>
    <row r="159" spans="8:11" s="11" customFormat="1" x14ac:dyDescent="0.3">
      <c r="H159" s="8"/>
      <c r="I159" s="18"/>
      <c r="K159" s="6"/>
    </row>
    <row r="160" spans="8:11" s="11" customFormat="1" x14ac:dyDescent="0.3">
      <c r="H160" s="8"/>
      <c r="I160" s="18"/>
      <c r="K160" s="6"/>
    </row>
    <row r="161" spans="8:11" s="11" customFormat="1" x14ac:dyDescent="0.3">
      <c r="H161" s="8"/>
      <c r="I161" s="18"/>
      <c r="K161" s="6"/>
    </row>
    <row r="162" spans="8:11" s="11" customFormat="1" x14ac:dyDescent="0.3">
      <c r="H162" s="8"/>
      <c r="I162" s="18"/>
      <c r="K162" s="6"/>
    </row>
    <row r="163" spans="8:11" s="11" customFormat="1" x14ac:dyDescent="0.3">
      <c r="H163" s="8"/>
      <c r="I163" s="18"/>
      <c r="K163" s="6"/>
    </row>
    <row r="164" spans="8:11" s="11" customFormat="1" x14ac:dyDescent="0.3">
      <c r="H164" s="8"/>
      <c r="I164" s="18"/>
      <c r="K164" s="6"/>
    </row>
    <row r="165" spans="8:11" s="11" customFormat="1" x14ac:dyDescent="0.3">
      <c r="H165" s="8"/>
      <c r="I165" s="18"/>
      <c r="K165" s="6"/>
    </row>
    <row r="166" spans="8:11" s="11" customFormat="1" x14ac:dyDescent="0.3">
      <c r="H166" s="8"/>
      <c r="I166" s="18"/>
      <c r="K166" s="6"/>
    </row>
    <row r="167" spans="8:11" s="11" customFormat="1" x14ac:dyDescent="0.3">
      <c r="H167" s="8"/>
      <c r="I167" s="18"/>
      <c r="K167" s="6"/>
    </row>
    <row r="168" spans="8:11" s="11" customFormat="1" x14ac:dyDescent="0.3">
      <c r="H168" s="8"/>
      <c r="I168" s="18"/>
      <c r="K168" s="6"/>
    </row>
    <row r="169" spans="8:11" s="11" customFormat="1" x14ac:dyDescent="0.3">
      <c r="H169" s="8"/>
      <c r="I169" s="18"/>
      <c r="K169" s="6"/>
    </row>
    <row r="170" spans="8:11" s="11" customFormat="1" x14ac:dyDescent="0.3">
      <c r="H170" s="8"/>
      <c r="I170" s="18"/>
      <c r="K170" s="6"/>
    </row>
    <row r="171" spans="8:11" s="11" customFormat="1" x14ac:dyDescent="0.3">
      <c r="H171" s="8"/>
      <c r="I171" s="18"/>
      <c r="K171" s="6"/>
    </row>
    <row r="172" spans="8:11" s="11" customFormat="1" x14ac:dyDescent="0.3">
      <c r="H172" s="8"/>
      <c r="I172" s="18"/>
      <c r="K172" s="6"/>
    </row>
    <row r="173" spans="8:11" s="11" customFormat="1" x14ac:dyDescent="0.3">
      <c r="H173" s="8"/>
      <c r="I173" s="18"/>
      <c r="K173" s="6"/>
    </row>
    <row r="174" spans="8:11" s="11" customFormat="1" x14ac:dyDescent="0.3">
      <c r="H174" s="8"/>
      <c r="I174" s="18"/>
      <c r="K174" s="6"/>
    </row>
    <row r="175" spans="8:11" s="11" customFormat="1" x14ac:dyDescent="0.3">
      <c r="H175" s="8"/>
      <c r="I175" s="18"/>
      <c r="K175" s="6"/>
    </row>
    <row r="176" spans="8:11" s="11" customFormat="1" x14ac:dyDescent="0.3">
      <c r="H176" s="8"/>
      <c r="I176" s="18"/>
      <c r="K176" s="6"/>
    </row>
    <row r="177" spans="8:11" s="11" customFormat="1" x14ac:dyDescent="0.3">
      <c r="H177" s="8"/>
      <c r="I177" s="18"/>
      <c r="K177" s="6"/>
    </row>
    <row r="178" spans="8:11" s="11" customFormat="1" x14ac:dyDescent="0.3">
      <c r="H178" s="8"/>
      <c r="I178" s="18"/>
      <c r="K178" s="6"/>
    </row>
    <row r="179" spans="8:11" s="11" customFormat="1" x14ac:dyDescent="0.3">
      <c r="H179" s="8"/>
      <c r="I179" s="18"/>
      <c r="K179" s="6"/>
    </row>
    <row r="180" spans="8:11" s="11" customFormat="1" x14ac:dyDescent="0.3">
      <c r="H180" s="8"/>
      <c r="I180" s="18"/>
      <c r="K180" s="6"/>
    </row>
    <row r="181" spans="8:11" s="11" customFormat="1" x14ac:dyDescent="0.3">
      <c r="H181" s="8"/>
      <c r="I181" s="18"/>
      <c r="K181" s="6"/>
    </row>
    <row r="182" spans="8:11" s="11" customFormat="1" x14ac:dyDescent="0.3">
      <c r="H182" s="8"/>
      <c r="I182" s="18"/>
      <c r="K182" s="6"/>
    </row>
    <row r="183" spans="8:11" s="11" customFormat="1" x14ac:dyDescent="0.3">
      <c r="H183" s="8"/>
      <c r="I183" s="18"/>
      <c r="K183" s="6"/>
    </row>
    <row r="184" spans="8:11" s="11" customFormat="1" x14ac:dyDescent="0.3">
      <c r="H184" s="8"/>
      <c r="I184" s="18"/>
      <c r="K184" s="6"/>
    </row>
    <row r="185" spans="8:11" s="11" customFormat="1" x14ac:dyDescent="0.3">
      <c r="H185" s="8"/>
      <c r="I185" s="18"/>
      <c r="K185" s="6"/>
    </row>
    <row r="186" spans="8:11" s="11" customFormat="1" x14ac:dyDescent="0.3">
      <c r="H186" s="8"/>
      <c r="I186" s="18"/>
      <c r="K186" s="6"/>
    </row>
    <row r="187" spans="8:11" s="11" customFormat="1" x14ac:dyDescent="0.3">
      <c r="H187" s="8"/>
      <c r="I187" s="18"/>
      <c r="K187" s="6"/>
    </row>
    <row r="188" spans="8:11" s="11" customFormat="1" x14ac:dyDescent="0.3">
      <c r="H188" s="8"/>
      <c r="I188" s="18"/>
      <c r="K188" s="6"/>
    </row>
    <row r="189" spans="8:11" s="11" customFormat="1" x14ac:dyDescent="0.3">
      <c r="H189" s="8"/>
      <c r="I189" s="18"/>
      <c r="K189" s="6"/>
    </row>
    <row r="190" spans="8:11" s="11" customFormat="1" x14ac:dyDescent="0.3">
      <c r="H190" s="8"/>
      <c r="I190" s="18"/>
      <c r="K190" s="6"/>
    </row>
    <row r="191" spans="8:11" s="11" customFormat="1" x14ac:dyDescent="0.3">
      <c r="H191" s="8"/>
      <c r="I191" s="18"/>
      <c r="K191" s="6"/>
    </row>
    <row r="192" spans="8:11" s="11" customFormat="1" x14ac:dyDescent="0.3">
      <c r="H192" s="8"/>
      <c r="I192" s="18"/>
      <c r="K192" s="6"/>
    </row>
    <row r="193" spans="8:11" s="11" customFormat="1" x14ac:dyDescent="0.3">
      <c r="H193" s="8"/>
      <c r="I193" s="18"/>
      <c r="K193" s="6"/>
    </row>
    <row r="194" spans="8:11" s="11" customFormat="1" x14ac:dyDescent="0.3">
      <c r="H194" s="8"/>
      <c r="I194" s="18"/>
      <c r="K194" s="6"/>
    </row>
    <row r="195" spans="8:11" s="11" customFormat="1" x14ac:dyDescent="0.3">
      <c r="H195" s="8"/>
      <c r="I195" s="18"/>
      <c r="K195" s="6"/>
    </row>
    <row r="196" spans="8:11" s="11" customFormat="1" x14ac:dyDescent="0.3">
      <c r="H196" s="8"/>
      <c r="I196" s="18"/>
      <c r="K196" s="6"/>
    </row>
    <row r="197" spans="8:11" s="11" customFormat="1" x14ac:dyDescent="0.3">
      <c r="H197" s="8"/>
      <c r="I197" s="18"/>
      <c r="K197" s="6"/>
    </row>
    <row r="198" spans="8:11" s="11" customFormat="1" x14ac:dyDescent="0.3">
      <c r="H198" s="8"/>
      <c r="I198" s="18"/>
      <c r="K198" s="6"/>
    </row>
    <row r="199" spans="8:11" s="11" customFormat="1" x14ac:dyDescent="0.3">
      <c r="H199" s="8"/>
      <c r="I199" s="18"/>
      <c r="K199" s="6"/>
    </row>
    <row r="200" spans="8:11" s="11" customFormat="1" x14ac:dyDescent="0.3">
      <c r="H200" s="8"/>
      <c r="I200" s="18"/>
      <c r="K200" s="6"/>
    </row>
    <row r="201" spans="8:11" s="11" customFormat="1" x14ac:dyDescent="0.3">
      <c r="H201" s="8"/>
      <c r="I201" s="18"/>
      <c r="K201" s="6"/>
    </row>
    <row r="202" spans="8:11" s="11" customFormat="1" x14ac:dyDescent="0.3">
      <c r="H202" s="8"/>
      <c r="I202" s="18"/>
      <c r="K202" s="6"/>
    </row>
    <row r="203" spans="8:11" s="11" customFormat="1" x14ac:dyDescent="0.3">
      <c r="H203" s="8"/>
      <c r="I203" s="18"/>
      <c r="K203" s="6"/>
    </row>
    <row r="204" spans="8:11" s="11" customFormat="1" x14ac:dyDescent="0.3">
      <c r="H204" s="8"/>
      <c r="I204" s="18"/>
      <c r="K204" s="6"/>
    </row>
    <row r="205" spans="8:11" s="11" customFormat="1" x14ac:dyDescent="0.3">
      <c r="H205" s="8"/>
      <c r="I205" s="18"/>
      <c r="K205" s="6"/>
    </row>
    <row r="206" spans="8:11" s="11" customFormat="1" x14ac:dyDescent="0.3">
      <c r="H206" s="8"/>
      <c r="I206" s="18"/>
      <c r="K206" s="6"/>
    </row>
    <row r="207" spans="8:11" s="11" customFormat="1" x14ac:dyDescent="0.3">
      <c r="H207" s="8"/>
      <c r="I207" s="18"/>
      <c r="K207" s="6"/>
    </row>
    <row r="208" spans="8:11" s="11" customFormat="1" x14ac:dyDescent="0.3">
      <c r="H208" s="8"/>
      <c r="I208" s="18"/>
      <c r="K208" s="6"/>
    </row>
    <row r="209" spans="8:11" s="11" customFormat="1" x14ac:dyDescent="0.3">
      <c r="H209" s="8"/>
      <c r="I209" s="18"/>
      <c r="K209" s="6"/>
    </row>
    <row r="210" spans="8:11" s="11" customFormat="1" x14ac:dyDescent="0.3">
      <c r="H210" s="8"/>
      <c r="I210" s="18"/>
      <c r="K210" s="6"/>
    </row>
    <row r="211" spans="8:11" s="11" customFormat="1" x14ac:dyDescent="0.3">
      <c r="H211" s="8"/>
      <c r="I211" s="18"/>
      <c r="K211" s="6"/>
    </row>
    <row r="212" spans="8:11" s="11" customFormat="1" x14ac:dyDescent="0.3">
      <c r="H212" s="8"/>
      <c r="I212" s="18"/>
      <c r="K212" s="6"/>
    </row>
    <row r="213" spans="8:11" s="11" customFormat="1" x14ac:dyDescent="0.3">
      <c r="H213" s="8"/>
      <c r="I213" s="18"/>
      <c r="K213" s="6"/>
    </row>
    <row r="214" spans="8:11" s="11" customFormat="1" x14ac:dyDescent="0.3">
      <c r="H214" s="8"/>
      <c r="I214" s="18"/>
      <c r="K214" s="6"/>
    </row>
    <row r="215" spans="8:11" s="11" customFormat="1" x14ac:dyDescent="0.3">
      <c r="H215" s="8"/>
      <c r="I215" s="18"/>
      <c r="K215" s="6"/>
    </row>
    <row r="216" spans="8:11" s="11" customFormat="1" x14ac:dyDescent="0.3">
      <c r="H216" s="8"/>
      <c r="I216" s="18"/>
      <c r="K216" s="6"/>
    </row>
    <row r="217" spans="8:11" s="11" customFormat="1" x14ac:dyDescent="0.3">
      <c r="H217" s="8"/>
      <c r="I217" s="18"/>
      <c r="K217" s="6"/>
    </row>
    <row r="218" spans="8:11" s="11" customFormat="1" x14ac:dyDescent="0.3">
      <c r="H218" s="8"/>
      <c r="I218" s="18"/>
      <c r="K218" s="6"/>
    </row>
    <row r="219" spans="8:11" s="11" customFormat="1" x14ac:dyDescent="0.3">
      <c r="H219" s="8"/>
      <c r="I219" s="18"/>
      <c r="K219" s="6"/>
    </row>
    <row r="220" spans="8:11" s="11" customFormat="1" x14ac:dyDescent="0.3">
      <c r="H220" s="8"/>
      <c r="I220" s="18"/>
      <c r="K220" s="6"/>
    </row>
    <row r="221" spans="8:11" s="11" customFormat="1" x14ac:dyDescent="0.3">
      <c r="H221" s="8"/>
      <c r="I221" s="18"/>
      <c r="K221" s="6"/>
    </row>
    <row r="222" spans="8:11" s="11" customFormat="1" x14ac:dyDescent="0.3">
      <c r="H222" s="8"/>
      <c r="I222" s="18"/>
      <c r="K222" s="6"/>
    </row>
    <row r="223" spans="8:11" s="11" customFormat="1" x14ac:dyDescent="0.3">
      <c r="H223" s="8"/>
      <c r="I223" s="18"/>
      <c r="K223" s="6"/>
    </row>
    <row r="224" spans="8:11" s="11" customFormat="1" x14ac:dyDescent="0.3">
      <c r="H224" s="8"/>
      <c r="I224" s="18"/>
      <c r="K224" s="6"/>
    </row>
    <row r="225" spans="8:11" s="11" customFormat="1" x14ac:dyDescent="0.3">
      <c r="H225" s="8"/>
      <c r="I225" s="18"/>
      <c r="K225" s="6"/>
    </row>
    <row r="226" spans="8:11" s="11" customFormat="1" x14ac:dyDescent="0.3">
      <c r="H226" s="8"/>
      <c r="I226" s="18"/>
      <c r="K226" s="6"/>
    </row>
    <row r="227" spans="8:11" s="11" customFormat="1" x14ac:dyDescent="0.3">
      <c r="H227" s="8"/>
      <c r="I227" s="18"/>
      <c r="K227" s="6"/>
    </row>
    <row r="228" spans="8:11" s="11" customFormat="1" x14ac:dyDescent="0.3">
      <c r="H228" s="8"/>
      <c r="I228" s="18"/>
      <c r="K228" s="6"/>
    </row>
    <row r="229" spans="8:11" s="11" customFormat="1" x14ac:dyDescent="0.3">
      <c r="H229" s="8"/>
      <c r="I229" s="18"/>
      <c r="K229" s="6"/>
    </row>
    <row r="230" spans="8:11" s="11" customFormat="1" x14ac:dyDescent="0.3">
      <c r="H230" s="8"/>
      <c r="I230" s="18"/>
      <c r="K230" s="6"/>
    </row>
    <row r="231" spans="8:11" s="11" customFormat="1" x14ac:dyDescent="0.3">
      <c r="H231" s="8"/>
      <c r="I231" s="18"/>
      <c r="K231" s="6"/>
    </row>
    <row r="232" spans="8:11" s="11" customFormat="1" x14ac:dyDescent="0.3">
      <c r="H232" s="8"/>
      <c r="I232" s="18"/>
      <c r="K232" s="6"/>
    </row>
    <row r="233" spans="8:11" s="11" customFormat="1" x14ac:dyDescent="0.3">
      <c r="H233" s="8"/>
      <c r="I233" s="18"/>
      <c r="K233" s="6"/>
    </row>
    <row r="234" spans="8:11" s="11" customFormat="1" x14ac:dyDescent="0.3">
      <c r="H234" s="8"/>
      <c r="I234" s="18"/>
      <c r="K234" s="6"/>
    </row>
    <row r="235" spans="8:11" s="11" customFormat="1" x14ac:dyDescent="0.3">
      <c r="H235" s="8"/>
      <c r="I235" s="18"/>
      <c r="K235" s="6"/>
    </row>
    <row r="236" spans="8:11" s="11" customFormat="1" x14ac:dyDescent="0.3">
      <c r="H236" s="8"/>
      <c r="I236" s="18"/>
      <c r="K236" s="6"/>
    </row>
    <row r="237" spans="8:11" s="11" customFormat="1" x14ac:dyDescent="0.3">
      <c r="H237" s="8"/>
      <c r="I237" s="18"/>
      <c r="K237" s="6"/>
    </row>
    <row r="238" spans="8:11" s="11" customFormat="1" x14ac:dyDescent="0.3">
      <c r="H238" s="8"/>
      <c r="I238" s="18"/>
      <c r="K238" s="6"/>
    </row>
    <row r="239" spans="8:11" s="11" customFormat="1" x14ac:dyDescent="0.3">
      <c r="H239" s="8"/>
      <c r="I239" s="18"/>
      <c r="K239" s="6"/>
    </row>
    <row r="240" spans="8:11" s="11" customFormat="1" x14ac:dyDescent="0.3">
      <c r="H240" s="8"/>
      <c r="I240" s="18"/>
      <c r="K240" s="6"/>
    </row>
    <row r="241" spans="8:11" s="11" customFormat="1" x14ac:dyDescent="0.3">
      <c r="H241" s="8"/>
      <c r="I241" s="18"/>
      <c r="K241" s="6"/>
    </row>
    <row r="242" spans="8:11" s="11" customFormat="1" x14ac:dyDescent="0.3">
      <c r="H242" s="8"/>
      <c r="I242" s="18"/>
      <c r="K242" s="6"/>
    </row>
    <row r="243" spans="8:11" s="11" customFormat="1" x14ac:dyDescent="0.3">
      <c r="H243" s="8"/>
      <c r="I243" s="18"/>
      <c r="K243" s="6"/>
    </row>
    <row r="244" spans="8:11" s="11" customFormat="1" x14ac:dyDescent="0.3">
      <c r="H244" s="8"/>
      <c r="I244" s="18"/>
      <c r="K244" s="6"/>
    </row>
    <row r="245" spans="8:11" s="11" customFormat="1" x14ac:dyDescent="0.3">
      <c r="H245" s="8"/>
      <c r="I245" s="18"/>
      <c r="K245" s="6"/>
    </row>
    <row r="246" spans="8:11" s="11" customFormat="1" x14ac:dyDescent="0.3">
      <c r="H246" s="8"/>
      <c r="I246" s="18"/>
      <c r="K246" s="6"/>
    </row>
    <row r="247" spans="8:11" s="11" customFormat="1" x14ac:dyDescent="0.3">
      <c r="H247" s="8"/>
      <c r="I247" s="18"/>
      <c r="K247" s="6"/>
    </row>
    <row r="248" spans="8:11" s="11" customFormat="1" x14ac:dyDescent="0.3">
      <c r="H248" s="8"/>
      <c r="I248" s="18"/>
      <c r="K248" s="6"/>
    </row>
    <row r="249" spans="8:11" s="11" customFormat="1" x14ac:dyDescent="0.3">
      <c r="H249" s="8"/>
      <c r="I249" s="18"/>
      <c r="K249" s="6"/>
    </row>
    <row r="250" spans="8:11" s="11" customFormat="1" x14ac:dyDescent="0.3">
      <c r="H250" s="8"/>
      <c r="I250" s="18"/>
      <c r="K250" s="6"/>
    </row>
    <row r="251" spans="8:11" s="11" customFormat="1" x14ac:dyDescent="0.3">
      <c r="H251" s="8"/>
      <c r="I251" s="18"/>
      <c r="K251" s="6"/>
    </row>
    <row r="252" spans="8:11" s="11" customFormat="1" x14ac:dyDescent="0.3">
      <c r="H252" s="8"/>
      <c r="I252" s="18"/>
      <c r="K252" s="6"/>
    </row>
    <row r="253" spans="8:11" s="11" customFormat="1" x14ac:dyDescent="0.3">
      <c r="H253" s="8"/>
      <c r="I253" s="18"/>
      <c r="K253" s="6"/>
    </row>
    <row r="254" spans="8:11" s="11" customFormat="1" x14ac:dyDescent="0.3">
      <c r="H254" s="8"/>
      <c r="I254" s="18"/>
      <c r="K254" s="6"/>
    </row>
    <row r="255" spans="8:11" s="11" customFormat="1" x14ac:dyDescent="0.3">
      <c r="H255" s="8"/>
      <c r="I255" s="18"/>
      <c r="K255" s="6"/>
    </row>
    <row r="256" spans="8:11" s="11" customFormat="1" x14ac:dyDescent="0.3">
      <c r="H256" s="8"/>
      <c r="I256" s="18"/>
      <c r="K256" s="6"/>
    </row>
    <row r="257" spans="8:11" s="11" customFormat="1" x14ac:dyDescent="0.3">
      <c r="H257" s="8"/>
      <c r="I257" s="18"/>
      <c r="K257" s="6"/>
    </row>
    <row r="258" spans="8:11" s="11" customFormat="1" x14ac:dyDescent="0.3">
      <c r="H258" s="8"/>
      <c r="I258" s="18"/>
      <c r="K258" s="6"/>
    </row>
    <row r="259" spans="8:11" s="11" customFormat="1" x14ac:dyDescent="0.3">
      <c r="H259" s="8"/>
      <c r="I259" s="18"/>
      <c r="K259" s="6"/>
    </row>
    <row r="260" spans="8:11" s="11" customFormat="1" x14ac:dyDescent="0.3">
      <c r="H260" s="8"/>
      <c r="I260" s="18"/>
      <c r="K260" s="6"/>
    </row>
    <row r="261" spans="8:11" s="11" customFormat="1" x14ac:dyDescent="0.3">
      <c r="H261" s="8"/>
      <c r="I261" s="18"/>
      <c r="K261" s="6"/>
    </row>
    <row r="262" spans="8:11" s="11" customFormat="1" x14ac:dyDescent="0.3">
      <c r="H262" s="8"/>
      <c r="I262" s="18"/>
      <c r="K262" s="6"/>
    </row>
    <row r="263" spans="8:11" s="11" customFormat="1" x14ac:dyDescent="0.3">
      <c r="H263" s="8"/>
      <c r="I263" s="18"/>
      <c r="K263" s="6"/>
    </row>
    <row r="264" spans="8:11" s="11" customFormat="1" x14ac:dyDescent="0.3">
      <c r="H264" s="8"/>
      <c r="I264" s="18"/>
      <c r="K264" s="6"/>
    </row>
    <row r="265" spans="8:11" s="11" customFormat="1" x14ac:dyDescent="0.3">
      <c r="H265" s="8"/>
      <c r="I265" s="18"/>
      <c r="K265" s="6"/>
    </row>
    <row r="266" spans="8:11" s="11" customFormat="1" x14ac:dyDescent="0.3">
      <c r="H266" s="8"/>
      <c r="I266" s="18"/>
      <c r="K266" s="6"/>
    </row>
    <row r="267" spans="8:11" s="11" customFormat="1" x14ac:dyDescent="0.3">
      <c r="H267" s="8"/>
      <c r="I267" s="18"/>
      <c r="K267" s="6"/>
    </row>
    <row r="268" spans="8:11" s="11" customFormat="1" x14ac:dyDescent="0.3">
      <c r="H268" s="8"/>
      <c r="I268" s="18"/>
      <c r="K268" s="6"/>
    </row>
    <row r="269" spans="8:11" s="11" customFormat="1" x14ac:dyDescent="0.3">
      <c r="H269" s="8"/>
      <c r="I269" s="18"/>
      <c r="K269" s="6"/>
    </row>
    <row r="270" spans="8:11" s="11" customFormat="1" x14ac:dyDescent="0.3">
      <c r="H270" s="8"/>
      <c r="I270" s="18"/>
      <c r="K270" s="6"/>
    </row>
    <row r="271" spans="8:11" s="11" customFormat="1" x14ac:dyDescent="0.3">
      <c r="H271" s="8"/>
      <c r="I271" s="18"/>
      <c r="K271" s="6"/>
    </row>
    <row r="272" spans="8:11" s="11" customFormat="1" x14ac:dyDescent="0.3">
      <c r="H272" s="8"/>
      <c r="I272" s="18"/>
      <c r="K272" s="6"/>
    </row>
    <row r="273" spans="8:11" s="11" customFormat="1" x14ac:dyDescent="0.3">
      <c r="H273" s="8"/>
      <c r="I273" s="18"/>
      <c r="K273" s="6"/>
    </row>
    <row r="274" spans="8:11" s="11" customFormat="1" x14ac:dyDescent="0.3">
      <c r="H274" s="8"/>
      <c r="I274" s="18"/>
      <c r="K274" s="6"/>
    </row>
    <row r="275" spans="8:11" s="11" customFormat="1" x14ac:dyDescent="0.3">
      <c r="H275" s="8"/>
      <c r="I275" s="18"/>
      <c r="K275" s="6"/>
    </row>
    <row r="276" spans="8:11" s="11" customFormat="1" x14ac:dyDescent="0.3">
      <c r="H276" s="8"/>
      <c r="I276" s="18"/>
      <c r="K276" s="6"/>
    </row>
    <row r="277" spans="8:11" s="11" customFormat="1" x14ac:dyDescent="0.3">
      <c r="H277" s="8"/>
      <c r="I277" s="18"/>
      <c r="K277" s="6"/>
    </row>
    <row r="278" spans="8:11" s="11" customFormat="1" x14ac:dyDescent="0.3">
      <c r="H278" s="8"/>
      <c r="I278" s="18"/>
      <c r="K278" s="6"/>
    </row>
    <row r="279" spans="8:11" s="11" customFormat="1" x14ac:dyDescent="0.3">
      <c r="H279" s="8"/>
      <c r="I279" s="18"/>
      <c r="K279" s="6"/>
    </row>
    <row r="280" spans="8:11" s="11" customFormat="1" x14ac:dyDescent="0.3">
      <c r="H280" s="8"/>
      <c r="I280" s="18"/>
      <c r="K280" s="6"/>
    </row>
    <row r="281" spans="8:11" s="11" customFormat="1" x14ac:dyDescent="0.3">
      <c r="H281" s="8"/>
      <c r="I281" s="18"/>
      <c r="K281" s="6"/>
    </row>
    <row r="282" spans="8:11" s="11" customFormat="1" x14ac:dyDescent="0.3">
      <c r="H282" s="8"/>
      <c r="I282" s="18"/>
      <c r="K282" s="6"/>
    </row>
    <row r="283" spans="8:11" s="11" customFormat="1" x14ac:dyDescent="0.3">
      <c r="H283" s="8"/>
      <c r="I283" s="18"/>
      <c r="K283" s="6"/>
    </row>
    <row r="284" spans="8:11" s="11" customFormat="1" x14ac:dyDescent="0.3">
      <c r="H284" s="8"/>
      <c r="I284" s="18"/>
      <c r="K284" s="6"/>
    </row>
    <row r="285" spans="8:11" s="11" customFormat="1" x14ac:dyDescent="0.3">
      <c r="H285" s="8"/>
      <c r="I285" s="18"/>
      <c r="K285" s="6"/>
    </row>
    <row r="286" spans="8:11" s="11" customFormat="1" x14ac:dyDescent="0.3">
      <c r="H286" s="8"/>
      <c r="I286" s="18"/>
      <c r="K286" s="6"/>
    </row>
    <row r="287" spans="8:11" s="11" customFormat="1" x14ac:dyDescent="0.3">
      <c r="H287" s="8"/>
      <c r="I287" s="18"/>
      <c r="K287" s="6"/>
    </row>
    <row r="288" spans="8:11" s="11" customFormat="1" x14ac:dyDescent="0.3">
      <c r="H288" s="8"/>
      <c r="I288" s="18"/>
      <c r="K288" s="6"/>
    </row>
    <row r="289" spans="8:11" s="11" customFormat="1" x14ac:dyDescent="0.3">
      <c r="H289" s="8"/>
      <c r="I289" s="18"/>
      <c r="K289" s="6"/>
    </row>
    <row r="290" spans="8:11" s="11" customFormat="1" x14ac:dyDescent="0.3">
      <c r="H290" s="8"/>
      <c r="I290" s="18"/>
      <c r="K290" s="6"/>
    </row>
    <row r="291" spans="8:11" s="11" customFormat="1" x14ac:dyDescent="0.3">
      <c r="H291" s="8"/>
      <c r="I291" s="18"/>
      <c r="K291" s="6"/>
    </row>
    <row r="292" spans="8:11" s="11" customFormat="1" x14ac:dyDescent="0.3">
      <c r="H292" s="8"/>
      <c r="I292" s="18"/>
      <c r="K292" s="6"/>
    </row>
    <row r="293" spans="8:11" s="11" customFormat="1" x14ac:dyDescent="0.3">
      <c r="H293" s="8"/>
      <c r="I293" s="18"/>
      <c r="K293" s="6"/>
    </row>
    <row r="294" spans="8:11" s="11" customFormat="1" x14ac:dyDescent="0.3">
      <c r="H294" s="8"/>
      <c r="I294" s="18"/>
      <c r="K294" s="6"/>
    </row>
    <row r="295" spans="8:11" s="11" customFormat="1" x14ac:dyDescent="0.3">
      <c r="H295" s="8"/>
      <c r="I295" s="18"/>
      <c r="K295" s="6"/>
    </row>
    <row r="296" spans="8:11" s="11" customFormat="1" x14ac:dyDescent="0.3">
      <c r="H296" s="8"/>
      <c r="I296" s="18"/>
      <c r="K296" s="6"/>
    </row>
    <row r="297" spans="8:11" s="11" customFormat="1" x14ac:dyDescent="0.3">
      <c r="H297" s="8"/>
      <c r="I297" s="18"/>
      <c r="K297" s="6"/>
    </row>
    <row r="298" spans="8:11" s="11" customFormat="1" x14ac:dyDescent="0.3">
      <c r="H298" s="8"/>
      <c r="I298" s="18"/>
      <c r="K298" s="6"/>
    </row>
    <row r="299" spans="8:11" s="11" customFormat="1" x14ac:dyDescent="0.3">
      <c r="H299" s="8"/>
      <c r="I299" s="18"/>
      <c r="K299" s="6"/>
    </row>
    <row r="300" spans="8:11" s="11" customFormat="1" x14ac:dyDescent="0.3">
      <c r="H300" s="8"/>
      <c r="I300" s="18"/>
      <c r="K300" s="6"/>
    </row>
    <row r="301" spans="8:11" s="11" customFormat="1" x14ac:dyDescent="0.3">
      <c r="H301" s="8"/>
      <c r="I301" s="18"/>
      <c r="K301" s="6"/>
    </row>
    <row r="302" spans="8:11" s="11" customFormat="1" x14ac:dyDescent="0.3">
      <c r="H302" s="8"/>
      <c r="I302" s="18"/>
      <c r="K302" s="6"/>
    </row>
    <row r="303" spans="8:11" s="11" customFormat="1" x14ac:dyDescent="0.3">
      <c r="H303" s="8"/>
      <c r="I303" s="18"/>
      <c r="K303" s="6"/>
    </row>
    <row r="304" spans="8:11" s="11" customFormat="1" x14ac:dyDescent="0.3">
      <c r="H304" s="8"/>
      <c r="I304" s="18"/>
      <c r="K304" s="6"/>
    </row>
    <row r="305" spans="8:11" s="11" customFormat="1" x14ac:dyDescent="0.3">
      <c r="H305" s="8"/>
      <c r="I305" s="18"/>
      <c r="K305" s="6"/>
    </row>
    <row r="306" spans="8:11" s="11" customFormat="1" x14ac:dyDescent="0.3">
      <c r="H306" s="8"/>
      <c r="I306" s="18"/>
      <c r="K306" s="6"/>
    </row>
    <row r="307" spans="8:11" s="11" customFormat="1" x14ac:dyDescent="0.3">
      <c r="H307" s="8"/>
      <c r="I307" s="18"/>
      <c r="K307" s="6"/>
    </row>
    <row r="308" spans="8:11" s="11" customFormat="1" x14ac:dyDescent="0.3">
      <c r="H308" s="8"/>
      <c r="I308" s="18"/>
      <c r="K308" s="6"/>
    </row>
    <row r="309" spans="8:11" s="11" customFormat="1" x14ac:dyDescent="0.3">
      <c r="H309" s="8"/>
      <c r="I309" s="18"/>
      <c r="K309" s="6"/>
    </row>
    <row r="310" spans="8:11" s="11" customFormat="1" x14ac:dyDescent="0.3">
      <c r="H310" s="8"/>
      <c r="I310" s="18"/>
      <c r="K310" s="6"/>
    </row>
    <row r="311" spans="8:11" s="11" customFormat="1" x14ac:dyDescent="0.3">
      <c r="H311" s="8"/>
      <c r="I311" s="18"/>
      <c r="K311" s="6"/>
    </row>
    <row r="312" spans="8:11" s="11" customFormat="1" x14ac:dyDescent="0.3">
      <c r="H312" s="8"/>
      <c r="I312" s="18"/>
      <c r="K312" s="6"/>
    </row>
    <row r="313" spans="8:11" s="11" customFormat="1" x14ac:dyDescent="0.3">
      <c r="H313" s="8"/>
      <c r="I313" s="18"/>
      <c r="K313" s="6"/>
    </row>
    <row r="314" spans="8:11" s="11" customFormat="1" x14ac:dyDescent="0.3">
      <c r="H314" s="8"/>
      <c r="I314" s="18"/>
      <c r="K314" s="6"/>
    </row>
    <row r="315" spans="8:11" s="11" customFormat="1" x14ac:dyDescent="0.3">
      <c r="H315" s="8"/>
      <c r="I315" s="18"/>
      <c r="K315" s="6"/>
    </row>
    <row r="316" spans="8:11" s="11" customFormat="1" x14ac:dyDescent="0.3">
      <c r="H316" s="8"/>
      <c r="I316" s="18"/>
      <c r="K316" s="6"/>
    </row>
    <row r="317" spans="8:11" s="11" customFormat="1" x14ac:dyDescent="0.3">
      <c r="H317" s="8"/>
      <c r="I317" s="18"/>
      <c r="K317" s="6"/>
    </row>
    <row r="318" spans="8:11" s="11" customFormat="1" x14ac:dyDescent="0.3">
      <c r="H318" s="8"/>
      <c r="I318" s="18"/>
      <c r="K318" s="6"/>
    </row>
    <row r="319" spans="8:11" s="11" customFormat="1" x14ac:dyDescent="0.3">
      <c r="H319" s="8"/>
      <c r="I319" s="18"/>
      <c r="K319" s="6"/>
    </row>
    <row r="320" spans="8:11" s="11" customFormat="1" x14ac:dyDescent="0.3">
      <c r="H320" s="8"/>
      <c r="I320" s="18"/>
      <c r="K320" s="6"/>
    </row>
    <row r="321" spans="8:11" s="11" customFormat="1" x14ac:dyDescent="0.3">
      <c r="H321" s="8"/>
      <c r="I321" s="18"/>
      <c r="K321" s="6"/>
    </row>
    <row r="322" spans="8:11" s="11" customFormat="1" x14ac:dyDescent="0.3">
      <c r="H322" s="8"/>
      <c r="I322" s="18"/>
      <c r="K322" s="6"/>
    </row>
    <row r="323" spans="8:11" s="11" customFormat="1" x14ac:dyDescent="0.3">
      <c r="H323" s="8"/>
      <c r="I323" s="18"/>
      <c r="K323" s="6"/>
    </row>
    <row r="324" spans="8:11" s="11" customFormat="1" x14ac:dyDescent="0.3">
      <c r="H324" s="8"/>
      <c r="I324" s="18"/>
      <c r="K324" s="6"/>
    </row>
    <row r="325" spans="8:11" s="11" customFormat="1" x14ac:dyDescent="0.3">
      <c r="H325" s="8"/>
      <c r="I325" s="18"/>
      <c r="K325" s="6"/>
    </row>
    <row r="326" spans="8:11" s="11" customFormat="1" x14ac:dyDescent="0.3">
      <c r="H326" s="8"/>
      <c r="I326" s="18"/>
      <c r="K326" s="6"/>
    </row>
    <row r="327" spans="8:11" s="11" customFormat="1" x14ac:dyDescent="0.3">
      <c r="H327" s="8"/>
      <c r="I327" s="18"/>
      <c r="K327" s="6"/>
    </row>
    <row r="328" spans="8:11" s="11" customFormat="1" x14ac:dyDescent="0.3">
      <c r="H328" s="8"/>
      <c r="I328" s="18"/>
      <c r="K328" s="6"/>
    </row>
    <row r="329" spans="8:11" s="11" customFormat="1" x14ac:dyDescent="0.3">
      <c r="H329" s="8"/>
      <c r="I329" s="18"/>
      <c r="K329" s="6"/>
    </row>
    <row r="330" spans="8:11" s="11" customFormat="1" x14ac:dyDescent="0.3">
      <c r="H330" s="8"/>
      <c r="I330" s="18"/>
      <c r="K330" s="6"/>
    </row>
    <row r="331" spans="8:11" s="11" customFormat="1" x14ac:dyDescent="0.3">
      <c r="H331" s="8"/>
      <c r="I331" s="18"/>
      <c r="K331" s="6"/>
    </row>
    <row r="332" spans="8:11" s="11" customFormat="1" x14ac:dyDescent="0.3">
      <c r="H332" s="8"/>
      <c r="I332" s="18"/>
      <c r="K332" s="6"/>
    </row>
    <row r="333" spans="8:11" s="11" customFormat="1" x14ac:dyDescent="0.3">
      <c r="H333" s="8"/>
      <c r="I333" s="18"/>
      <c r="K333" s="6"/>
    </row>
    <row r="334" spans="8:11" s="11" customFormat="1" x14ac:dyDescent="0.3">
      <c r="H334" s="8"/>
      <c r="I334" s="18"/>
      <c r="K334" s="6"/>
    </row>
    <row r="335" spans="8:11" s="11" customFormat="1" x14ac:dyDescent="0.3">
      <c r="H335" s="8"/>
      <c r="I335" s="18"/>
      <c r="K335" s="6"/>
    </row>
    <row r="336" spans="8:11" s="11" customFormat="1" x14ac:dyDescent="0.3">
      <c r="H336" s="8"/>
      <c r="I336" s="18"/>
      <c r="K336" s="6"/>
    </row>
    <row r="337" spans="8:11" s="11" customFormat="1" x14ac:dyDescent="0.3">
      <c r="H337" s="8"/>
      <c r="I337" s="18"/>
      <c r="K337" s="6"/>
    </row>
    <row r="338" spans="8:11" s="11" customFormat="1" x14ac:dyDescent="0.3">
      <c r="H338" s="8"/>
      <c r="I338" s="18"/>
      <c r="K338" s="6"/>
    </row>
    <row r="339" spans="8:11" s="11" customFormat="1" x14ac:dyDescent="0.3">
      <c r="H339" s="8"/>
      <c r="I339" s="18"/>
      <c r="K339" s="6"/>
    </row>
    <row r="340" spans="8:11" s="11" customFormat="1" x14ac:dyDescent="0.3">
      <c r="H340" s="8"/>
      <c r="I340" s="18"/>
      <c r="K340" s="6"/>
    </row>
    <row r="341" spans="8:11" s="11" customFormat="1" x14ac:dyDescent="0.3">
      <c r="H341" s="8"/>
      <c r="I341" s="18"/>
      <c r="K341" s="6"/>
    </row>
    <row r="342" spans="8:11" s="11" customFormat="1" x14ac:dyDescent="0.3">
      <c r="H342" s="8"/>
      <c r="I342" s="18"/>
      <c r="K342" s="6"/>
    </row>
  </sheetData>
  <mergeCells count="4">
    <mergeCell ref="A1:F1"/>
    <mergeCell ref="L1:Q1"/>
    <mergeCell ref="O10:P10"/>
    <mergeCell ref="L11:M11"/>
  </mergeCells>
  <pageMargins left="0.25" right="0.25" top="0.75" bottom="0.75" header="0.3" footer="0.3"/>
  <pageSetup paperSize="9" scale="73" fitToHeight="0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E31E-08E3-4FFF-901C-69C4895F5288}">
  <sheetPr codeName="Sheet19">
    <pageSetUpPr fitToPage="1"/>
  </sheetPr>
  <dimension ref="A1:Q342"/>
  <sheetViews>
    <sheetView rightToLeft="1" zoomScale="115" zoomScaleNormal="115" workbookViewId="0">
      <pane ySplit="13" topLeftCell="A41" activePane="bottomLeft" state="frozen"/>
      <selection pane="bottomLeft" activeCell="H47" sqref="H47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7.88671875" style="2" bestFit="1" customWidth="1"/>
    <col min="4" max="4" width="9.109375" style="2" bestFit="1" customWidth="1"/>
    <col min="5" max="5" width="5.109375" style="2" bestFit="1" customWidth="1"/>
    <col min="6" max="6" width="10.44140625" style="2" bestFit="1" customWidth="1"/>
    <col min="7" max="7" width="2.44140625" style="2" customWidth="1"/>
    <col min="8" max="8" width="14.109375" style="8" bestFit="1" customWidth="1"/>
    <col min="9" max="9" width="11.44140625" style="7" bestFit="1" customWidth="1"/>
    <col min="10" max="10" width="8.5546875" style="11" bestFit="1" customWidth="1"/>
    <col min="11" max="11" width="5.21875" style="6" customWidth="1"/>
    <col min="12" max="12" width="9.44140625" style="2" bestFit="1" customWidth="1"/>
    <col min="13" max="13" width="5.109375" style="2" bestFit="1" customWidth="1"/>
    <col min="14" max="14" width="8.5546875" style="2" bestFit="1" customWidth="1"/>
    <col min="15" max="15" width="9.109375" style="2" bestFit="1" customWidth="1"/>
    <col min="16" max="16" width="5.109375" style="2" bestFit="1" customWidth="1"/>
    <col min="17" max="17" width="11.109375" style="2" bestFit="1" customWidth="1"/>
    <col min="18" max="16384" width="8.88671875" style="2"/>
  </cols>
  <sheetData>
    <row r="1" spans="1:17" x14ac:dyDescent="0.3">
      <c r="A1" s="65" t="s">
        <v>29</v>
      </c>
      <c r="B1" s="65"/>
      <c r="C1" s="65"/>
      <c r="D1" s="65"/>
      <c r="E1" s="65"/>
      <c r="F1" s="65"/>
      <c r="H1" s="8" t="s">
        <v>38</v>
      </c>
      <c r="I1" s="7">
        <f>SUM(Table13456781011121314151617181920[اللبناني])</f>
        <v>780</v>
      </c>
      <c r="J1" s="7">
        <f>SUM(Table13456781011121314151617181920[الدولار])</f>
        <v>171</v>
      </c>
      <c r="L1" s="65" t="s">
        <v>33</v>
      </c>
      <c r="M1" s="65"/>
      <c r="N1" s="65"/>
      <c r="O1" s="65"/>
      <c r="P1" s="65"/>
      <c r="Q1" s="65"/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C3" s="21">
        <f>A3*B3</f>
        <v>0</v>
      </c>
      <c r="D3" s="17">
        <v>5</v>
      </c>
      <c r="E3" s="2">
        <v>30</v>
      </c>
      <c r="F3" s="23">
        <f>D3*E3</f>
        <v>150</v>
      </c>
      <c r="G3" s="5"/>
      <c r="H3" s="10" t="s">
        <v>274</v>
      </c>
      <c r="I3" s="20">
        <v>150</v>
      </c>
      <c r="L3" s="15">
        <v>1</v>
      </c>
      <c r="M3" s="2">
        <v>1</v>
      </c>
      <c r="N3" s="21">
        <f>L3*M3</f>
        <v>1</v>
      </c>
      <c r="O3" s="17">
        <v>5</v>
      </c>
      <c r="Q3" s="23">
        <f>O3*P3</f>
        <v>0</v>
      </c>
    </row>
    <row r="4" spans="1:17" x14ac:dyDescent="0.3">
      <c r="A4" s="15">
        <v>5</v>
      </c>
      <c r="C4" s="21">
        <f t="shared" ref="C4:C8" si="0">A4*B4</f>
        <v>0</v>
      </c>
      <c r="D4" s="17">
        <v>10</v>
      </c>
      <c r="E4" s="2">
        <v>13</v>
      </c>
      <c r="F4" s="23">
        <f t="shared" ref="F4:F7" si="1">D4*E4</f>
        <v>130</v>
      </c>
      <c r="G4" s="5"/>
      <c r="H4" s="10" t="s">
        <v>325</v>
      </c>
      <c r="I4" s="20">
        <v>320</v>
      </c>
      <c r="L4" s="15">
        <v>5</v>
      </c>
      <c r="N4" s="21">
        <f t="shared" ref="N4:N8" si="2">L4*M4</f>
        <v>0</v>
      </c>
      <c r="O4" s="17">
        <v>10</v>
      </c>
      <c r="Q4" s="23">
        <f t="shared" ref="Q4:Q7" si="3">O4*P4</f>
        <v>0</v>
      </c>
    </row>
    <row r="5" spans="1:17" x14ac:dyDescent="0.3">
      <c r="A5" s="15">
        <v>10</v>
      </c>
      <c r="B5" s="2">
        <v>36</v>
      </c>
      <c r="C5" s="21">
        <f t="shared" si="0"/>
        <v>360</v>
      </c>
      <c r="D5" s="17">
        <v>20</v>
      </c>
      <c r="E5" s="2">
        <v>12</v>
      </c>
      <c r="F5" s="23">
        <f t="shared" si="1"/>
        <v>240</v>
      </c>
      <c r="G5" s="5"/>
      <c r="H5" s="10" t="s">
        <v>326</v>
      </c>
      <c r="I5" s="20"/>
      <c r="J5" s="11">
        <v>70</v>
      </c>
      <c r="L5" s="15">
        <v>10</v>
      </c>
      <c r="M5" s="2">
        <v>33</v>
      </c>
      <c r="N5" s="21">
        <f t="shared" si="2"/>
        <v>330</v>
      </c>
      <c r="O5" s="17">
        <v>20</v>
      </c>
      <c r="Q5" s="23">
        <f t="shared" si="3"/>
        <v>0</v>
      </c>
    </row>
    <row r="6" spans="1:17" x14ac:dyDescent="0.3">
      <c r="A6" s="15">
        <v>20</v>
      </c>
      <c r="B6" s="2">
        <v>5</v>
      </c>
      <c r="C6" s="21">
        <f t="shared" si="0"/>
        <v>100</v>
      </c>
      <c r="D6" s="17">
        <v>50</v>
      </c>
      <c r="E6" s="2">
        <v>10</v>
      </c>
      <c r="F6" s="23">
        <f t="shared" si="1"/>
        <v>500</v>
      </c>
      <c r="G6" s="5"/>
      <c r="H6" s="10" t="s">
        <v>327</v>
      </c>
      <c r="I6" s="20">
        <v>350</v>
      </c>
      <c r="L6" s="15">
        <v>20</v>
      </c>
      <c r="M6" s="2">
        <v>7</v>
      </c>
      <c r="N6" s="21">
        <f t="shared" si="2"/>
        <v>140</v>
      </c>
      <c r="O6" s="17">
        <v>50</v>
      </c>
      <c r="Q6" s="23">
        <f t="shared" si="3"/>
        <v>0</v>
      </c>
    </row>
    <row r="7" spans="1:17" x14ac:dyDescent="0.3">
      <c r="A7" s="15">
        <v>50</v>
      </c>
      <c r="B7" s="2">
        <v>5</v>
      </c>
      <c r="C7" s="21">
        <f t="shared" si="0"/>
        <v>250</v>
      </c>
      <c r="D7" s="17">
        <v>100</v>
      </c>
      <c r="E7" s="2">
        <v>25</v>
      </c>
      <c r="F7" s="23">
        <f t="shared" si="1"/>
        <v>2500</v>
      </c>
      <c r="G7" s="5"/>
      <c r="H7" s="33" t="s">
        <v>59</v>
      </c>
      <c r="I7" s="20">
        <v>-100</v>
      </c>
      <c r="J7" s="11">
        <v>10</v>
      </c>
      <c r="L7" s="15">
        <v>50</v>
      </c>
      <c r="M7" s="2">
        <v>3</v>
      </c>
      <c r="N7" s="21">
        <f t="shared" si="2"/>
        <v>150</v>
      </c>
      <c r="O7" s="17">
        <v>100</v>
      </c>
      <c r="Q7" s="23">
        <f t="shared" si="3"/>
        <v>0</v>
      </c>
    </row>
    <row r="8" spans="1:17" x14ac:dyDescent="0.3">
      <c r="A8" s="15">
        <v>100</v>
      </c>
      <c r="B8" s="2">
        <v>4</v>
      </c>
      <c r="C8" s="21">
        <f t="shared" si="0"/>
        <v>400</v>
      </c>
      <c r="D8" s="1" t="s">
        <v>1</v>
      </c>
      <c r="E8" s="1"/>
      <c r="F8" s="19">
        <f>SUM(F3:F7)</f>
        <v>3520</v>
      </c>
      <c r="G8" s="5"/>
      <c r="H8" s="10" t="s">
        <v>28</v>
      </c>
      <c r="I8" s="20"/>
      <c r="J8" s="11">
        <v>18</v>
      </c>
      <c r="L8" s="15">
        <v>100</v>
      </c>
      <c r="M8" s="2">
        <v>6</v>
      </c>
      <c r="N8" s="21">
        <f t="shared" si="2"/>
        <v>600</v>
      </c>
      <c r="O8" s="1" t="s">
        <v>1</v>
      </c>
      <c r="P8" s="1"/>
      <c r="Q8" s="19">
        <f>SUM(Q3:Q7)</f>
        <v>0</v>
      </c>
    </row>
    <row r="9" spans="1:17" x14ac:dyDescent="0.3">
      <c r="A9" s="1" t="s">
        <v>1</v>
      </c>
      <c r="B9" s="1"/>
      <c r="C9" s="22">
        <f>SUM(C3:C8)</f>
        <v>1110</v>
      </c>
      <c r="H9" s="10" t="s">
        <v>28</v>
      </c>
      <c r="I9" s="20">
        <v>1980</v>
      </c>
      <c r="L9" s="1" t="s">
        <v>1</v>
      </c>
      <c r="M9" s="1"/>
      <c r="N9" s="22">
        <f>SUM(N3:N8)</f>
        <v>1221</v>
      </c>
      <c r="Q9" s="20"/>
    </row>
    <row r="10" spans="1:17" x14ac:dyDescent="0.3">
      <c r="H10" s="10" t="s">
        <v>328</v>
      </c>
      <c r="I10" s="20">
        <v>250</v>
      </c>
      <c r="N10" s="27"/>
      <c r="O10" s="66" t="s">
        <v>40</v>
      </c>
      <c r="P10" s="66"/>
      <c r="Q10" s="24">
        <f>SUM(Table13456781011121314151617181920[اللبناني])</f>
        <v>780</v>
      </c>
    </row>
    <row r="11" spans="1:17" x14ac:dyDescent="0.3">
      <c r="H11" s="10" t="s">
        <v>329</v>
      </c>
      <c r="I11" s="20">
        <v>-550</v>
      </c>
      <c r="J11" s="11">
        <v>10</v>
      </c>
      <c r="L11" s="66" t="s">
        <v>39</v>
      </c>
      <c r="M11" s="66"/>
      <c r="N11" s="12">
        <f>SUM(Table13456781011121314151617181920[الدولار])</f>
        <v>171</v>
      </c>
      <c r="Q11" s="20"/>
    </row>
    <row r="12" spans="1:17" x14ac:dyDescent="0.3">
      <c r="H12" s="10" t="s">
        <v>22</v>
      </c>
      <c r="I12" s="20"/>
      <c r="J12" s="11">
        <v>10</v>
      </c>
      <c r="N12" s="27"/>
      <c r="O12" s="1" t="s">
        <v>27</v>
      </c>
      <c r="P12" s="1"/>
      <c r="Q12" s="24">
        <f>Q8-Q10-F8</f>
        <v>-4300</v>
      </c>
    </row>
    <row r="13" spans="1:17" x14ac:dyDescent="0.3">
      <c r="C13" s="14"/>
      <c r="D13" s="14"/>
      <c r="F13" s="14"/>
      <c r="H13" s="10" t="s">
        <v>44</v>
      </c>
      <c r="I13" s="20">
        <v>350</v>
      </c>
      <c r="L13" s="1" t="s">
        <v>27</v>
      </c>
      <c r="M13" s="1"/>
      <c r="N13" s="12">
        <f>N9-N11-C9</f>
        <v>-60</v>
      </c>
    </row>
    <row r="14" spans="1:17" x14ac:dyDescent="0.3">
      <c r="C14" s="14"/>
      <c r="D14" s="14"/>
      <c r="F14" s="14"/>
      <c r="H14" s="10" t="s">
        <v>209</v>
      </c>
      <c r="I14" s="18"/>
      <c r="J14" s="11">
        <v>35</v>
      </c>
    </row>
    <row r="15" spans="1:17" x14ac:dyDescent="0.3">
      <c r="C15" s="14"/>
      <c r="D15" s="14"/>
      <c r="F15" s="14"/>
      <c r="H15" s="10" t="s">
        <v>28</v>
      </c>
      <c r="I15" s="18">
        <v>-20</v>
      </c>
    </row>
    <row r="16" spans="1:17" x14ac:dyDescent="0.3">
      <c r="C16" s="14"/>
      <c r="D16" s="14"/>
      <c r="F16" s="14"/>
      <c r="H16" s="10" t="s">
        <v>330</v>
      </c>
      <c r="I16" s="18">
        <v>100</v>
      </c>
    </row>
    <row r="17" spans="3:11" s="11" customFormat="1" x14ac:dyDescent="0.3">
      <c r="C17" s="14"/>
      <c r="D17" s="14"/>
      <c r="E17" s="2"/>
      <c r="F17" s="14"/>
      <c r="G17" s="2"/>
      <c r="H17" s="10" t="s">
        <v>23</v>
      </c>
      <c r="I17" s="20">
        <v>-765</v>
      </c>
      <c r="J17" s="11">
        <v>30</v>
      </c>
      <c r="K17" s="6"/>
    </row>
    <row r="18" spans="3:11" s="11" customFormat="1" x14ac:dyDescent="0.3">
      <c r="C18" s="14"/>
      <c r="D18" s="2"/>
      <c r="E18" s="2"/>
      <c r="F18" s="14"/>
      <c r="G18" s="2"/>
      <c r="H18" s="10" t="s">
        <v>28</v>
      </c>
      <c r="I18" s="20">
        <v>-585</v>
      </c>
      <c r="J18" s="11">
        <v>10</v>
      </c>
      <c r="K18" s="6"/>
    </row>
    <row r="19" spans="3:11" s="11" customFormat="1" ht="41.4" x14ac:dyDescent="0.3">
      <c r="C19" s="14"/>
      <c r="D19" s="2"/>
      <c r="E19" s="2"/>
      <c r="F19" s="2"/>
      <c r="G19" s="2"/>
      <c r="H19" s="38" t="s">
        <v>331</v>
      </c>
      <c r="I19" s="20">
        <v>-450</v>
      </c>
      <c r="J19" s="11">
        <v>-30</v>
      </c>
      <c r="K19" s="6"/>
    </row>
    <row r="20" spans="3:11" s="11" customFormat="1" x14ac:dyDescent="0.3">
      <c r="C20" s="2"/>
      <c r="D20" s="2"/>
      <c r="E20" s="2"/>
      <c r="F20" s="6"/>
      <c r="G20" s="2"/>
      <c r="H20" s="10" t="s">
        <v>28</v>
      </c>
      <c r="I20" s="20">
        <v>-100</v>
      </c>
      <c r="J20" s="11">
        <v>5</v>
      </c>
      <c r="K20" s="6"/>
    </row>
    <row r="21" spans="3:11" s="11" customFormat="1" x14ac:dyDescent="0.3">
      <c r="C21" s="6"/>
      <c r="D21" s="2"/>
      <c r="E21" s="2"/>
      <c r="F21" s="2"/>
      <c r="G21" s="2"/>
      <c r="H21" s="10" t="s">
        <v>214</v>
      </c>
      <c r="I21" s="20"/>
      <c r="J21" s="11">
        <v>5</v>
      </c>
      <c r="K21" s="6"/>
    </row>
    <row r="22" spans="3:11" s="11" customFormat="1" x14ac:dyDescent="0.3">
      <c r="C22" s="2"/>
      <c r="D22" s="2"/>
      <c r="E22" s="2"/>
      <c r="F22" s="6"/>
      <c r="G22" s="2"/>
      <c r="H22" s="10" t="s">
        <v>332</v>
      </c>
      <c r="I22" s="20">
        <v>30</v>
      </c>
      <c r="K22" s="6"/>
    </row>
    <row r="23" spans="3:11" s="11" customFormat="1" x14ac:dyDescent="0.3">
      <c r="C23" s="6"/>
      <c r="D23" s="2"/>
      <c r="E23" s="2"/>
      <c r="F23" s="2"/>
      <c r="G23" s="2"/>
      <c r="H23" s="10" t="s">
        <v>87</v>
      </c>
      <c r="I23" s="20"/>
      <c r="J23" s="11">
        <v>48</v>
      </c>
      <c r="K23" s="6"/>
    </row>
    <row r="24" spans="3:11" s="11" customFormat="1" x14ac:dyDescent="0.3">
      <c r="C24" s="2"/>
      <c r="D24" s="2"/>
      <c r="E24" s="2"/>
      <c r="F24" s="2"/>
      <c r="G24" s="2"/>
      <c r="H24" s="10" t="s">
        <v>311</v>
      </c>
      <c r="I24" s="20">
        <v>225</v>
      </c>
      <c r="K24" s="6"/>
    </row>
    <row r="25" spans="3:11" s="11" customFormat="1" x14ac:dyDescent="0.3">
      <c r="C25" s="2"/>
      <c r="D25" s="2"/>
      <c r="E25" s="2"/>
      <c r="F25" s="2"/>
      <c r="G25" s="2"/>
      <c r="H25" s="10" t="s">
        <v>333</v>
      </c>
      <c r="I25" s="20">
        <v>360</v>
      </c>
      <c r="K25" s="6"/>
    </row>
    <row r="26" spans="3:11" s="11" customFormat="1" x14ac:dyDescent="0.3">
      <c r="C26" s="2"/>
      <c r="D26" s="2"/>
      <c r="E26" s="2"/>
      <c r="F26" s="2"/>
      <c r="G26" s="2"/>
      <c r="H26" s="10" t="s">
        <v>335</v>
      </c>
      <c r="I26" s="20">
        <v>-630</v>
      </c>
      <c r="J26" s="11">
        <v>20</v>
      </c>
      <c r="K26" s="6"/>
    </row>
    <row r="27" spans="3:11" s="11" customFormat="1" x14ac:dyDescent="0.3">
      <c r="C27" s="2"/>
      <c r="D27" s="2"/>
      <c r="E27" s="2"/>
      <c r="F27" s="2"/>
      <c r="G27" s="2"/>
      <c r="H27" s="10" t="s">
        <v>334</v>
      </c>
      <c r="I27" s="18">
        <v>180</v>
      </c>
      <c r="K27" s="6"/>
    </row>
    <row r="28" spans="3:11" s="11" customFormat="1" x14ac:dyDescent="0.3">
      <c r="C28" s="2"/>
      <c r="D28" s="2"/>
      <c r="E28" s="2"/>
      <c r="F28" s="2"/>
      <c r="G28" s="2"/>
      <c r="H28" s="8" t="s">
        <v>336</v>
      </c>
      <c r="I28" s="18"/>
      <c r="J28" s="11">
        <v>33</v>
      </c>
      <c r="K28" s="6"/>
    </row>
    <row r="29" spans="3:11" s="11" customFormat="1" x14ac:dyDescent="0.3">
      <c r="C29" s="2"/>
      <c r="D29" s="2"/>
      <c r="E29" s="2"/>
      <c r="F29" s="2"/>
      <c r="G29" s="2"/>
      <c r="H29" s="8" t="s">
        <v>107</v>
      </c>
      <c r="I29" s="18">
        <v>-720</v>
      </c>
      <c r="J29" s="11">
        <v>10</v>
      </c>
      <c r="K29" s="6"/>
    </row>
    <row r="30" spans="3:11" s="11" customFormat="1" x14ac:dyDescent="0.3">
      <c r="C30" s="2"/>
      <c r="D30" s="2"/>
      <c r="E30" s="2"/>
      <c r="F30" s="2"/>
      <c r="G30" s="2"/>
      <c r="H30" s="8" t="s">
        <v>337</v>
      </c>
      <c r="I30" s="18">
        <f>200-65</f>
        <v>135</v>
      </c>
      <c r="K30" s="6"/>
    </row>
    <row r="31" spans="3:11" s="11" customFormat="1" x14ac:dyDescent="0.3">
      <c r="C31" s="2"/>
      <c r="D31" s="2"/>
      <c r="E31" s="2"/>
      <c r="F31" s="2"/>
      <c r="G31" s="2"/>
      <c r="H31" s="8" t="s">
        <v>326</v>
      </c>
      <c r="I31" s="18"/>
      <c r="J31" s="11">
        <v>37</v>
      </c>
      <c r="K31" s="6" t="s">
        <v>338</v>
      </c>
    </row>
    <row r="32" spans="3:11" s="11" customFormat="1" x14ac:dyDescent="0.3">
      <c r="C32" s="2"/>
      <c r="D32" s="2"/>
      <c r="E32" s="2"/>
      <c r="F32" s="2"/>
      <c r="G32" s="2"/>
      <c r="H32" s="8" t="s">
        <v>339</v>
      </c>
      <c r="I32" s="18">
        <v>90</v>
      </c>
      <c r="K32" s="6"/>
    </row>
    <row r="33" spans="8:11" s="11" customFormat="1" x14ac:dyDescent="0.3">
      <c r="H33" s="8" t="s">
        <v>107</v>
      </c>
      <c r="I33" s="18">
        <v>180</v>
      </c>
      <c r="K33" s="6"/>
    </row>
    <row r="34" spans="8:11" s="11" customFormat="1" x14ac:dyDescent="0.3">
      <c r="H34" s="8" t="s">
        <v>21</v>
      </c>
      <c r="I34" s="18"/>
      <c r="J34" s="11">
        <v>-310</v>
      </c>
      <c r="K34" s="6"/>
    </row>
    <row r="35" spans="8:11" s="11" customFormat="1" x14ac:dyDescent="0.3">
      <c r="H35" s="8" t="s">
        <v>340</v>
      </c>
      <c r="I35" s="18">
        <v>-540</v>
      </c>
      <c r="J35" s="11">
        <v>10</v>
      </c>
      <c r="K35" s="6"/>
    </row>
    <row r="36" spans="8:11" s="11" customFormat="1" x14ac:dyDescent="0.3">
      <c r="H36" s="8" t="s">
        <v>53</v>
      </c>
      <c r="I36" s="18">
        <v>90</v>
      </c>
      <c r="J36" s="11">
        <v>15</v>
      </c>
      <c r="K36" s="6"/>
    </row>
    <row r="37" spans="8:11" s="11" customFormat="1" x14ac:dyDescent="0.3">
      <c r="H37" s="8" t="s">
        <v>28</v>
      </c>
      <c r="I37" s="18">
        <v>100</v>
      </c>
      <c r="K37" s="6"/>
    </row>
    <row r="38" spans="8:11" s="11" customFormat="1" x14ac:dyDescent="0.3">
      <c r="H38" s="8" t="s">
        <v>341</v>
      </c>
      <c r="I38" s="18">
        <v>90</v>
      </c>
      <c r="K38" s="6"/>
    </row>
    <row r="39" spans="8:11" s="11" customFormat="1" x14ac:dyDescent="0.3">
      <c r="H39" s="8" t="s">
        <v>111</v>
      </c>
      <c r="I39" s="18">
        <v>100</v>
      </c>
      <c r="K39" s="6"/>
    </row>
    <row r="40" spans="8:11" s="11" customFormat="1" x14ac:dyDescent="0.3">
      <c r="H40" s="8" t="s">
        <v>342</v>
      </c>
      <c r="I40" s="18"/>
      <c r="J40" s="11">
        <v>30</v>
      </c>
      <c r="K40" s="6"/>
    </row>
    <row r="41" spans="8:11" s="11" customFormat="1" x14ac:dyDescent="0.3">
      <c r="H41" s="8" t="s">
        <v>343</v>
      </c>
      <c r="I41" s="18">
        <v>350</v>
      </c>
      <c r="K41" s="6"/>
    </row>
    <row r="42" spans="8:11" s="11" customFormat="1" x14ac:dyDescent="0.3">
      <c r="H42" s="8" t="s">
        <v>344</v>
      </c>
      <c r="I42" s="18"/>
      <c r="J42" s="11">
        <v>20</v>
      </c>
      <c r="K42" s="6"/>
    </row>
    <row r="43" spans="8:11" s="11" customFormat="1" x14ac:dyDescent="0.3">
      <c r="H43" s="8" t="s">
        <v>178</v>
      </c>
      <c r="I43" s="18">
        <v>100</v>
      </c>
      <c r="K43" s="6"/>
    </row>
    <row r="44" spans="8:11" s="11" customFormat="1" x14ac:dyDescent="0.3">
      <c r="H44" s="8" t="s">
        <v>345</v>
      </c>
      <c r="I44" s="18">
        <v>-180</v>
      </c>
      <c r="J44" s="11">
        <v>15</v>
      </c>
      <c r="K44" s="6"/>
    </row>
    <row r="45" spans="8:11" s="11" customFormat="1" x14ac:dyDescent="0.3">
      <c r="H45" s="8"/>
      <c r="I45" s="18">
        <v>780</v>
      </c>
      <c r="K45" s="6"/>
    </row>
    <row r="46" spans="8:11" s="11" customFormat="1" x14ac:dyDescent="0.3">
      <c r="H46" s="8" t="s">
        <v>346</v>
      </c>
      <c r="I46" s="18">
        <v>200</v>
      </c>
      <c r="K46" s="6"/>
    </row>
    <row r="47" spans="8:11" s="11" customFormat="1" x14ac:dyDescent="0.3">
      <c r="H47" s="8"/>
      <c r="I47" s="18">
        <v>-550</v>
      </c>
      <c r="J47" s="11">
        <v>100</v>
      </c>
      <c r="K47" s="6"/>
    </row>
    <row r="48" spans="8:11" s="11" customFormat="1" x14ac:dyDescent="0.3">
      <c r="H48" s="8" t="s">
        <v>85</v>
      </c>
      <c r="I48" s="18">
        <v>-540</v>
      </c>
      <c r="J48" s="11">
        <v>-30</v>
      </c>
      <c r="K48" s="6"/>
    </row>
    <row r="49" spans="8:11" s="11" customFormat="1" x14ac:dyDescent="0.3">
      <c r="H49" s="8"/>
      <c r="I49" s="18"/>
      <c r="K49" s="6"/>
    </row>
    <row r="50" spans="8:11" s="11" customFormat="1" x14ac:dyDescent="0.3">
      <c r="H50" s="8"/>
      <c r="I50" s="18"/>
      <c r="K50" s="6"/>
    </row>
    <row r="51" spans="8:11" s="11" customFormat="1" x14ac:dyDescent="0.3">
      <c r="H51" s="8"/>
      <c r="I51" s="18"/>
      <c r="K51" s="6"/>
    </row>
    <row r="52" spans="8:11" s="11" customFormat="1" x14ac:dyDescent="0.3">
      <c r="H52" s="8"/>
      <c r="I52" s="18"/>
      <c r="K52" s="6"/>
    </row>
    <row r="53" spans="8:11" s="11" customFormat="1" x14ac:dyDescent="0.3">
      <c r="H53" s="8"/>
      <c r="I53" s="18"/>
      <c r="K53" s="6"/>
    </row>
    <row r="54" spans="8:11" s="11" customFormat="1" x14ac:dyDescent="0.3">
      <c r="H54" s="8"/>
      <c r="I54" s="18"/>
      <c r="K54" s="6"/>
    </row>
    <row r="55" spans="8:11" s="11" customFormat="1" x14ac:dyDescent="0.3">
      <c r="H55" s="8"/>
      <c r="I55" s="18"/>
      <c r="K55" s="6"/>
    </row>
    <row r="56" spans="8:11" s="11" customFormat="1" x14ac:dyDescent="0.3">
      <c r="H56" s="8"/>
      <c r="I56" s="18"/>
      <c r="K56" s="6"/>
    </row>
    <row r="57" spans="8:11" s="11" customFormat="1" x14ac:dyDescent="0.3">
      <c r="H57" s="8"/>
      <c r="I57" s="18"/>
      <c r="K57" s="6"/>
    </row>
    <row r="58" spans="8:11" s="11" customFormat="1" x14ac:dyDescent="0.3">
      <c r="H58" s="8"/>
      <c r="I58" s="18"/>
      <c r="K58" s="6"/>
    </row>
    <row r="59" spans="8:11" s="11" customFormat="1" x14ac:dyDescent="0.3">
      <c r="H59" s="8"/>
      <c r="I59" s="18"/>
      <c r="K59" s="6"/>
    </row>
    <row r="60" spans="8:11" s="11" customFormat="1" x14ac:dyDescent="0.3">
      <c r="H60" s="8"/>
      <c r="I60" s="18"/>
      <c r="K60" s="6"/>
    </row>
    <row r="61" spans="8:11" s="11" customFormat="1" x14ac:dyDescent="0.3">
      <c r="H61" s="8"/>
      <c r="I61" s="18"/>
      <c r="K61" s="6"/>
    </row>
    <row r="62" spans="8:11" s="11" customFormat="1" x14ac:dyDescent="0.3">
      <c r="H62" s="8"/>
      <c r="I62" s="18"/>
      <c r="K62" s="6"/>
    </row>
    <row r="63" spans="8:11" s="11" customFormat="1" x14ac:dyDescent="0.3">
      <c r="H63" s="8"/>
      <c r="I63" s="18"/>
      <c r="K63" s="6"/>
    </row>
    <row r="64" spans="8:11" s="11" customFormat="1" x14ac:dyDescent="0.3">
      <c r="H64" s="8"/>
      <c r="I64" s="18"/>
      <c r="K64" s="6"/>
    </row>
    <row r="65" spans="8:11" s="11" customFormat="1" x14ac:dyDescent="0.3">
      <c r="H65" s="8"/>
      <c r="I65" s="18"/>
      <c r="K65" s="6"/>
    </row>
    <row r="66" spans="8:11" s="11" customFormat="1" x14ac:dyDescent="0.3">
      <c r="H66" s="8"/>
      <c r="I66" s="18"/>
      <c r="K66" s="6"/>
    </row>
    <row r="67" spans="8:11" s="11" customFormat="1" x14ac:dyDescent="0.3">
      <c r="H67" s="8"/>
      <c r="I67" s="18"/>
      <c r="K67" s="6"/>
    </row>
    <row r="68" spans="8:11" s="11" customFormat="1" x14ac:dyDescent="0.3">
      <c r="H68" s="8"/>
      <c r="I68" s="18"/>
      <c r="K68" s="6"/>
    </row>
    <row r="69" spans="8:11" s="11" customFormat="1" x14ac:dyDescent="0.3">
      <c r="H69" s="8"/>
      <c r="I69" s="18"/>
      <c r="K69" s="6"/>
    </row>
    <row r="70" spans="8:11" s="11" customFormat="1" x14ac:dyDescent="0.3">
      <c r="H70" s="8"/>
      <c r="I70" s="18"/>
      <c r="K70" s="6"/>
    </row>
    <row r="71" spans="8:11" s="11" customFormat="1" x14ac:dyDescent="0.3">
      <c r="H71" s="8"/>
      <c r="I71" s="18"/>
      <c r="K71" s="6"/>
    </row>
    <row r="72" spans="8:11" s="11" customFormat="1" x14ac:dyDescent="0.3">
      <c r="H72" s="8"/>
      <c r="I72" s="18"/>
      <c r="K72" s="6"/>
    </row>
    <row r="73" spans="8:11" s="11" customFormat="1" x14ac:dyDescent="0.3">
      <c r="H73" s="8"/>
      <c r="I73" s="18"/>
      <c r="K73" s="6"/>
    </row>
    <row r="74" spans="8:11" s="11" customFormat="1" x14ac:dyDescent="0.3">
      <c r="H74" s="8"/>
      <c r="I74" s="18"/>
      <c r="K74" s="6"/>
    </row>
    <row r="75" spans="8:11" s="11" customFormat="1" x14ac:dyDescent="0.3">
      <c r="H75" s="8"/>
      <c r="I75" s="18"/>
      <c r="K75" s="6"/>
    </row>
    <row r="76" spans="8:11" s="11" customFormat="1" x14ac:dyDescent="0.3">
      <c r="H76" s="8"/>
      <c r="I76" s="18"/>
      <c r="K76" s="6"/>
    </row>
    <row r="77" spans="8:11" s="11" customFormat="1" x14ac:dyDescent="0.3">
      <c r="H77" s="8"/>
      <c r="I77" s="18"/>
      <c r="K77" s="6"/>
    </row>
    <row r="78" spans="8:11" s="11" customFormat="1" x14ac:dyDescent="0.3">
      <c r="H78" s="8"/>
      <c r="I78" s="18"/>
      <c r="K78" s="6"/>
    </row>
    <row r="79" spans="8:11" s="11" customFormat="1" x14ac:dyDescent="0.3">
      <c r="H79" s="8"/>
      <c r="I79" s="18"/>
      <c r="K79" s="6"/>
    </row>
    <row r="80" spans="8:11" s="11" customFormat="1" x14ac:dyDescent="0.3">
      <c r="H80" s="8"/>
      <c r="I80" s="18"/>
      <c r="K80" s="6"/>
    </row>
    <row r="81" spans="8:11" s="11" customFormat="1" x14ac:dyDescent="0.3">
      <c r="H81" s="8"/>
      <c r="I81" s="18"/>
      <c r="K81" s="6"/>
    </row>
    <row r="82" spans="8:11" s="11" customFormat="1" x14ac:dyDescent="0.3">
      <c r="H82" s="8"/>
      <c r="I82" s="18"/>
      <c r="K82" s="6"/>
    </row>
    <row r="83" spans="8:11" s="11" customFormat="1" x14ac:dyDescent="0.3">
      <c r="H83" s="8"/>
      <c r="I83" s="18"/>
      <c r="K83" s="6"/>
    </row>
    <row r="84" spans="8:11" s="11" customFormat="1" x14ac:dyDescent="0.3">
      <c r="H84" s="8"/>
      <c r="I84" s="18"/>
      <c r="K84" s="6"/>
    </row>
    <row r="85" spans="8:11" s="11" customFormat="1" x14ac:dyDescent="0.3">
      <c r="H85" s="8"/>
      <c r="I85" s="18"/>
      <c r="K85" s="6"/>
    </row>
    <row r="86" spans="8:11" s="11" customFormat="1" x14ac:dyDescent="0.3">
      <c r="H86" s="8"/>
      <c r="I86" s="18"/>
      <c r="K86" s="6"/>
    </row>
    <row r="87" spans="8:11" s="11" customFormat="1" x14ac:dyDescent="0.3">
      <c r="H87" s="8"/>
      <c r="I87" s="18"/>
      <c r="K87" s="6"/>
    </row>
    <row r="88" spans="8:11" s="11" customFormat="1" x14ac:dyDescent="0.3">
      <c r="H88" s="8"/>
      <c r="I88" s="18"/>
      <c r="K88" s="6"/>
    </row>
    <row r="89" spans="8:11" s="11" customFormat="1" x14ac:dyDescent="0.3">
      <c r="H89" s="8"/>
      <c r="I89" s="18"/>
      <c r="K89" s="6"/>
    </row>
    <row r="90" spans="8:11" s="11" customFormat="1" x14ac:dyDescent="0.3">
      <c r="H90" s="8"/>
      <c r="I90" s="18"/>
      <c r="K90" s="6"/>
    </row>
    <row r="91" spans="8:11" s="11" customFormat="1" x14ac:dyDescent="0.3">
      <c r="H91" s="8"/>
      <c r="I91" s="18"/>
      <c r="K91" s="6"/>
    </row>
    <row r="92" spans="8:11" s="11" customFormat="1" x14ac:dyDescent="0.3">
      <c r="H92" s="8"/>
      <c r="I92" s="18"/>
      <c r="K92" s="6"/>
    </row>
    <row r="93" spans="8:11" s="11" customFormat="1" x14ac:dyDescent="0.3">
      <c r="H93" s="8"/>
      <c r="I93" s="18"/>
      <c r="K93" s="6"/>
    </row>
    <row r="94" spans="8:11" s="11" customFormat="1" x14ac:dyDescent="0.3">
      <c r="H94" s="8"/>
      <c r="I94" s="18"/>
      <c r="K94" s="6"/>
    </row>
    <row r="95" spans="8:11" s="11" customFormat="1" x14ac:dyDescent="0.3">
      <c r="H95" s="8"/>
      <c r="I95" s="18"/>
      <c r="K95" s="6"/>
    </row>
    <row r="96" spans="8:11" s="11" customFormat="1" x14ac:dyDescent="0.3">
      <c r="H96" s="8"/>
      <c r="I96" s="18"/>
      <c r="K96" s="6"/>
    </row>
    <row r="97" spans="8:11" s="11" customFormat="1" x14ac:dyDescent="0.3">
      <c r="H97" s="8"/>
      <c r="I97" s="18"/>
      <c r="K97" s="6"/>
    </row>
    <row r="98" spans="8:11" s="11" customFormat="1" x14ac:dyDescent="0.3">
      <c r="H98" s="8"/>
      <c r="I98" s="18"/>
      <c r="K98" s="6"/>
    </row>
    <row r="99" spans="8:11" s="11" customFormat="1" x14ac:dyDescent="0.3">
      <c r="H99" s="8"/>
      <c r="I99" s="18"/>
      <c r="K99" s="6"/>
    </row>
    <row r="100" spans="8:11" s="11" customFormat="1" x14ac:dyDescent="0.3">
      <c r="H100" s="8"/>
      <c r="I100" s="18"/>
      <c r="K100" s="6"/>
    </row>
    <row r="101" spans="8:11" s="11" customFormat="1" x14ac:dyDescent="0.3">
      <c r="H101" s="8"/>
      <c r="I101" s="18"/>
      <c r="K101" s="6"/>
    </row>
    <row r="102" spans="8:11" s="11" customFormat="1" x14ac:dyDescent="0.3">
      <c r="H102" s="8"/>
      <c r="I102" s="18"/>
      <c r="K102" s="6"/>
    </row>
    <row r="103" spans="8:11" s="11" customFormat="1" x14ac:dyDescent="0.3">
      <c r="H103" s="8"/>
      <c r="I103" s="18"/>
      <c r="K103" s="6"/>
    </row>
    <row r="104" spans="8:11" s="11" customFormat="1" x14ac:dyDescent="0.3">
      <c r="H104" s="8"/>
      <c r="I104" s="18"/>
      <c r="K104" s="6"/>
    </row>
    <row r="105" spans="8:11" s="11" customFormat="1" x14ac:dyDescent="0.3">
      <c r="H105" s="8"/>
      <c r="I105" s="18"/>
      <c r="K105" s="6"/>
    </row>
    <row r="106" spans="8:11" s="11" customFormat="1" x14ac:dyDescent="0.3">
      <c r="H106" s="8"/>
      <c r="I106" s="18"/>
      <c r="K106" s="6"/>
    </row>
    <row r="107" spans="8:11" s="11" customFormat="1" x14ac:dyDescent="0.3">
      <c r="H107" s="8"/>
      <c r="I107" s="18"/>
      <c r="K107" s="6"/>
    </row>
    <row r="108" spans="8:11" s="11" customFormat="1" x14ac:dyDescent="0.3">
      <c r="H108" s="8"/>
      <c r="I108" s="18"/>
      <c r="K108" s="6"/>
    </row>
    <row r="109" spans="8:11" s="11" customFormat="1" x14ac:dyDescent="0.3">
      <c r="H109" s="8"/>
      <c r="I109" s="18"/>
      <c r="K109" s="6"/>
    </row>
    <row r="110" spans="8:11" s="11" customFormat="1" x14ac:dyDescent="0.3">
      <c r="H110" s="8"/>
      <c r="I110" s="18"/>
      <c r="K110" s="6"/>
    </row>
    <row r="111" spans="8:11" s="11" customFormat="1" x14ac:dyDescent="0.3">
      <c r="H111" s="8"/>
      <c r="I111" s="18"/>
      <c r="K111" s="6"/>
    </row>
    <row r="112" spans="8:11" s="11" customFormat="1" x14ac:dyDescent="0.3">
      <c r="H112" s="8"/>
      <c r="I112" s="18"/>
      <c r="K112" s="6"/>
    </row>
    <row r="113" spans="8:11" s="11" customFormat="1" x14ac:dyDescent="0.3">
      <c r="H113" s="8"/>
      <c r="I113" s="18"/>
      <c r="K113" s="6"/>
    </row>
    <row r="114" spans="8:11" s="11" customFormat="1" x14ac:dyDescent="0.3">
      <c r="H114" s="8"/>
      <c r="I114" s="18"/>
      <c r="K114" s="6"/>
    </row>
    <row r="115" spans="8:11" s="11" customFormat="1" x14ac:dyDescent="0.3">
      <c r="H115" s="8"/>
      <c r="I115" s="18"/>
      <c r="K115" s="6"/>
    </row>
    <row r="116" spans="8:11" s="11" customFormat="1" x14ac:dyDescent="0.3">
      <c r="H116" s="8"/>
      <c r="I116" s="18"/>
      <c r="K116" s="6"/>
    </row>
    <row r="117" spans="8:11" s="11" customFormat="1" x14ac:dyDescent="0.3">
      <c r="H117" s="8"/>
      <c r="I117" s="18"/>
      <c r="K117" s="6"/>
    </row>
    <row r="118" spans="8:11" s="11" customFormat="1" x14ac:dyDescent="0.3">
      <c r="H118" s="8"/>
      <c r="I118" s="18"/>
      <c r="K118" s="6"/>
    </row>
    <row r="119" spans="8:11" s="11" customFormat="1" x14ac:dyDescent="0.3">
      <c r="H119" s="8"/>
      <c r="I119" s="18"/>
      <c r="K119" s="6"/>
    </row>
    <row r="120" spans="8:11" s="11" customFormat="1" x14ac:dyDescent="0.3">
      <c r="H120" s="8"/>
      <c r="I120" s="18"/>
      <c r="K120" s="6"/>
    </row>
    <row r="121" spans="8:11" s="11" customFormat="1" x14ac:dyDescent="0.3">
      <c r="H121" s="8"/>
      <c r="I121" s="18"/>
      <c r="K121" s="6"/>
    </row>
    <row r="122" spans="8:11" s="11" customFormat="1" x14ac:dyDescent="0.3">
      <c r="H122" s="8"/>
      <c r="I122" s="18"/>
      <c r="K122" s="6"/>
    </row>
    <row r="123" spans="8:11" s="11" customFormat="1" x14ac:dyDescent="0.3">
      <c r="H123" s="8"/>
      <c r="I123" s="18"/>
      <c r="K123" s="6"/>
    </row>
    <row r="124" spans="8:11" s="11" customFormat="1" x14ac:dyDescent="0.3">
      <c r="H124" s="8"/>
      <c r="I124" s="18"/>
      <c r="K124" s="6"/>
    </row>
    <row r="125" spans="8:11" s="11" customFormat="1" x14ac:dyDescent="0.3">
      <c r="H125" s="8"/>
      <c r="I125" s="18"/>
      <c r="K125" s="6"/>
    </row>
    <row r="126" spans="8:11" s="11" customFormat="1" x14ac:dyDescent="0.3">
      <c r="H126" s="8"/>
      <c r="I126" s="18"/>
      <c r="K126" s="6"/>
    </row>
    <row r="127" spans="8:11" s="11" customFormat="1" x14ac:dyDescent="0.3">
      <c r="H127" s="8"/>
      <c r="I127" s="18"/>
      <c r="K127" s="6"/>
    </row>
    <row r="128" spans="8:11" s="11" customFormat="1" x14ac:dyDescent="0.3">
      <c r="H128" s="8"/>
      <c r="I128" s="18"/>
      <c r="K128" s="6"/>
    </row>
    <row r="129" spans="8:11" s="11" customFormat="1" x14ac:dyDescent="0.3">
      <c r="H129" s="8"/>
      <c r="I129" s="18"/>
      <c r="K129" s="6"/>
    </row>
    <row r="130" spans="8:11" s="11" customFormat="1" x14ac:dyDescent="0.3">
      <c r="H130" s="8"/>
      <c r="I130" s="18"/>
      <c r="K130" s="6"/>
    </row>
    <row r="131" spans="8:11" s="11" customFormat="1" x14ac:dyDescent="0.3">
      <c r="H131" s="8"/>
      <c r="I131" s="18"/>
      <c r="K131" s="6"/>
    </row>
    <row r="132" spans="8:11" s="11" customFormat="1" x14ac:dyDescent="0.3">
      <c r="H132" s="8"/>
      <c r="I132" s="18"/>
      <c r="K132" s="6"/>
    </row>
    <row r="133" spans="8:11" s="11" customFormat="1" x14ac:dyDescent="0.3">
      <c r="H133" s="8"/>
      <c r="I133" s="18"/>
      <c r="K133" s="6"/>
    </row>
    <row r="134" spans="8:11" s="11" customFormat="1" x14ac:dyDescent="0.3">
      <c r="H134" s="8"/>
      <c r="I134" s="18"/>
      <c r="K134" s="6"/>
    </row>
    <row r="135" spans="8:11" s="11" customFormat="1" x14ac:dyDescent="0.3">
      <c r="H135" s="8"/>
      <c r="I135" s="18"/>
      <c r="K135" s="6"/>
    </row>
    <row r="136" spans="8:11" s="11" customFormat="1" x14ac:dyDescent="0.3">
      <c r="H136" s="8"/>
      <c r="I136" s="18"/>
      <c r="K136" s="6"/>
    </row>
    <row r="137" spans="8:11" s="11" customFormat="1" x14ac:dyDescent="0.3">
      <c r="H137" s="8"/>
      <c r="I137" s="18"/>
      <c r="K137" s="6"/>
    </row>
    <row r="138" spans="8:11" s="11" customFormat="1" x14ac:dyDescent="0.3">
      <c r="H138" s="8"/>
      <c r="I138" s="18"/>
      <c r="K138" s="6"/>
    </row>
    <row r="139" spans="8:11" s="11" customFormat="1" x14ac:dyDescent="0.3">
      <c r="H139" s="8"/>
      <c r="I139" s="18"/>
      <c r="K139" s="6"/>
    </row>
    <row r="140" spans="8:11" s="11" customFormat="1" x14ac:dyDescent="0.3">
      <c r="H140" s="8"/>
      <c r="I140" s="18"/>
      <c r="K140" s="6"/>
    </row>
    <row r="141" spans="8:11" s="11" customFormat="1" x14ac:dyDescent="0.3">
      <c r="H141" s="8"/>
      <c r="I141" s="18"/>
      <c r="K141" s="6"/>
    </row>
    <row r="142" spans="8:11" s="11" customFormat="1" x14ac:dyDescent="0.3">
      <c r="H142" s="8"/>
      <c r="I142" s="18"/>
      <c r="K142" s="6"/>
    </row>
    <row r="143" spans="8:11" s="11" customFormat="1" x14ac:dyDescent="0.3">
      <c r="H143" s="8"/>
      <c r="I143" s="18"/>
      <c r="K143" s="6"/>
    </row>
    <row r="144" spans="8:11" s="11" customFormat="1" x14ac:dyDescent="0.3">
      <c r="H144" s="8"/>
      <c r="I144" s="18"/>
      <c r="K144" s="6"/>
    </row>
    <row r="145" spans="8:11" s="11" customFormat="1" x14ac:dyDescent="0.3">
      <c r="H145" s="8"/>
      <c r="I145" s="18"/>
      <c r="K145" s="6"/>
    </row>
    <row r="146" spans="8:11" s="11" customFormat="1" x14ac:dyDescent="0.3">
      <c r="H146" s="8"/>
      <c r="I146" s="18"/>
      <c r="K146" s="6"/>
    </row>
    <row r="147" spans="8:11" s="11" customFormat="1" x14ac:dyDescent="0.3">
      <c r="H147" s="8"/>
      <c r="I147" s="18"/>
      <c r="K147" s="6"/>
    </row>
    <row r="148" spans="8:11" s="11" customFormat="1" x14ac:dyDescent="0.3">
      <c r="H148" s="8"/>
      <c r="I148" s="18"/>
      <c r="K148" s="6"/>
    </row>
    <row r="149" spans="8:11" s="11" customFormat="1" x14ac:dyDescent="0.3">
      <c r="H149" s="8"/>
      <c r="I149" s="18"/>
      <c r="K149" s="6"/>
    </row>
    <row r="150" spans="8:11" s="11" customFormat="1" x14ac:dyDescent="0.3">
      <c r="H150" s="8"/>
      <c r="I150" s="18"/>
      <c r="K150" s="6"/>
    </row>
    <row r="151" spans="8:11" s="11" customFormat="1" x14ac:dyDescent="0.3">
      <c r="H151" s="8"/>
      <c r="I151" s="18"/>
      <c r="K151" s="6"/>
    </row>
    <row r="152" spans="8:11" s="11" customFormat="1" x14ac:dyDescent="0.3">
      <c r="H152" s="8"/>
      <c r="I152" s="18"/>
      <c r="K152" s="6"/>
    </row>
    <row r="153" spans="8:11" s="11" customFormat="1" x14ac:dyDescent="0.3">
      <c r="H153" s="8"/>
      <c r="I153" s="18"/>
      <c r="K153" s="6"/>
    </row>
    <row r="154" spans="8:11" s="11" customFormat="1" x14ac:dyDescent="0.3">
      <c r="H154" s="8"/>
      <c r="I154" s="18"/>
      <c r="K154" s="6"/>
    </row>
    <row r="155" spans="8:11" s="11" customFormat="1" x14ac:dyDescent="0.3">
      <c r="H155" s="8"/>
      <c r="I155" s="18"/>
      <c r="K155" s="6"/>
    </row>
    <row r="156" spans="8:11" s="11" customFormat="1" x14ac:dyDescent="0.3">
      <c r="H156" s="8"/>
      <c r="I156" s="18"/>
      <c r="K156" s="6"/>
    </row>
    <row r="157" spans="8:11" s="11" customFormat="1" x14ac:dyDescent="0.3">
      <c r="H157" s="8"/>
      <c r="I157" s="18"/>
      <c r="K157" s="6"/>
    </row>
    <row r="158" spans="8:11" s="11" customFormat="1" x14ac:dyDescent="0.3">
      <c r="H158" s="8"/>
      <c r="I158" s="18"/>
      <c r="K158" s="6"/>
    </row>
    <row r="159" spans="8:11" s="11" customFormat="1" x14ac:dyDescent="0.3">
      <c r="H159" s="8"/>
      <c r="I159" s="18"/>
      <c r="K159" s="6"/>
    </row>
    <row r="160" spans="8:11" s="11" customFormat="1" x14ac:dyDescent="0.3">
      <c r="H160" s="8"/>
      <c r="I160" s="18"/>
      <c r="K160" s="6"/>
    </row>
    <row r="161" spans="8:11" s="11" customFormat="1" x14ac:dyDescent="0.3">
      <c r="H161" s="8"/>
      <c r="I161" s="18"/>
      <c r="K161" s="6"/>
    </row>
    <row r="162" spans="8:11" s="11" customFormat="1" x14ac:dyDescent="0.3">
      <c r="H162" s="8"/>
      <c r="I162" s="18"/>
      <c r="K162" s="6"/>
    </row>
    <row r="163" spans="8:11" s="11" customFormat="1" x14ac:dyDescent="0.3">
      <c r="H163" s="8"/>
      <c r="I163" s="18"/>
      <c r="K163" s="6"/>
    </row>
    <row r="164" spans="8:11" s="11" customFormat="1" x14ac:dyDescent="0.3">
      <c r="H164" s="8"/>
      <c r="I164" s="18"/>
      <c r="K164" s="6"/>
    </row>
    <row r="165" spans="8:11" s="11" customFormat="1" x14ac:dyDescent="0.3">
      <c r="H165" s="8"/>
      <c r="I165" s="18"/>
      <c r="K165" s="6"/>
    </row>
    <row r="166" spans="8:11" s="11" customFormat="1" x14ac:dyDescent="0.3">
      <c r="H166" s="8"/>
      <c r="I166" s="18"/>
      <c r="K166" s="6"/>
    </row>
    <row r="167" spans="8:11" s="11" customFormat="1" x14ac:dyDescent="0.3">
      <c r="H167" s="8"/>
      <c r="I167" s="18"/>
      <c r="K167" s="6"/>
    </row>
    <row r="168" spans="8:11" s="11" customFormat="1" x14ac:dyDescent="0.3">
      <c r="H168" s="8"/>
      <c r="I168" s="18"/>
      <c r="K168" s="6"/>
    </row>
    <row r="169" spans="8:11" s="11" customFormat="1" x14ac:dyDescent="0.3">
      <c r="H169" s="8"/>
      <c r="I169" s="18"/>
      <c r="K169" s="6"/>
    </row>
    <row r="170" spans="8:11" s="11" customFormat="1" x14ac:dyDescent="0.3">
      <c r="H170" s="8"/>
      <c r="I170" s="18"/>
      <c r="K170" s="6"/>
    </row>
    <row r="171" spans="8:11" s="11" customFormat="1" x14ac:dyDescent="0.3">
      <c r="H171" s="8"/>
      <c r="I171" s="18"/>
      <c r="K171" s="6"/>
    </row>
    <row r="172" spans="8:11" s="11" customFormat="1" x14ac:dyDescent="0.3">
      <c r="H172" s="8"/>
      <c r="I172" s="18"/>
      <c r="K172" s="6"/>
    </row>
    <row r="173" spans="8:11" s="11" customFormat="1" x14ac:dyDescent="0.3">
      <c r="H173" s="8"/>
      <c r="I173" s="18"/>
      <c r="K173" s="6"/>
    </row>
    <row r="174" spans="8:11" s="11" customFormat="1" x14ac:dyDescent="0.3">
      <c r="H174" s="8"/>
      <c r="I174" s="18"/>
      <c r="K174" s="6"/>
    </row>
    <row r="175" spans="8:11" s="11" customFormat="1" x14ac:dyDescent="0.3">
      <c r="H175" s="8"/>
      <c r="I175" s="18"/>
      <c r="K175" s="6"/>
    </row>
    <row r="176" spans="8:11" s="11" customFormat="1" x14ac:dyDescent="0.3">
      <c r="H176" s="8"/>
      <c r="I176" s="18"/>
      <c r="K176" s="6"/>
    </row>
    <row r="177" spans="8:11" s="11" customFormat="1" x14ac:dyDescent="0.3">
      <c r="H177" s="8"/>
      <c r="I177" s="18"/>
      <c r="K177" s="6"/>
    </row>
    <row r="178" spans="8:11" s="11" customFormat="1" x14ac:dyDescent="0.3">
      <c r="H178" s="8"/>
      <c r="I178" s="18"/>
      <c r="K178" s="6"/>
    </row>
    <row r="179" spans="8:11" s="11" customFormat="1" x14ac:dyDescent="0.3">
      <c r="H179" s="8"/>
      <c r="I179" s="18"/>
      <c r="K179" s="6"/>
    </row>
    <row r="180" spans="8:11" s="11" customFormat="1" x14ac:dyDescent="0.3">
      <c r="H180" s="8"/>
      <c r="I180" s="18"/>
      <c r="K180" s="6"/>
    </row>
    <row r="181" spans="8:11" s="11" customFormat="1" x14ac:dyDescent="0.3">
      <c r="H181" s="8"/>
      <c r="I181" s="18"/>
      <c r="K181" s="6"/>
    </row>
    <row r="182" spans="8:11" s="11" customFormat="1" x14ac:dyDescent="0.3">
      <c r="H182" s="8"/>
      <c r="I182" s="18"/>
      <c r="K182" s="6"/>
    </row>
    <row r="183" spans="8:11" s="11" customFormat="1" x14ac:dyDescent="0.3">
      <c r="H183" s="8"/>
      <c r="I183" s="18"/>
      <c r="K183" s="6"/>
    </row>
    <row r="184" spans="8:11" s="11" customFormat="1" x14ac:dyDescent="0.3">
      <c r="H184" s="8"/>
      <c r="I184" s="18"/>
      <c r="K184" s="6"/>
    </row>
    <row r="185" spans="8:11" s="11" customFormat="1" x14ac:dyDescent="0.3">
      <c r="H185" s="8"/>
      <c r="I185" s="18"/>
      <c r="K185" s="6"/>
    </row>
    <row r="186" spans="8:11" s="11" customFormat="1" x14ac:dyDescent="0.3">
      <c r="H186" s="8"/>
      <c r="I186" s="18"/>
      <c r="K186" s="6"/>
    </row>
    <row r="187" spans="8:11" s="11" customFormat="1" x14ac:dyDescent="0.3">
      <c r="H187" s="8"/>
      <c r="I187" s="18"/>
      <c r="K187" s="6"/>
    </row>
    <row r="188" spans="8:11" s="11" customFormat="1" x14ac:dyDescent="0.3">
      <c r="H188" s="8"/>
      <c r="I188" s="18"/>
      <c r="K188" s="6"/>
    </row>
    <row r="189" spans="8:11" s="11" customFormat="1" x14ac:dyDescent="0.3">
      <c r="H189" s="8"/>
      <c r="I189" s="18"/>
      <c r="K189" s="6"/>
    </row>
    <row r="190" spans="8:11" s="11" customFormat="1" x14ac:dyDescent="0.3">
      <c r="H190" s="8"/>
      <c r="I190" s="18"/>
      <c r="K190" s="6"/>
    </row>
    <row r="191" spans="8:11" s="11" customFormat="1" x14ac:dyDescent="0.3">
      <c r="H191" s="8"/>
      <c r="I191" s="18"/>
      <c r="K191" s="6"/>
    </row>
    <row r="192" spans="8:11" s="11" customFormat="1" x14ac:dyDescent="0.3">
      <c r="H192" s="8"/>
      <c r="I192" s="18"/>
      <c r="K192" s="6"/>
    </row>
    <row r="193" spans="8:11" s="11" customFormat="1" x14ac:dyDescent="0.3">
      <c r="H193" s="8"/>
      <c r="I193" s="18"/>
      <c r="K193" s="6"/>
    </row>
    <row r="194" spans="8:11" s="11" customFormat="1" x14ac:dyDescent="0.3">
      <c r="H194" s="8"/>
      <c r="I194" s="18"/>
      <c r="K194" s="6"/>
    </row>
    <row r="195" spans="8:11" s="11" customFormat="1" x14ac:dyDescent="0.3">
      <c r="H195" s="8"/>
      <c r="I195" s="18"/>
      <c r="K195" s="6"/>
    </row>
    <row r="196" spans="8:11" s="11" customFormat="1" x14ac:dyDescent="0.3">
      <c r="H196" s="8"/>
      <c r="I196" s="18"/>
      <c r="K196" s="6"/>
    </row>
    <row r="197" spans="8:11" s="11" customFormat="1" x14ac:dyDescent="0.3">
      <c r="H197" s="8"/>
      <c r="I197" s="18"/>
      <c r="K197" s="6"/>
    </row>
    <row r="198" spans="8:11" s="11" customFormat="1" x14ac:dyDescent="0.3">
      <c r="H198" s="8"/>
      <c r="I198" s="18"/>
      <c r="K198" s="6"/>
    </row>
    <row r="199" spans="8:11" s="11" customFormat="1" x14ac:dyDescent="0.3">
      <c r="H199" s="8"/>
      <c r="I199" s="18"/>
      <c r="K199" s="6"/>
    </row>
    <row r="200" spans="8:11" s="11" customFormat="1" x14ac:dyDescent="0.3">
      <c r="H200" s="8"/>
      <c r="I200" s="18"/>
      <c r="K200" s="6"/>
    </row>
    <row r="201" spans="8:11" s="11" customFormat="1" x14ac:dyDescent="0.3">
      <c r="H201" s="8"/>
      <c r="I201" s="18"/>
      <c r="K201" s="6"/>
    </row>
    <row r="202" spans="8:11" s="11" customFormat="1" x14ac:dyDescent="0.3">
      <c r="H202" s="8"/>
      <c r="I202" s="18"/>
      <c r="K202" s="6"/>
    </row>
    <row r="203" spans="8:11" s="11" customFormat="1" x14ac:dyDescent="0.3">
      <c r="H203" s="8"/>
      <c r="I203" s="18"/>
      <c r="K203" s="6"/>
    </row>
    <row r="204" spans="8:11" s="11" customFormat="1" x14ac:dyDescent="0.3">
      <c r="H204" s="8"/>
      <c r="I204" s="18"/>
      <c r="K204" s="6"/>
    </row>
    <row r="205" spans="8:11" s="11" customFormat="1" x14ac:dyDescent="0.3">
      <c r="H205" s="8"/>
      <c r="I205" s="18"/>
      <c r="K205" s="6"/>
    </row>
    <row r="206" spans="8:11" s="11" customFormat="1" x14ac:dyDescent="0.3">
      <c r="H206" s="8"/>
      <c r="I206" s="18"/>
      <c r="K206" s="6"/>
    </row>
    <row r="207" spans="8:11" s="11" customFormat="1" x14ac:dyDescent="0.3">
      <c r="H207" s="8"/>
      <c r="I207" s="18"/>
      <c r="K207" s="6"/>
    </row>
    <row r="208" spans="8:11" s="11" customFormat="1" x14ac:dyDescent="0.3">
      <c r="H208" s="8"/>
      <c r="I208" s="18"/>
      <c r="K208" s="6"/>
    </row>
    <row r="209" spans="8:11" s="11" customFormat="1" x14ac:dyDescent="0.3">
      <c r="H209" s="8"/>
      <c r="I209" s="18"/>
      <c r="K209" s="6"/>
    </row>
    <row r="210" spans="8:11" s="11" customFormat="1" x14ac:dyDescent="0.3">
      <c r="H210" s="8"/>
      <c r="I210" s="18"/>
      <c r="K210" s="6"/>
    </row>
    <row r="211" spans="8:11" s="11" customFormat="1" x14ac:dyDescent="0.3">
      <c r="H211" s="8"/>
      <c r="I211" s="18"/>
      <c r="K211" s="6"/>
    </row>
    <row r="212" spans="8:11" s="11" customFormat="1" x14ac:dyDescent="0.3">
      <c r="H212" s="8"/>
      <c r="I212" s="18"/>
      <c r="K212" s="6"/>
    </row>
    <row r="213" spans="8:11" s="11" customFormat="1" x14ac:dyDescent="0.3">
      <c r="H213" s="8"/>
      <c r="I213" s="18"/>
      <c r="K213" s="6"/>
    </row>
    <row r="214" spans="8:11" s="11" customFormat="1" x14ac:dyDescent="0.3">
      <c r="H214" s="8"/>
      <c r="I214" s="18"/>
      <c r="K214" s="6"/>
    </row>
    <row r="215" spans="8:11" s="11" customFormat="1" x14ac:dyDescent="0.3">
      <c r="H215" s="8"/>
      <c r="I215" s="18"/>
      <c r="K215" s="6"/>
    </row>
    <row r="216" spans="8:11" s="11" customFormat="1" x14ac:dyDescent="0.3">
      <c r="H216" s="8"/>
      <c r="I216" s="18"/>
      <c r="K216" s="6"/>
    </row>
    <row r="217" spans="8:11" s="11" customFormat="1" x14ac:dyDescent="0.3">
      <c r="H217" s="8"/>
      <c r="I217" s="18"/>
      <c r="K217" s="6"/>
    </row>
    <row r="218" spans="8:11" s="11" customFormat="1" x14ac:dyDescent="0.3">
      <c r="H218" s="8"/>
      <c r="I218" s="18"/>
      <c r="K218" s="6"/>
    </row>
    <row r="219" spans="8:11" s="11" customFormat="1" x14ac:dyDescent="0.3">
      <c r="H219" s="8"/>
      <c r="I219" s="18"/>
      <c r="K219" s="6"/>
    </row>
    <row r="220" spans="8:11" s="11" customFormat="1" x14ac:dyDescent="0.3">
      <c r="H220" s="8"/>
      <c r="I220" s="18"/>
      <c r="K220" s="6"/>
    </row>
    <row r="221" spans="8:11" s="11" customFormat="1" x14ac:dyDescent="0.3">
      <c r="H221" s="8"/>
      <c r="I221" s="18"/>
      <c r="K221" s="6"/>
    </row>
    <row r="222" spans="8:11" s="11" customFormat="1" x14ac:dyDescent="0.3">
      <c r="H222" s="8"/>
      <c r="I222" s="18"/>
      <c r="K222" s="6"/>
    </row>
    <row r="223" spans="8:11" s="11" customFormat="1" x14ac:dyDescent="0.3">
      <c r="H223" s="8"/>
      <c r="I223" s="18"/>
      <c r="K223" s="6"/>
    </row>
    <row r="224" spans="8:11" s="11" customFormat="1" x14ac:dyDescent="0.3">
      <c r="H224" s="8"/>
      <c r="I224" s="18"/>
      <c r="K224" s="6"/>
    </row>
    <row r="225" spans="8:11" s="11" customFormat="1" x14ac:dyDescent="0.3">
      <c r="H225" s="8"/>
      <c r="I225" s="18"/>
      <c r="K225" s="6"/>
    </row>
    <row r="226" spans="8:11" s="11" customFormat="1" x14ac:dyDescent="0.3">
      <c r="H226" s="8"/>
      <c r="I226" s="18"/>
      <c r="K226" s="6"/>
    </row>
    <row r="227" spans="8:11" s="11" customFormat="1" x14ac:dyDescent="0.3">
      <c r="H227" s="8"/>
      <c r="I227" s="18"/>
      <c r="K227" s="6"/>
    </row>
    <row r="228" spans="8:11" s="11" customFormat="1" x14ac:dyDescent="0.3">
      <c r="H228" s="8"/>
      <c r="I228" s="18"/>
      <c r="K228" s="6"/>
    </row>
    <row r="229" spans="8:11" s="11" customFormat="1" x14ac:dyDescent="0.3">
      <c r="H229" s="8"/>
      <c r="I229" s="18"/>
      <c r="K229" s="6"/>
    </row>
    <row r="230" spans="8:11" s="11" customFormat="1" x14ac:dyDescent="0.3">
      <c r="H230" s="8"/>
      <c r="I230" s="18"/>
      <c r="K230" s="6"/>
    </row>
    <row r="231" spans="8:11" s="11" customFormat="1" x14ac:dyDescent="0.3">
      <c r="H231" s="8"/>
      <c r="I231" s="18"/>
      <c r="K231" s="6"/>
    </row>
    <row r="232" spans="8:11" s="11" customFormat="1" x14ac:dyDescent="0.3">
      <c r="H232" s="8"/>
      <c r="I232" s="18"/>
      <c r="K232" s="6"/>
    </row>
    <row r="233" spans="8:11" s="11" customFormat="1" x14ac:dyDescent="0.3">
      <c r="H233" s="8"/>
      <c r="I233" s="18"/>
      <c r="K233" s="6"/>
    </row>
    <row r="234" spans="8:11" s="11" customFormat="1" x14ac:dyDescent="0.3">
      <c r="H234" s="8"/>
      <c r="I234" s="18"/>
      <c r="K234" s="6"/>
    </row>
    <row r="235" spans="8:11" s="11" customFormat="1" x14ac:dyDescent="0.3">
      <c r="H235" s="8"/>
      <c r="I235" s="18"/>
      <c r="K235" s="6"/>
    </row>
    <row r="236" spans="8:11" s="11" customFormat="1" x14ac:dyDescent="0.3">
      <c r="H236" s="8"/>
      <c r="I236" s="18"/>
      <c r="K236" s="6"/>
    </row>
    <row r="237" spans="8:11" s="11" customFormat="1" x14ac:dyDescent="0.3">
      <c r="H237" s="8"/>
      <c r="I237" s="18"/>
      <c r="K237" s="6"/>
    </row>
    <row r="238" spans="8:11" s="11" customFormat="1" x14ac:dyDescent="0.3">
      <c r="H238" s="8"/>
      <c r="I238" s="18"/>
      <c r="K238" s="6"/>
    </row>
    <row r="239" spans="8:11" s="11" customFormat="1" x14ac:dyDescent="0.3">
      <c r="H239" s="8"/>
      <c r="I239" s="18"/>
      <c r="K239" s="6"/>
    </row>
    <row r="240" spans="8:11" s="11" customFormat="1" x14ac:dyDescent="0.3">
      <c r="H240" s="8"/>
      <c r="I240" s="18"/>
      <c r="K240" s="6"/>
    </row>
    <row r="241" spans="8:11" s="11" customFormat="1" x14ac:dyDescent="0.3">
      <c r="H241" s="8"/>
      <c r="I241" s="18"/>
      <c r="K241" s="6"/>
    </row>
    <row r="242" spans="8:11" s="11" customFormat="1" x14ac:dyDescent="0.3">
      <c r="H242" s="8"/>
      <c r="I242" s="18"/>
      <c r="K242" s="6"/>
    </row>
    <row r="243" spans="8:11" s="11" customFormat="1" x14ac:dyDescent="0.3">
      <c r="H243" s="8"/>
      <c r="I243" s="18"/>
      <c r="K243" s="6"/>
    </row>
    <row r="244" spans="8:11" s="11" customFormat="1" x14ac:dyDescent="0.3">
      <c r="H244" s="8"/>
      <c r="I244" s="18"/>
      <c r="K244" s="6"/>
    </row>
    <row r="245" spans="8:11" s="11" customFormat="1" x14ac:dyDescent="0.3">
      <c r="H245" s="8"/>
      <c r="I245" s="18"/>
      <c r="K245" s="6"/>
    </row>
    <row r="246" spans="8:11" s="11" customFormat="1" x14ac:dyDescent="0.3">
      <c r="H246" s="8"/>
      <c r="I246" s="18"/>
      <c r="K246" s="6"/>
    </row>
    <row r="247" spans="8:11" s="11" customFormat="1" x14ac:dyDescent="0.3">
      <c r="H247" s="8"/>
      <c r="I247" s="18"/>
      <c r="K247" s="6"/>
    </row>
    <row r="248" spans="8:11" s="11" customFormat="1" x14ac:dyDescent="0.3">
      <c r="H248" s="8"/>
      <c r="I248" s="18"/>
      <c r="K248" s="6"/>
    </row>
    <row r="249" spans="8:11" s="11" customFormat="1" x14ac:dyDescent="0.3">
      <c r="H249" s="8"/>
      <c r="I249" s="18"/>
      <c r="K249" s="6"/>
    </row>
    <row r="250" spans="8:11" s="11" customFormat="1" x14ac:dyDescent="0.3">
      <c r="H250" s="8"/>
      <c r="I250" s="18"/>
      <c r="K250" s="6"/>
    </row>
    <row r="251" spans="8:11" s="11" customFormat="1" x14ac:dyDescent="0.3">
      <c r="H251" s="8"/>
      <c r="I251" s="18"/>
      <c r="K251" s="6"/>
    </row>
    <row r="252" spans="8:11" s="11" customFormat="1" x14ac:dyDescent="0.3">
      <c r="H252" s="8"/>
      <c r="I252" s="18"/>
      <c r="K252" s="6"/>
    </row>
    <row r="253" spans="8:11" s="11" customFormat="1" x14ac:dyDescent="0.3">
      <c r="H253" s="8"/>
      <c r="I253" s="18"/>
      <c r="K253" s="6"/>
    </row>
    <row r="254" spans="8:11" s="11" customFormat="1" x14ac:dyDescent="0.3">
      <c r="H254" s="8"/>
      <c r="I254" s="18"/>
      <c r="K254" s="6"/>
    </row>
    <row r="255" spans="8:11" s="11" customFormat="1" x14ac:dyDescent="0.3">
      <c r="H255" s="8"/>
      <c r="I255" s="18"/>
      <c r="K255" s="6"/>
    </row>
    <row r="256" spans="8:11" s="11" customFormat="1" x14ac:dyDescent="0.3">
      <c r="H256" s="8"/>
      <c r="I256" s="18"/>
      <c r="K256" s="6"/>
    </row>
    <row r="257" spans="8:11" s="11" customFormat="1" x14ac:dyDescent="0.3">
      <c r="H257" s="8"/>
      <c r="I257" s="18"/>
      <c r="K257" s="6"/>
    </row>
    <row r="258" spans="8:11" s="11" customFormat="1" x14ac:dyDescent="0.3">
      <c r="H258" s="8"/>
      <c r="I258" s="18"/>
      <c r="K258" s="6"/>
    </row>
    <row r="259" spans="8:11" s="11" customFormat="1" x14ac:dyDescent="0.3">
      <c r="H259" s="8"/>
      <c r="I259" s="18"/>
      <c r="K259" s="6"/>
    </row>
    <row r="260" spans="8:11" s="11" customFormat="1" x14ac:dyDescent="0.3">
      <c r="H260" s="8"/>
      <c r="I260" s="18"/>
      <c r="K260" s="6"/>
    </row>
    <row r="261" spans="8:11" s="11" customFormat="1" x14ac:dyDescent="0.3">
      <c r="H261" s="8"/>
      <c r="I261" s="18"/>
      <c r="K261" s="6"/>
    </row>
    <row r="262" spans="8:11" s="11" customFormat="1" x14ac:dyDescent="0.3">
      <c r="H262" s="8"/>
      <c r="I262" s="18"/>
      <c r="K262" s="6"/>
    </row>
    <row r="263" spans="8:11" s="11" customFormat="1" x14ac:dyDescent="0.3">
      <c r="H263" s="8"/>
      <c r="I263" s="18"/>
      <c r="K263" s="6"/>
    </row>
    <row r="264" spans="8:11" s="11" customFormat="1" x14ac:dyDescent="0.3">
      <c r="H264" s="8"/>
      <c r="I264" s="18"/>
      <c r="K264" s="6"/>
    </row>
    <row r="265" spans="8:11" s="11" customFormat="1" x14ac:dyDescent="0.3">
      <c r="H265" s="8"/>
      <c r="I265" s="18"/>
      <c r="K265" s="6"/>
    </row>
    <row r="266" spans="8:11" s="11" customFormat="1" x14ac:dyDescent="0.3">
      <c r="H266" s="8"/>
      <c r="I266" s="18"/>
      <c r="K266" s="6"/>
    </row>
    <row r="267" spans="8:11" s="11" customFormat="1" x14ac:dyDescent="0.3">
      <c r="H267" s="8"/>
      <c r="I267" s="18"/>
      <c r="K267" s="6"/>
    </row>
    <row r="268" spans="8:11" s="11" customFormat="1" x14ac:dyDescent="0.3">
      <c r="H268" s="8"/>
      <c r="I268" s="18"/>
      <c r="K268" s="6"/>
    </row>
    <row r="269" spans="8:11" s="11" customFormat="1" x14ac:dyDescent="0.3">
      <c r="H269" s="8"/>
      <c r="I269" s="18"/>
      <c r="K269" s="6"/>
    </row>
    <row r="270" spans="8:11" s="11" customFormat="1" x14ac:dyDescent="0.3">
      <c r="H270" s="8"/>
      <c r="I270" s="18"/>
      <c r="K270" s="6"/>
    </row>
    <row r="271" spans="8:11" s="11" customFormat="1" x14ac:dyDescent="0.3">
      <c r="H271" s="8"/>
      <c r="I271" s="18"/>
      <c r="K271" s="6"/>
    </row>
    <row r="272" spans="8:11" s="11" customFormat="1" x14ac:dyDescent="0.3">
      <c r="H272" s="8"/>
      <c r="I272" s="18"/>
      <c r="K272" s="6"/>
    </row>
    <row r="273" spans="8:11" s="11" customFormat="1" x14ac:dyDescent="0.3">
      <c r="H273" s="8"/>
      <c r="I273" s="18"/>
      <c r="K273" s="6"/>
    </row>
    <row r="274" spans="8:11" s="11" customFormat="1" x14ac:dyDescent="0.3">
      <c r="H274" s="8"/>
      <c r="I274" s="18"/>
      <c r="K274" s="6"/>
    </row>
    <row r="275" spans="8:11" s="11" customFormat="1" x14ac:dyDescent="0.3">
      <c r="H275" s="8"/>
      <c r="I275" s="18"/>
      <c r="K275" s="6"/>
    </row>
    <row r="276" spans="8:11" s="11" customFormat="1" x14ac:dyDescent="0.3">
      <c r="H276" s="8"/>
      <c r="I276" s="18"/>
      <c r="K276" s="6"/>
    </row>
    <row r="277" spans="8:11" s="11" customFormat="1" x14ac:dyDescent="0.3">
      <c r="H277" s="8"/>
      <c r="I277" s="18"/>
      <c r="K277" s="6"/>
    </row>
    <row r="278" spans="8:11" s="11" customFormat="1" x14ac:dyDescent="0.3">
      <c r="H278" s="8"/>
      <c r="I278" s="18"/>
      <c r="K278" s="6"/>
    </row>
    <row r="279" spans="8:11" s="11" customFormat="1" x14ac:dyDescent="0.3">
      <c r="H279" s="8"/>
      <c r="I279" s="18"/>
      <c r="K279" s="6"/>
    </row>
    <row r="280" spans="8:11" s="11" customFormat="1" x14ac:dyDescent="0.3">
      <c r="H280" s="8"/>
      <c r="I280" s="18"/>
      <c r="K280" s="6"/>
    </row>
    <row r="281" spans="8:11" s="11" customFormat="1" x14ac:dyDescent="0.3">
      <c r="H281" s="8"/>
      <c r="I281" s="18"/>
      <c r="K281" s="6"/>
    </row>
    <row r="282" spans="8:11" s="11" customFormat="1" x14ac:dyDescent="0.3">
      <c r="H282" s="8"/>
      <c r="I282" s="18"/>
      <c r="K282" s="6"/>
    </row>
    <row r="283" spans="8:11" s="11" customFormat="1" x14ac:dyDescent="0.3">
      <c r="H283" s="8"/>
      <c r="I283" s="18"/>
      <c r="K283" s="6"/>
    </row>
    <row r="284" spans="8:11" s="11" customFormat="1" x14ac:dyDescent="0.3">
      <c r="H284" s="8"/>
      <c r="I284" s="18"/>
      <c r="K284" s="6"/>
    </row>
    <row r="285" spans="8:11" s="11" customFormat="1" x14ac:dyDescent="0.3">
      <c r="H285" s="8"/>
      <c r="I285" s="18"/>
      <c r="K285" s="6"/>
    </row>
    <row r="286" spans="8:11" s="11" customFormat="1" x14ac:dyDescent="0.3">
      <c r="H286" s="8"/>
      <c r="I286" s="18"/>
      <c r="K286" s="6"/>
    </row>
    <row r="287" spans="8:11" s="11" customFormat="1" x14ac:dyDescent="0.3">
      <c r="H287" s="8"/>
      <c r="I287" s="18"/>
      <c r="K287" s="6"/>
    </row>
    <row r="288" spans="8:11" s="11" customFormat="1" x14ac:dyDescent="0.3">
      <c r="H288" s="8"/>
      <c r="I288" s="18"/>
      <c r="K288" s="6"/>
    </row>
    <row r="289" spans="8:11" s="11" customFormat="1" x14ac:dyDescent="0.3">
      <c r="H289" s="8"/>
      <c r="I289" s="18"/>
      <c r="K289" s="6"/>
    </row>
    <row r="290" spans="8:11" s="11" customFormat="1" x14ac:dyDescent="0.3">
      <c r="H290" s="8"/>
      <c r="I290" s="18"/>
      <c r="K290" s="6"/>
    </row>
    <row r="291" spans="8:11" s="11" customFormat="1" x14ac:dyDescent="0.3">
      <c r="H291" s="8"/>
      <c r="I291" s="18"/>
      <c r="K291" s="6"/>
    </row>
    <row r="292" spans="8:11" s="11" customFormat="1" x14ac:dyDescent="0.3">
      <c r="H292" s="8"/>
      <c r="I292" s="18"/>
      <c r="K292" s="6"/>
    </row>
    <row r="293" spans="8:11" s="11" customFormat="1" x14ac:dyDescent="0.3">
      <c r="H293" s="8"/>
      <c r="I293" s="18"/>
      <c r="K293" s="6"/>
    </row>
    <row r="294" spans="8:11" s="11" customFormat="1" x14ac:dyDescent="0.3">
      <c r="H294" s="8"/>
      <c r="I294" s="18"/>
      <c r="K294" s="6"/>
    </row>
    <row r="295" spans="8:11" s="11" customFormat="1" x14ac:dyDescent="0.3">
      <c r="H295" s="8"/>
      <c r="I295" s="18"/>
      <c r="K295" s="6"/>
    </row>
    <row r="296" spans="8:11" s="11" customFormat="1" x14ac:dyDescent="0.3">
      <c r="H296" s="8"/>
      <c r="I296" s="18"/>
      <c r="K296" s="6"/>
    </row>
    <row r="297" spans="8:11" s="11" customFormat="1" x14ac:dyDescent="0.3">
      <c r="H297" s="8"/>
      <c r="I297" s="18"/>
      <c r="K297" s="6"/>
    </row>
    <row r="298" spans="8:11" s="11" customFormat="1" x14ac:dyDescent="0.3">
      <c r="H298" s="8"/>
      <c r="I298" s="18"/>
      <c r="K298" s="6"/>
    </row>
    <row r="299" spans="8:11" s="11" customFormat="1" x14ac:dyDescent="0.3">
      <c r="H299" s="8"/>
      <c r="I299" s="18"/>
      <c r="K299" s="6"/>
    </row>
    <row r="300" spans="8:11" s="11" customFormat="1" x14ac:dyDescent="0.3">
      <c r="H300" s="8"/>
      <c r="I300" s="18"/>
      <c r="K300" s="6"/>
    </row>
    <row r="301" spans="8:11" s="11" customFormat="1" x14ac:dyDescent="0.3">
      <c r="H301" s="8"/>
      <c r="I301" s="18"/>
      <c r="K301" s="6"/>
    </row>
    <row r="302" spans="8:11" s="11" customFormat="1" x14ac:dyDescent="0.3">
      <c r="H302" s="8"/>
      <c r="I302" s="18"/>
      <c r="K302" s="6"/>
    </row>
    <row r="303" spans="8:11" s="11" customFormat="1" x14ac:dyDescent="0.3">
      <c r="H303" s="8"/>
      <c r="I303" s="18"/>
      <c r="K303" s="6"/>
    </row>
    <row r="304" spans="8:11" s="11" customFormat="1" x14ac:dyDescent="0.3">
      <c r="H304" s="8"/>
      <c r="I304" s="18"/>
      <c r="K304" s="6"/>
    </row>
    <row r="305" spans="8:11" s="11" customFormat="1" x14ac:dyDescent="0.3">
      <c r="H305" s="8"/>
      <c r="I305" s="18"/>
      <c r="K305" s="6"/>
    </row>
    <row r="306" spans="8:11" s="11" customFormat="1" x14ac:dyDescent="0.3">
      <c r="H306" s="8"/>
      <c r="I306" s="18"/>
      <c r="K306" s="6"/>
    </row>
    <row r="307" spans="8:11" s="11" customFormat="1" x14ac:dyDescent="0.3">
      <c r="H307" s="8"/>
      <c r="I307" s="18"/>
      <c r="K307" s="6"/>
    </row>
    <row r="308" spans="8:11" s="11" customFormat="1" x14ac:dyDescent="0.3">
      <c r="H308" s="8"/>
      <c r="I308" s="18"/>
      <c r="K308" s="6"/>
    </row>
    <row r="309" spans="8:11" s="11" customFormat="1" x14ac:dyDescent="0.3">
      <c r="H309" s="8"/>
      <c r="I309" s="18"/>
      <c r="K309" s="6"/>
    </row>
    <row r="310" spans="8:11" s="11" customFormat="1" x14ac:dyDescent="0.3">
      <c r="H310" s="8"/>
      <c r="I310" s="18"/>
      <c r="K310" s="6"/>
    </row>
    <row r="311" spans="8:11" s="11" customFormat="1" x14ac:dyDescent="0.3">
      <c r="H311" s="8"/>
      <c r="I311" s="18"/>
      <c r="K311" s="6"/>
    </row>
    <row r="312" spans="8:11" s="11" customFormat="1" x14ac:dyDescent="0.3">
      <c r="H312" s="8"/>
      <c r="I312" s="18"/>
      <c r="K312" s="6"/>
    </row>
    <row r="313" spans="8:11" s="11" customFormat="1" x14ac:dyDescent="0.3">
      <c r="H313" s="8"/>
      <c r="I313" s="18"/>
      <c r="K313" s="6"/>
    </row>
    <row r="314" spans="8:11" s="11" customFormat="1" x14ac:dyDescent="0.3">
      <c r="H314" s="8"/>
      <c r="I314" s="18"/>
      <c r="K314" s="6"/>
    </row>
    <row r="315" spans="8:11" s="11" customFormat="1" x14ac:dyDescent="0.3">
      <c r="H315" s="8"/>
      <c r="I315" s="18"/>
      <c r="K315" s="6"/>
    </row>
    <row r="316" spans="8:11" s="11" customFormat="1" x14ac:dyDescent="0.3">
      <c r="H316" s="8"/>
      <c r="I316" s="18"/>
      <c r="K316" s="6"/>
    </row>
    <row r="317" spans="8:11" s="11" customFormat="1" x14ac:dyDescent="0.3">
      <c r="H317" s="8"/>
      <c r="I317" s="18"/>
      <c r="K317" s="6"/>
    </row>
    <row r="318" spans="8:11" s="11" customFormat="1" x14ac:dyDescent="0.3">
      <c r="H318" s="8"/>
      <c r="I318" s="18"/>
      <c r="K318" s="6"/>
    </row>
    <row r="319" spans="8:11" s="11" customFormat="1" x14ac:dyDescent="0.3">
      <c r="H319" s="8"/>
      <c r="I319" s="18"/>
      <c r="K319" s="6"/>
    </row>
    <row r="320" spans="8:11" s="11" customFormat="1" x14ac:dyDescent="0.3">
      <c r="H320" s="8"/>
      <c r="I320" s="18"/>
      <c r="K320" s="6"/>
    </row>
    <row r="321" spans="8:11" s="11" customFormat="1" x14ac:dyDescent="0.3">
      <c r="H321" s="8"/>
      <c r="I321" s="18"/>
      <c r="K321" s="6"/>
    </row>
    <row r="322" spans="8:11" s="11" customFormat="1" x14ac:dyDescent="0.3">
      <c r="H322" s="8"/>
      <c r="I322" s="18"/>
      <c r="K322" s="6"/>
    </row>
    <row r="323" spans="8:11" s="11" customFormat="1" x14ac:dyDescent="0.3">
      <c r="H323" s="8"/>
      <c r="I323" s="18"/>
      <c r="K323" s="6"/>
    </row>
    <row r="324" spans="8:11" s="11" customFormat="1" x14ac:dyDescent="0.3">
      <c r="H324" s="8"/>
      <c r="I324" s="18"/>
      <c r="K324" s="6"/>
    </row>
    <row r="325" spans="8:11" s="11" customFormat="1" x14ac:dyDescent="0.3">
      <c r="H325" s="8"/>
      <c r="I325" s="18"/>
      <c r="K325" s="6"/>
    </row>
    <row r="326" spans="8:11" s="11" customFormat="1" x14ac:dyDescent="0.3">
      <c r="H326" s="8"/>
      <c r="I326" s="18"/>
      <c r="K326" s="6"/>
    </row>
    <row r="327" spans="8:11" s="11" customFormat="1" x14ac:dyDescent="0.3">
      <c r="H327" s="8"/>
      <c r="I327" s="18"/>
      <c r="K327" s="6"/>
    </row>
    <row r="328" spans="8:11" s="11" customFormat="1" x14ac:dyDescent="0.3">
      <c r="H328" s="8"/>
      <c r="I328" s="18"/>
      <c r="K328" s="6"/>
    </row>
    <row r="329" spans="8:11" s="11" customFormat="1" x14ac:dyDescent="0.3">
      <c r="H329" s="8"/>
      <c r="I329" s="18"/>
      <c r="K329" s="6"/>
    </row>
    <row r="330" spans="8:11" s="11" customFormat="1" x14ac:dyDescent="0.3">
      <c r="H330" s="8"/>
      <c r="I330" s="18"/>
      <c r="K330" s="6"/>
    </row>
    <row r="331" spans="8:11" s="11" customFormat="1" x14ac:dyDescent="0.3">
      <c r="H331" s="8"/>
      <c r="I331" s="18"/>
      <c r="K331" s="6"/>
    </row>
    <row r="332" spans="8:11" s="11" customFormat="1" x14ac:dyDescent="0.3">
      <c r="H332" s="8"/>
      <c r="I332" s="18"/>
      <c r="K332" s="6"/>
    </row>
    <row r="333" spans="8:11" s="11" customFormat="1" x14ac:dyDescent="0.3">
      <c r="H333" s="8"/>
      <c r="I333" s="18"/>
      <c r="K333" s="6"/>
    </row>
    <row r="334" spans="8:11" s="11" customFormat="1" x14ac:dyDescent="0.3">
      <c r="H334" s="8"/>
      <c r="I334" s="18"/>
      <c r="K334" s="6"/>
    </row>
    <row r="335" spans="8:11" s="11" customFormat="1" x14ac:dyDescent="0.3">
      <c r="H335" s="8"/>
      <c r="I335" s="18"/>
      <c r="K335" s="6"/>
    </row>
    <row r="336" spans="8:11" s="11" customFormat="1" x14ac:dyDescent="0.3">
      <c r="H336" s="8"/>
      <c r="I336" s="18"/>
      <c r="K336" s="6"/>
    </row>
    <row r="337" spans="8:11" s="11" customFormat="1" x14ac:dyDescent="0.3">
      <c r="H337" s="8"/>
      <c r="I337" s="18"/>
      <c r="K337" s="6"/>
    </row>
    <row r="338" spans="8:11" s="11" customFormat="1" x14ac:dyDescent="0.3">
      <c r="H338" s="8"/>
      <c r="I338" s="18"/>
      <c r="K338" s="6"/>
    </row>
    <row r="339" spans="8:11" s="11" customFormat="1" x14ac:dyDescent="0.3">
      <c r="H339" s="8"/>
      <c r="I339" s="18"/>
      <c r="K339" s="6"/>
    </row>
    <row r="340" spans="8:11" s="11" customFormat="1" x14ac:dyDescent="0.3">
      <c r="H340" s="8"/>
      <c r="I340" s="18"/>
      <c r="K340" s="6"/>
    </row>
    <row r="341" spans="8:11" s="11" customFormat="1" x14ac:dyDescent="0.3">
      <c r="H341" s="8"/>
      <c r="I341" s="18"/>
      <c r="K341" s="6"/>
    </row>
    <row r="342" spans="8:11" s="11" customFormat="1" x14ac:dyDescent="0.3">
      <c r="H342" s="8"/>
      <c r="I342" s="18"/>
      <c r="K342" s="6"/>
    </row>
  </sheetData>
  <mergeCells count="4">
    <mergeCell ref="A1:F1"/>
    <mergeCell ref="L1:Q1"/>
    <mergeCell ref="O10:P10"/>
    <mergeCell ref="L11:M11"/>
  </mergeCells>
  <pageMargins left="0.25" right="0.25" top="0.75" bottom="0.75" header="0.3" footer="0.3"/>
  <pageSetup paperSize="9" scale="73" fitToHeight="0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D51E-F300-45B6-A015-67EDEB2BFB1D}">
  <sheetPr codeName="Sheet20">
    <pageSetUpPr fitToPage="1"/>
  </sheetPr>
  <dimension ref="A1:Q342"/>
  <sheetViews>
    <sheetView rightToLeft="1" zoomScale="115" zoomScaleNormal="115" workbookViewId="0">
      <pane ySplit="13" topLeftCell="A28" activePane="bottomLeft" state="frozen"/>
      <selection pane="bottomLeft" activeCell="P3" sqref="P3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7.88671875" style="2" bestFit="1" customWidth="1"/>
    <col min="4" max="4" width="9.109375" style="2" bestFit="1" customWidth="1"/>
    <col min="5" max="5" width="5.109375" style="2" bestFit="1" customWidth="1"/>
    <col min="6" max="6" width="10.44140625" style="2" bestFit="1" customWidth="1"/>
    <col min="7" max="7" width="2.44140625" style="2" customWidth="1"/>
    <col min="8" max="8" width="14.109375" style="8" bestFit="1" customWidth="1"/>
    <col min="9" max="9" width="12.109375" style="7" bestFit="1" customWidth="1"/>
    <col min="10" max="10" width="8.5546875" style="11" bestFit="1" customWidth="1"/>
    <col min="11" max="11" width="5.21875" style="6" customWidth="1"/>
    <col min="12" max="12" width="9.44140625" style="2" bestFit="1" customWidth="1"/>
    <col min="13" max="13" width="5.109375" style="2" bestFit="1" customWidth="1"/>
    <col min="14" max="14" width="8.5546875" style="2" bestFit="1" customWidth="1"/>
    <col min="15" max="15" width="9.109375" style="2" bestFit="1" customWidth="1"/>
    <col min="16" max="16" width="5.109375" style="2" bestFit="1" customWidth="1"/>
    <col min="17" max="17" width="11.109375" style="2" bestFit="1" customWidth="1"/>
    <col min="18" max="16384" width="8.88671875" style="2"/>
  </cols>
  <sheetData>
    <row r="1" spans="1:17" x14ac:dyDescent="0.3">
      <c r="A1" s="65" t="s">
        <v>29</v>
      </c>
      <c r="B1" s="65"/>
      <c r="C1" s="65"/>
      <c r="D1" s="65"/>
      <c r="E1" s="65"/>
      <c r="F1" s="65"/>
      <c r="H1" s="8" t="s">
        <v>38</v>
      </c>
      <c r="I1" s="7">
        <f>SUM(Table1345678101112131415161718192021[اللبناني])</f>
        <v>3020</v>
      </c>
      <c r="J1" s="7">
        <f>SUM(Table1345678101112131415161718192021[الدولار])</f>
        <v>1291</v>
      </c>
      <c r="L1" s="65" t="s">
        <v>33</v>
      </c>
      <c r="M1" s="65"/>
      <c r="N1" s="65"/>
      <c r="O1" s="65"/>
      <c r="P1" s="65"/>
      <c r="Q1" s="65"/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9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B3" s="2">
        <v>8</v>
      </c>
      <c r="C3" s="21">
        <f>A3*B3</f>
        <v>8</v>
      </c>
      <c r="D3" s="17">
        <v>5</v>
      </c>
      <c r="E3" s="2">
        <v>24</v>
      </c>
      <c r="F3" s="23">
        <f>D3*E3</f>
        <v>120</v>
      </c>
      <c r="G3" s="5"/>
      <c r="H3" s="10" t="s">
        <v>347</v>
      </c>
      <c r="I3" s="20">
        <v>500</v>
      </c>
      <c r="L3" s="15">
        <v>1</v>
      </c>
      <c r="M3" s="2">
        <v>7</v>
      </c>
      <c r="N3" s="21">
        <f>L3*M3</f>
        <v>7</v>
      </c>
      <c r="O3" s="17">
        <v>5</v>
      </c>
      <c r="P3" s="2">
        <v>44</v>
      </c>
      <c r="Q3" s="23">
        <f>O3*P3</f>
        <v>220</v>
      </c>
    </row>
    <row r="4" spans="1:17" x14ac:dyDescent="0.3">
      <c r="A4" s="15">
        <v>5</v>
      </c>
      <c r="B4" s="2">
        <v>1</v>
      </c>
      <c r="C4" s="21">
        <f t="shared" ref="C4:C8" si="0">A4*B4</f>
        <v>5</v>
      </c>
      <c r="D4" s="17">
        <v>10</v>
      </c>
      <c r="E4" s="2">
        <v>5</v>
      </c>
      <c r="F4" s="23">
        <f t="shared" ref="F4:F7" si="1">D4*E4</f>
        <v>50</v>
      </c>
      <c r="G4" s="5"/>
      <c r="H4" s="10" t="s">
        <v>348</v>
      </c>
      <c r="I4" s="20"/>
      <c r="J4" s="11">
        <v>10</v>
      </c>
      <c r="L4" s="15">
        <v>5</v>
      </c>
      <c r="M4" s="2">
        <v>2</v>
      </c>
      <c r="N4" s="21">
        <f t="shared" ref="N4:N8" si="2">L4*M4</f>
        <v>10</v>
      </c>
      <c r="O4" s="17">
        <v>10</v>
      </c>
      <c r="P4" s="2">
        <v>28</v>
      </c>
      <c r="Q4" s="23">
        <f t="shared" ref="Q4:Q7" si="3">O4*P4</f>
        <v>280</v>
      </c>
    </row>
    <row r="5" spans="1:17" x14ac:dyDescent="0.3">
      <c r="A5" s="15">
        <v>10</v>
      </c>
      <c r="B5" s="2">
        <v>35</v>
      </c>
      <c r="C5" s="21">
        <f t="shared" si="0"/>
        <v>350</v>
      </c>
      <c r="D5" s="17">
        <v>20</v>
      </c>
      <c r="E5" s="2">
        <v>1</v>
      </c>
      <c r="F5" s="23">
        <f t="shared" si="1"/>
        <v>20</v>
      </c>
      <c r="G5" s="5"/>
      <c r="H5" s="10" t="s">
        <v>274</v>
      </c>
      <c r="I5" s="20">
        <v>140</v>
      </c>
      <c r="L5" s="15">
        <v>10</v>
      </c>
      <c r="M5" s="2">
        <v>42</v>
      </c>
      <c r="N5" s="21">
        <f t="shared" si="2"/>
        <v>420</v>
      </c>
      <c r="O5" s="17">
        <v>20</v>
      </c>
      <c r="P5" s="2">
        <v>16</v>
      </c>
      <c r="Q5" s="23">
        <f t="shared" si="3"/>
        <v>320</v>
      </c>
    </row>
    <row r="6" spans="1:17" x14ac:dyDescent="0.3">
      <c r="A6" s="15">
        <v>20</v>
      </c>
      <c r="B6" s="2">
        <v>9</v>
      </c>
      <c r="C6" s="21">
        <f t="shared" si="0"/>
        <v>180</v>
      </c>
      <c r="D6" s="17">
        <v>50</v>
      </c>
      <c r="E6" s="2">
        <v>5</v>
      </c>
      <c r="F6" s="23">
        <f t="shared" si="1"/>
        <v>250</v>
      </c>
      <c r="G6" s="5"/>
      <c r="H6" s="10" t="s">
        <v>349</v>
      </c>
      <c r="I6" s="20"/>
      <c r="J6" s="11">
        <v>15</v>
      </c>
      <c r="L6" s="15">
        <v>20</v>
      </c>
      <c r="M6" s="2">
        <v>6</v>
      </c>
      <c r="N6" s="21">
        <f t="shared" si="2"/>
        <v>120</v>
      </c>
      <c r="O6" s="17">
        <v>50</v>
      </c>
      <c r="P6" s="2">
        <v>8</v>
      </c>
      <c r="Q6" s="23">
        <f t="shared" si="3"/>
        <v>400</v>
      </c>
    </row>
    <row r="7" spans="1:17" x14ac:dyDescent="0.3">
      <c r="A7" s="15">
        <v>50</v>
      </c>
      <c r="C7" s="21">
        <f t="shared" si="0"/>
        <v>0</v>
      </c>
      <c r="D7" s="17">
        <v>100</v>
      </c>
      <c r="E7" s="2">
        <v>29</v>
      </c>
      <c r="F7" s="23">
        <f t="shared" si="1"/>
        <v>2900</v>
      </c>
      <c r="G7" s="5"/>
      <c r="H7" s="33" t="s">
        <v>350</v>
      </c>
      <c r="I7" s="20"/>
      <c r="J7" s="11">
        <v>8</v>
      </c>
      <c r="L7" s="15">
        <v>50</v>
      </c>
      <c r="M7" s="2">
        <v>1</v>
      </c>
      <c r="N7" s="21">
        <f t="shared" si="2"/>
        <v>50</v>
      </c>
      <c r="O7" s="17">
        <v>100</v>
      </c>
      <c r="P7" s="2">
        <v>52</v>
      </c>
      <c r="Q7" s="23">
        <f t="shared" si="3"/>
        <v>5200</v>
      </c>
    </row>
    <row r="8" spans="1:17" x14ac:dyDescent="0.3">
      <c r="A8" s="15">
        <v>100</v>
      </c>
      <c r="B8" s="2">
        <v>2</v>
      </c>
      <c r="C8" s="21">
        <f t="shared" si="0"/>
        <v>200</v>
      </c>
      <c r="D8" s="1" t="s">
        <v>1</v>
      </c>
      <c r="E8" s="1"/>
      <c r="F8" s="19">
        <f>SUM(F3:F7)</f>
        <v>3340</v>
      </c>
      <c r="G8" s="5"/>
      <c r="H8" s="10" t="s">
        <v>85</v>
      </c>
      <c r="I8" s="20">
        <v>-630</v>
      </c>
      <c r="J8" s="11">
        <v>-10</v>
      </c>
      <c r="L8" s="15">
        <v>100</v>
      </c>
      <c r="M8" s="2">
        <v>14</v>
      </c>
      <c r="N8" s="21">
        <f t="shared" si="2"/>
        <v>1400</v>
      </c>
      <c r="O8" s="1" t="s">
        <v>1</v>
      </c>
      <c r="P8" s="1"/>
      <c r="Q8" s="19">
        <f>SUM(Q3:Q7)</f>
        <v>6420</v>
      </c>
    </row>
    <row r="9" spans="1:17" x14ac:dyDescent="0.3">
      <c r="A9" s="1" t="s">
        <v>1</v>
      </c>
      <c r="B9" s="1"/>
      <c r="C9" s="22">
        <f>SUM(C3:C8)</f>
        <v>743</v>
      </c>
      <c r="H9" s="10" t="s">
        <v>223</v>
      </c>
      <c r="I9" s="20">
        <v>180</v>
      </c>
      <c r="L9" s="1" t="s">
        <v>1</v>
      </c>
      <c r="M9" s="1"/>
      <c r="N9" s="22">
        <f>SUM(N3:N8)</f>
        <v>2007</v>
      </c>
      <c r="Q9" s="20"/>
    </row>
    <row r="10" spans="1:17" x14ac:dyDescent="0.3">
      <c r="H10" s="10" t="s">
        <v>351</v>
      </c>
      <c r="I10" s="20">
        <v>150</v>
      </c>
      <c r="J10" s="11">
        <v>10</v>
      </c>
      <c r="N10" s="27"/>
      <c r="O10" s="66" t="s">
        <v>40</v>
      </c>
      <c r="P10" s="66"/>
      <c r="Q10" s="24">
        <f>SUM(Table1345678101112131415161718192021[اللبناني])</f>
        <v>3020</v>
      </c>
    </row>
    <row r="11" spans="1:17" x14ac:dyDescent="0.3">
      <c r="H11" s="10" t="s">
        <v>352</v>
      </c>
      <c r="I11" s="20">
        <v>200</v>
      </c>
      <c r="L11" s="66" t="s">
        <v>39</v>
      </c>
      <c r="M11" s="66"/>
      <c r="N11" s="12">
        <f>SUM(Table1345678101112131415161718192021[الدولار])</f>
        <v>1291</v>
      </c>
      <c r="Q11" s="20"/>
    </row>
    <row r="12" spans="1:17" x14ac:dyDescent="0.3">
      <c r="H12" s="10" t="s">
        <v>353</v>
      </c>
      <c r="I12" s="20">
        <v>540</v>
      </c>
      <c r="N12" s="27"/>
      <c r="O12" s="1" t="s">
        <v>27</v>
      </c>
      <c r="P12" s="1"/>
      <c r="Q12" s="24">
        <f>Q8-Q10-F8</f>
        <v>60</v>
      </c>
    </row>
    <row r="13" spans="1:17" x14ac:dyDescent="0.3">
      <c r="C13" s="14"/>
      <c r="D13" s="14"/>
      <c r="F13" s="14"/>
      <c r="H13" s="10" t="s">
        <v>355</v>
      </c>
      <c r="I13" s="20"/>
      <c r="J13" s="11">
        <v>1</v>
      </c>
      <c r="L13" s="1" t="s">
        <v>27</v>
      </c>
      <c r="M13" s="1"/>
      <c r="N13" s="12">
        <f>N9-N11-C9</f>
        <v>-27</v>
      </c>
    </row>
    <row r="14" spans="1:17" x14ac:dyDescent="0.3">
      <c r="C14" s="14"/>
      <c r="D14" s="14"/>
      <c r="F14" s="14"/>
      <c r="H14" s="38" t="s">
        <v>354</v>
      </c>
      <c r="I14" s="18"/>
      <c r="J14" s="11">
        <v>30</v>
      </c>
    </row>
    <row r="15" spans="1:17" x14ac:dyDescent="0.3">
      <c r="C15" s="14"/>
      <c r="D15" s="14"/>
      <c r="F15" s="14"/>
      <c r="H15" s="38" t="s">
        <v>354</v>
      </c>
      <c r="I15" s="18">
        <v>-50</v>
      </c>
    </row>
    <row r="16" spans="1:17" x14ac:dyDescent="0.3">
      <c r="C16" s="14"/>
      <c r="D16" s="14"/>
      <c r="F16" s="14"/>
      <c r="H16" s="10" t="s">
        <v>347</v>
      </c>
      <c r="I16" s="18">
        <v>500</v>
      </c>
    </row>
    <row r="17" spans="3:11" s="11" customFormat="1" x14ac:dyDescent="0.3">
      <c r="C17" s="14"/>
      <c r="D17" s="14"/>
      <c r="E17" s="2"/>
      <c r="F17" s="14"/>
      <c r="G17" s="2"/>
      <c r="H17" s="38" t="s">
        <v>354</v>
      </c>
      <c r="I17" s="20"/>
      <c r="J17" s="11">
        <v>26</v>
      </c>
      <c r="K17" s="6"/>
    </row>
    <row r="18" spans="3:11" s="11" customFormat="1" x14ac:dyDescent="0.3">
      <c r="C18" s="14"/>
      <c r="D18" s="2"/>
      <c r="E18" s="2"/>
      <c r="F18" s="14"/>
      <c r="G18" s="2"/>
      <c r="H18" s="38" t="s">
        <v>354</v>
      </c>
      <c r="I18" s="20">
        <v>200</v>
      </c>
      <c r="K18" s="6"/>
    </row>
    <row r="19" spans="3:11" s="11" customFormat="1" x14ac:dyDescent="0.3">
      <c r="C19" s="14"/>
      <c r="D19" s="2"/>
      <c r="E19" s="2"/>
      <c r="F19" s="2"/>
      <c r="G19" s="2"/>
      <c r="H19" s="38" t="s">
        <v>354</v>
      </c>
      <c r="I19" s="20">
        <v>160</v>
      </c>
      <c r="K19" s="6"/>
    </row>
    <row r="20" spans="3:11" s="11" customFormat="1" x14ac:dyDescent="0.3">
      <c r="C20" s="2"/>
      <c r="D20" s="2"/>
      <c r="E20" s="2"/>
      <c r="F20" s="6"/>
      <c r="G20" s="2"/>
      <c r="H20" s="10" t="s">
        <v>305</v>
      </c>
      <c r="I20" s="20"/>
      <c r="J20" s="11">
        <v>4000</v>
      </c>
      <c r="K20" s="6"/>
    </row>
    <row r="21" spans="3:11" s="11" customFormat="1" x14ac:dyDescent="0.3">
      <c r="C21" s="6"/>
      <c r="D21" s="2"/>
      <c r="E21" s="2"/>
      <c r="F21" s="2"/>
      <c r="G21" s="2"/>
      <c r="H21" s="10" t="s">
        <v>28</v>
      </c>
      <c r="I21" s="20">
        <v>100</v>
      </c>
      <c r="K21" s="6"/>
    </row>
    <row r="22" spans="3:11" s="11" customFormat="1" x14ac:dyDescent="0.3">
      <c r="C22" s="2"/>
      <c r="D22" s="2"/>
      <c r="E22" s="2"/>
      <c r="F22" s="6"/>
      <c r="G22" s="2"/>
      <c r="H22" s="10" t="s">
        <v>103</v>
      </c>
      <c r="I22" s="20"/>
      <c r="J22" s="11">
        <v>-1000</v>
      </c>
      <c r="K22" s="6"/>
    </row>
    <row r="23" spans="3:11" s="11" customFormat="1" x14ac:dyDescent="0.3">
      <c r="C23" s="6"/>
      <c r="D23" s="2"/>
      <c r="E23" s="2"/>
      <c r="F23" s="2"/>
      <c r="G23" s="2"/>
      <c r="H23" s="10" t="s">
        <v>356</v>
      </c>
      <c r="I23" s="20">
        <v>150</v>
      </c>
      <c r="K23" s="6"/>
    </row>
    <row r="24" spans="3:11" s="11" customFormat="1" x14ac:dyDescent="0.3">
      <c r="C24" s="2"/>
      <c r="D24" s="2"/>
      <c r="E24" s="2"/>
      <c r="F24" s="2"/>
      <c r="G24" s="2"/>
      <c r="H24" s="10" t="s">
        <v>28</v>
      </c>
      <c r="I24" s="20">
        <v>100</v>
      </c>
      <c r="J24" s="11">
        <v>11</v>
      </c>
      <c r="K24" s="6"/>
    </row>
    <row r="25" spans="3:11" s="11" customFormat="1" x14ac:dyDescent="0.3">
      <c r="C25" s="2"/>
      <c r="D25" s="2"/>
      <c r="E25" s="2"/>
      <c r="F25" s="2"/>
      <c r="G25" s="2"/>
      <c r="H25" s="10" t="s">
        <v>343</v>
      </c>
      <c r="I25" s="20">
        <v>350</v>
      </c>
      <c r="J25" s="11">
        <v>5</v>
      </c>
      <c r="K25" s="6"/>
    </row>
    <row r="26" spans="3:11" s="11" customFormat="1" x14ac:dyDescent="0.3">
      <c r="C26" s="2"/>
      <c r="D26" s="2"/>
      <c r="E26" s="2"/>
      <c r="F26" s="2"/>
      <c r="G26" s="2"/>
      <c r="H26" s="10" t="s">
        <v>198</v>
      </c>
      <c r="I26" s="20"/>
      <c r="J26" s="11">
        <v>19</v>
      </c>
      <c r="K26" s="6"/>
    </row>
    <row r="27" spans="3:11" s="11" customFormat="1" x14ac:dyDescent="0.3">
      <c r="C27" s="2"/>
      <c r="D27" s="2"/>
      <c r="E27" s="2"/>
      <c r="F27" s="2"/>
      <c r="G27" s="2"/>
      <c r="H27" s="10" t="s">
        <v>357</v>
      </c>
      <c r="I27" s="18">
        <v>200</v>
      </c>
      <c r="J27" s="11">
        <v>100</v>
      </c>
      <c r="K27" s="6"/>
    </row>
    <row r="28" spans="3:11" s="11" customFormat="1" x14ac:dyDescent="0.3">
      <c r="C28" s="2"/>
      <c r="D28" s="2"/>
      <c r="E28" s="2"/>
      <c r="F28" s="2"/>
      <c r="G28" s="2"/>
      <c r="H28" s="8" t="s">
        <v>358</v>
      </c>
      <c r="I28" s="18">
        <v>50</v>
      </c>
      <c r="K28" s="6"/>
    </row>
    <row r="29" spans="3:11" s="11" customFormat="1" x14ac:dyDescent="0.3">
      <c r="C29" s="2"/>
      <c r="D29" s="2"/>
      <c r="E29" s="2"/>
      <c r="F29" s="2"/>
      <c r="G29" s="2"/>
      <c r="H29" s="8" t="s">
        <v>359</v>
      </c>
      <c r="I29" s="18"/>
      <c r="J29" s="11">
        <v>50</v>
      </c>
      <c r="K29" s="6"/>
    </row>
    <row r="30" spans="3:11" s="11" customFormat="1" x14ac:dyDescent="0.3">
      <c r="C30" s="2"/>
      <c r="D30" s="2"/>
      <c r="E30" s="2"/>
      <c r="F30" s="2"/>
      <c r="G30" s="2"/>
      <c r="H30" s="8" t="s">
        <v>111</v>
      </c>
      <c r="I30" s="18">
        <v>50</v>
      </c>
      <c r="K30" s="6"/>
    </row>
    <row r="31" spans="3:11" s="11" customFormat="1" x14ac:dyDescent="0.3">
      <c r="C31" s="2"/>
      <c r="D31" s="2"/>
      <c r="E31" s="2"/>
      <c r="F31" s="2"/>
      <c r="G31" s="2"/>
      <c r="H31" s="8"/>
      <c r="I31" s="18"/>
      <c r="J31" s="11">
        <v>12</v>
      </c>
      <c r="K31" s="6"/>
    </row>
    <row r="32" spans="3:11" s="11" customFormat="1" x14ac:dyDescent="0.3">
      <c r="C32" s="2"/>
      <c r="D32" s="2"/>
      <c r="E32" s="2"/>
      <c r="F32" s="2"/>
      <c r="G32" s="2"/>
      <c r="H32" s="8" t="s">
        <v>360</v>
      </c>
      <c r="I32" s="18"/>
      <c r="J32" s="11">
        <v>-2000</v>
      </c>
      <c r="K32" s="6"/>
    </row>
    <row r="33" spans="8:11" s="11" customFormat="1" x14ac:dyDescent="0.3">
      <c r="H33" s="8" t="s">
        <v>22</v>
      </c>
      <c r="I33" s="18">
        <v>130</v>
      </c>
      <c r="K33" s="6"/>
    </row>
    <row r="34" spans="8:11" s="11" customFormat="1" x14ac:dyDescent="0.3">
      <c r="H34" s="8" t="s">
        <v>54</v>
      </c>
      <c r="I34" s="18"/>
      <c r="J34" s="11">
        <v>4</v>
      </c>
      <c r="K34" s="6"/>
    </row>
    <row r="35" spans="8:11" s="11" customFormat="1" x14ac:dyDescent="0.3">
      <c r="H35" s="8"/>
      <c r="I35" s="18"/>
      <c r="K35" s="6"/>
    </row>
    <row r="36" spans="8:11" s="11" customFormat="1" x14ac:dyDescent="0.3">
      <c r="H36" s="8"/>
      <c r="I36" s="18"/>
      <c r="K36" s="6"/>
    </row>
    <row r="37" spans="8:11" s="11" customFormat="1" x14ac:dyDescent="0.3">
      <c r="H37" s="8"/>
      <c r="I37" s="18"/>
      <c r="K37" s="6"/>
    </row>
    <row r="38" spans="8:11" s="11" customFormat="1" x14ac:dyDescent="0.3">
      <c r="H38" s="8"/>
      <c r="I38" s="18"/>
      <c r="K38" s="6"/>
    </row>
    <row r="39" spans="8:11" s="11" customFormat="1" x14ac:dyDescent="0.3">
      <c r="H39" s="8"/>
      <c r="I39" s="18"/>
      <c r="K39" s="6"/>
    </row>
    <row r="40" spans="8:11" s="11" customFormat="1" x14ac:dyDescent="0.3">
      <c r="H40" s="8"/>
      <c r="I40" s="18"/>
      <c r="K40" s="6"/>
    </row>
    <row r="41" spans="8:11" s="11" customFormat="1" x14ac:dyDescent="0.3">
      <c r="H41" s="8"/>
      <c r="I41" s="18"/>
      <c r="K41" s="6"/>
    </row>
    <row r="42" spans="8:11" s="11" customFormat="1" x14ac:dyDescent="0.3">
      <c r="H42" s="8"/>
      <c r="I42" s="18"/>
      <c r="K42" s="6"/>
    </row>
    <row r="43" spans="8:11" s="11" customFormat="1" x14ac:dyDescent="0.3">
      <c r="H43" s="8"/>
      <c r="I43" s="18"/>
      <c r="K43" s="6"/>
    </row>
    <row r="44" spans="8:11" s="11" customFormat="1" x14ac:dyDescent="0.3">
      <c r="H44" s="8"/>
      <c r="I44" s="18"/>
      <c r="K44" s="6"/>
    </row>
    <row r="45" spans="8:11" s="11" customFormat="1" x14ac:dyDescent="0.3">
      <c r="H45" s="8"/>
      <c r="I45" s="18"/>
      <c r="K45" s="6"/>
    </row>
    <row r="46" spans="8:11" s="11" customFormat="1" x14ac:dyDescent="0.3">
      <c r="H46" s="8"/>
      <c r="I46" s="18"/>
      <c r="K46" s="6"/>
    </row>
    <row r="47" spans="8:11" s="11" customFormat="1" x14ac:dyDescent="0.3">
      <c r="H47" s="8"/>
      <c r="I47" s="18"/>
      <c r="K47" s="6"/>
    </row>
    <row r="48" spans="8:11" s="11" customFormat="1" x14ac:dyDescent="0.3">
      <c r="H48" s="8"/>
      <c r="I48" s="18"/>
      <c r="K48" s="6"/>
    </row>
    <row r="49" spans="8:11" s="11" customFormat="1" x14ac:dyDescent="0.3">
      <c r="H49" s="8"/>
      <c r="I49" s="18"/>
      <c r="K49" s="6"/>
    </row>
    <row r="50" spans="8:11" s="11" customFormat="1" x14ac:dyDescent="0.3">
      <c r="H50" s="8"/>
      <c r="I50" s="18"/>
      <c r="K50" s="6"/>
    </row>
    <row r="51" spans="8:11" s="11" customFormat="1" x14ac:dyDescent="0.3">
      <c r="H51" s="8"/>
      <c r="I51" s="18"/>
      <c r="K51" s="6"/>
    </row>
    <row r="52" spans="8:11" s="11" customFormat="1" x14ac:dyDescent="0.3">
      <c r="H52" s="8"/>
      <c r="I52" s="18"/>
      <c r="K52" s="6"/>
    </row>
    <row r="53" spans="8:11" s="11" customFormat="1" x14ac:dyDescent="0.3">
      <c r="H53" s="8"/>
      <c r="I53" s="18"/>
      <c r="K53" s="6"/>
    </row>
    <row r="54" spans="8:11" s="11" customFormat="1" x14ac:dyDescent="0.3">
      <c r="H54" s="8"/>
      <c r="I54" s="18"/>
      <c r="K54" s="6"/>
    </row>
    <row r="55" spans="8:11" s="11" customFormat="1" x14ac:dyDescent="0.3">
      <c r="H55" s="8"/>
      <c r="I55" s="18"/>
      <c r="K55" s="6"/>
    </row>
    <row r="56" spans="8:11" s="11" customFormat="1" x14ac:dyDescent="0.3">
      <c r="H56" s="8"/>
      <c r="I56" s="18"/>
      <c r="K56" s="6"/>
    </row>
    <row r="57" spans="8:11" s="11" customFormat="1" x14ac:dyDescent="0.3">
      <c r="H57" s="8"/>
      <c r="I57" s="18"/>
      <c r="K57" s="6"/>
    </row>
    <row r="58" spans="8:11" s="11" customFormat="1" x14ac:dyDescent="0.3">
      <c r="H58" s="8"/>
      <c r="I58" s="18"/>
      <c r="K58" s="6"/>
    </row>
    <row r="59" spans="8:11" s="11" customFormat="1" x14ac:dyDescent="0.3">
      <c r="H59" s="8"/>
      <c r="I59" s="18"/>
      <c r="K59" s="6"/>
    </row>
    <row r="60" spans="8:11" s="11" customFormat="1" x14ac:dyDescent="0.3">
      <c r="H60" s="8"/>
      <c r="I60" s="18"/>
      <c r="K60" s="6"/>
    </row>
    <row r="61" spans="8:11" s="11" customFormat="1" x14ac:dyDescent="0.3">
      <c r="H61" s="8"/>
      <c r="I61" s="18"/>
      <c r="K61" s="6"/>
    </row>
    <row r="62" spans="8:11" s="11" customFormat="1" x14ac:dyDescent="0.3">
      <c r="H62" s="8"/>
      <c r="I62" s="18"/>
      <c r="K62" s="6"/>
    </row>
    <row r="63" spans="8:11" s="11" customFormat="1" x14ac:dyDescent="0.3">
      <c r="H63" s="8"/>
      <c r="I63" s="18"/>
      <c r="K63" s="6"/>
    </row>
    <row r="64" spans="8:11" s="11" customFormat="1" x14ac:dyDescent="0.3">
      <c r="H64" s="8"/>
      <c r="I64" s="18"/>
      <c r="K64" s="6"/>
    </row>
    <row r="65" spans="8:11" s="11" customFormat="1" x14ac:dyDescent="0.3">
      <c r="H65" s="8"/>
      <c r="I65" s="18"/>
      <c r="K65" s="6"/>
    </row>
    <row r="66" spans="8:11" s="11" customFormat="1" x14ac:dyDescent="0.3">
      <c r="H66" s="8"/>
      <c r="I66" s="18"/>
      <c r="K66" s="6"/>
    </row>
    <row r="67" spans="8:11" s="11" customFormat="1" x14ac:dyDescent="0.3">
      <c r="H67" s="8"/>
      <c r="I67" s="18"/>
      <c r="K67" s="6"/>
    </row>
    <row r="68" spans="8:11" s="11" customFormat="1" x14ac:dyDescent="0.3">
      <c r="H68" s="8"/>
      <c r="I68" s="18"/>
      <c r="K68" s="6"/>
    </row>
    <row r="69" spans="8:11" s="11" customFormat="1" x14ac:dyDescent="0.3">
      <c r="H69" s="8"/>
      <c r="I69" s="18"/>
      <c r="K69" s="6"/>
    </row>
    <row r="70" spans="8:11" s="11" customFormat="1" x14ac:dyDescent="0.3">
      <c r="H70" s="8"/>
      <c r="I70" s="18"/>
      <c r="K70" s="6"/>
    </row>
    <row r="71" spans="8:11" s="11" customFormat="1" x14ac:dyDescent="0.3">
      <c r="H71" s="8"/>
      <c r="I71" s="18"/>
      <c r="K71" s="6"/>
    </row>
    <row r="72" spans="8:11" s="11" customFormat="1" x14ac:dyDescent="0.3">
      <c r="H72" s="8"/>
      <c r="I72" s="18"/>
      <c r="K72" s="6"/>
    </row>
    <row r="73" spans="8:11" s="11" customFormat="1" x14ac:dyDescent="0.3">
      <c r="H73" s="8"/>
      <c r="I73" s="18"/>
      <c r="K73" s="6"/>
    </row>
    <row r="74" spans="8:11" s="11" customFormat="1" x14ac:dyDescent="0.3">
      <c r="H74" s="8"/>
      <c r="I74" s="18"/>
      <c r="K74" s="6"/>
    </row>
    <row r="75" spans="8:11" s="11" customFormat="1" x14ac:dyDescent="0.3">
      <c r="H75" s="8"/>
      <c r="I75" s="18"/>
      <c r="K75" s="6"/>
    </row>
    <row r="76" spans="8:11" s="11" customFormat="1" x14ac:dyDescent="0.3">
      <c r="H76" s="8"/>
      <c r="I76" s="18"/>
      <c r="K76" s="6"/>
    </row>
    <row r="77" spans="8:11" s="11" customFormat="1" x14ac:dyDescent="0.3">
      <c r="H77" s="8"/>
      <c r="I77" s="18"/>
      <c r="K77" s="6"/>
    </row>
    <row r="78" spans="8:11" s="11" customFormat="1" x14ac:dyDescent="0.3">
      <c r="H78" s="8"/>
      <c r="I78" s="18"/>
      <c r="K78" s="6"/>
    </row>
    <row r="79" spans="8:11" s="11" customFormat="1" x14ac:dyDescent="0.3">
      <c r="H79" s="8"/>
      <c r="I79" s="18"/>
      <c r="K79" s="6"/>
    </row>
    <row r="80" spans="8:11" s="11" customFormat="1" x14ac:dyDescent="0.3">
      <c r="H80" s="8"/>
      <c r="I80" s="18"/>
      <c r="K80" s="6"/>
    </row>
    <row r="81" spans="8:11" s="11" customFormat="1" x14ac:dyDescent="0.3">
      <c r="H81" s="8"/>
      <c r="I81" s="18"/>
      <c r="K81" s="6"/>
    </row>
    <row r="82" spans="8:11" s="11" customFormat="1" x14ac:dyDescent="0.3">
      <c r="H82" s="8"/>
      <c r="I82" s="18"/>
      <c r="K82" s="6"/>
    </row>
    <row r="83" spans="8:11" s="11" customFormat="1" x14ac:dyDescent="0.3">
      <c r="H83" s="8"/>
      <c r="I83" s="18"/>
      <c r="K83" s="6"/>
    </row>
    <row r="84" spans="8:11" s="11" customFormat="1" x14ac:dyDescent="0.3">
      <c r="H84" s="8"/>
      <c r="I84" s="18"/>
      <c r="K84" s="6"/>
    </row>
    <row r="85" spans="8:11" s="11" customFormat="1" x14ac:dyDescent="0.3">
      <c r="H85" s="8"/>
      <c r="I85" s="18"/>
      <c r="K85" s="6"/>
    </row>
    <row r="86" spans="8:11" s="11" customFormat="1" x14ac:dyDescent="0.3">
      <c r="H86" s="8"/>
      <c r="I86" s="18"/>
      <c r="K86" s="6"/>
    </row>
    <row r="87" spans="8:11" s="11" customFormat="1" x14ac:dyDescent="0.3">
      <c r="H87" s="8"/>
      <c r="I87" s="18"/>
      <c r="K87" s="6"/>
    </row>
    <row r="88" spans="8:11" s="11" customFormat="1" x14ac:dyDescent="0.3">
      <c r="H88" s="8"/>
      <c r="I88" s="18"/>
      <c r="K88" s="6"/>
    </row>
    <row r="89" spans="8:11" s="11" customFormat="1" x14ac:dyDescent="0.3">
      <c r="H89" s="8"/>
      <c r="I89" s="18"/>
      <c r="K89" s="6"/>
    </row>
    <row r="90" spans="8:11" s="11" customFormat="1" x14ac:dyDescent="0.3">
      <c r="H90" s="8"/>
      <c r="I90" s="18"/>
      <c r="K90" s="6"/>
    </row>
    <row r="91" spans="8:11" s="11" customFormat="1" x14ac:dyDescent="0.3">
      <c r="H91" s="8"/>
      <c r="I91" s="18"/>
      <c r="K91" s="6"/>
    </row>
    <row r="92" spans="8:11" s="11" customFormat="1" x14ac:dyDescent="0.3">
      <c r="H92" s="8"/>
      <c r="I92" s="18"/>
      <c r="K92" s="6"/>
    </row>
    <row r="93" spans="8:11" s="11" customFormat="1" x14ac:dyDescent="0.3">
      <c r="H93" s="8"/>
      <c r="I93" s="18"/>
      <c r="K93" s="6"/>
    </row>
    <row r="94" spans="8:11" s="11" customFormat="1" x14ac:dyDescent="0.3">
      <c r="H94" s="8"/>
      <c r="I94" s="18"/>
      <c r="K94" s="6"/>
    </row>
    <row r="95" spans="8:11" s="11" customFormat="1" x14ac:dyDescent="0.3">
      <c r="H95" s="8"/>
      <c r="I95" s="18"/>
      <c r="K95" s="6"/>
    </row>
    <row r="96" spans="8:11" s="11" customFormat="1" x14ac:dyDescent="0.3">
      <c r="H96" s="8"/>
      <c r="I96" s="18"/>
      <c r="K96" s="6"/>
    </row>
    <row r="97" spans="8:11" s="11" customFormat="1" x14ac:dyDescent="0.3">
      <c r="H97" s="8"/>
      <c r="I97" s="18"/>
      <c r="K97" s="6"/>
    </row>
    <row r="98" spans="8:11" s="11" customFormat="1" x14ac:dyDescent="0.3">
      <c r="H98" s="8"/>
      <c r="I98" s="18"/>
      <c r="K98" s="6"/>
    </row>
    <row r="99" spans="8:11" s="11" customFormat="1" x14ac:dyDescent="0.3">
      <c r="H99" s="8"/>
      <c r="I99" s="18"/>
      <c r="K99" s="6"/>
    </row>
    <row r="100" spans="8:11" s="11" customFormat="1" x14ac:dyDescent="0.3">
      <c r="H100" s="8"/>
      <c r="I100" s="18"/>
      <c r="K100" s="6"/>
    </row>
    <row r="101" spans="8:11" s="11" customFormat="1" x14ac:dyDescent="0.3">
      <c r="H101" s="8"/>
      <c r="I101" s="18"/>
      <c r="K101" s="6"/>
    </row>
    <row r="102" spans="8:11" s="11" customFormat="1" x14ac:dyDescent="0.3">
      <c r="H102" s="8"/>
      <c r="I102" s="18"/>
      <c r="K102" s="6"/>
    </row>
    <row r="103" spans="8:11" s="11" customFormat="1" x14ac:dyDescent="0.3">
      <c r="H103" s="8"/>
      <c r="I103" s="18"/>
      <c r="K103" s="6"/>
    </row>
    <row r="104" spans="8:11" s="11" customFormat="1" x14ac:dyDescent="0.3">
      <c r="H104" s="8"/>
      <c r="I104" s="18"/>
      <c r="K104" s="6"/>
    </row>
    <row r="105" spans="8:11" s="11" customFormat="1" x14ac:dyDescent="0.3">
      <c r="H105" s="8"/>
      <c r="I105" s="18"/>
      <c r="K105" s="6"/>
    </row>
    <row r="106" spans="8:11" s="11" customFormat="1" x14ac:dyDescent="0.3">
      <c r="H106" s="8"/>
      <c r="I106" s="18"/>
      <c r="K106" s="6"/>
    </row>
    <row r="107" spans="8:11" s="11" customFormat="1" x14ac:dyDescent="0.3">
      <c r="H107" s="8"/>
      <c r="I107" s="18"/>
      <c r="K107" s="6"/>
    </row>
    <row r="108" spans="8:11" s="11" customFormat="1" x14ac:dyDescent="0.3">
      <c r="H108" s="8"/>
      <c r="I108" s="18"/>
      <c r="K108" s="6"/>
    </row>
    <row r="109" spans="8:11" s="11" customFormat="1" x14ac:dyDescent="0.3">
      <c r="H109" s="8"/>
      <c r="I109" s="18"/>
      <c r="K109" s="6"/>
    </row>
    <row r="110" spans="8:11" s="11" customFormat="1" x14ac:dyDescent="0.3">
      <c r="H110" s="8"/>
      <c r="I110" s="18"/>
      <c r="K110" s="6"/>
    </row>
    <row r="111" spans="8:11" s="11" customFormat="1" x14ac:dyDescent="0.3">
      <c r="H111" s="8"/>
      <c r="I111" s="18"/>
      <c r="K111" s="6"/>
    </row>
    <row r="112" spans="8:11" s="11" customFormat="1" x14ac:dyDescent="0.3">
      <c r="H112" s="8"/>
      <c r="I112" s="18"/>
      <c r="K112" s="6"/>
    </row>
    <row r="113" spans="8:11" s="11" customFormat="1" x14ac:dyDescent="0.3">
      <c r="H113" s="8"/>
      <c r="I113" s="18"/>
      <c r="K113" s="6"/>
    </row>
    <row r="114" spans="8:11" s="11" customFormat="1" x14ac:dyDescent="0.3">
      <c r="H114" s="8"/>
      <c r="I114" s="18"/>
      <c r="K114" s="6"/>
    </row>
    <row r="115" spans="8:11" s="11" customFormat="1" x14ac:dyDescent="0.3">
      <c r="H115" s="8"/>
      <c r="I115" s="18"/>
      <c r="K115" s="6"/>
    </row>
    <row r="116" spans="8:11" s="11" customFormat="1" x14ac:dyDescent="0.3">
      <c r="H116" s="8"/>
      <c r="I116" s="18"/>
      <c r="K116" s="6"/>
    </row>
    <row r="117" spans="8:11" s="11" customFormat="1" x14ac:dyDescent="0.3">
      <c r="H117" s="8"/>
      <c r="I117" s="18"/>
      <c r="K117" s="6"/>
    </row>
    <row r="118" spans="8:11" s="11" customFormat="1" x14ac:dyDescent="0.3">
      <c r="H118" s="8"/>
      <c r="I118" s="18"/>
      <c r="K118" s="6"/>
    </row>
    <row r="119" spans="8:11" s="11" customFormat="1" x14ac:dyDescent="0.3">
      <c r="H119" s="8"/>
      <c r="I119" s="18"/>
      <c r="K119" s="6"/>
    </row>
    <row r="120" spans="8:11" s="11" customFormat="1" x14ac:dyDescent="0.3">
      <c r="H120" s="8"/>
      <c r="I120" s="18"/>
      <c r="K120" s="6"/>
    </row>
    <row r="121" spans="8:11" s="11" customFormat="1" x14ac:dyDescent="0.3">
      <c r="H121" s="8"/>
      <c r="I121" s="18"/>
      <c r="K121" s="6"/>
    </row>
    <row r="122" spans="8:11" s="11" customFormat="1" x14ac:dyDescent="0.3">
      <c r="H122" s="8"/>
      <c r="I122" s="18"/>
      <c r="K122" s="6"/>
    </row>
    <row r="123" spans="8:11" s="11" customFormat="1" x14ac:dyDescent="0.3">
      <c r="H123" s="8"/>
      <c r="I123" s="18"/>
      <c r="K123" s="6"/>
    </row>
    <row r="124" spans="8:11" s="11" customFormat="1" x14ac:dyDescent="0.3">
      <c r="H124" s="8"/>
      <c r="I124" s="18"/>
      <c r="K124" s="6"/>
    </row>
    <row r="125" spans="8:11" s="11" customFormat="1" x14ac:dyDescent="0.3">
      <c r="H125" s="8"/>
      <c r="I125" s="18"/>
      <c r="K125" s="6"/>
    </row>
    <row r="126" spans="8:11" s="11" customFormat="1" x14ac:dyDescent="0.3">
      <c r="H126" s="8"/>
      <c r="I126" s="18"/>
      <c r="K126" s="6"/>
    </row>
    <row r="127" spans="8:11" s="11" customFormat="1" x14ac:dyDescent="0.3">
      <c r="H127" s="8"/>
      <c r="I127" s="18"/>
      <c r="K127" s="6"/>
    </row>
    <row r="128" spans="8:11" s="11" customFormat="1" x14ac:dyDescent="0.3">
      <c r="H128" s="8"/>
      <c r="I128" s="18"/>
      <c r="K128" s="6"/>
    </row>
    <row r="129" spans="8:11" s="11" customFormat="1" x14ac:dyDescent="0.3">
      <c r="H129" s="8"/>
      <c r="I129" s="18"/>
      <c r="K129" s="6"/>
    </row>
    <row r="130" spans="8:11" s="11" customFormat="1" x14ac:dyDescent="0.3">
      <c r="H130" s="8"/>
      <c r="I130" s="18"/>
      <c r="K130" s="6"/>
    </row>
    <row r="131" spans="8:11" s="11" customFormat="1" x14ac:dyDescent="0.3">
      <c r="H131" s="8"/>
      <c r="I131" s="18"/>
      <c r="K131" s="6"/>
    </row>
    <row r="132" spans="8:11" s="11" customFormat="1" x14ac:dyDescent="0.3">
      <c r="H132" s="8"/>
      <c r="I132" s="18"/>
      <c r="K132" s="6"/>
    </row>
    <row r="133" spans="8:11" s="11" customFormat="1" x14ac:dyDescent="0.3">
      <c r="H133" s="8"/>
      <c r="I133" s="18"/>
      <c r="K133" s="6"/>
    </row>
    <row r="134" spans="8:11" s="11" customFormat="1" x14ac:dyDescent="0.3">
      <c r="H134" s="8"/>
      <c r="I134" s="18"/>
      <c r="K134" s="6"/>
    </row>
    <row r="135" spans="8:11" s="11" customFormat="1" x14ac:dyDescent="0.3">
      <c r="H135" s="8"/>
      <c r="I135" s="18"/>
      <c r="K135" s="6"/>
    </row>
    <row r="136" spans="8:11" s="11" customFormat="1" x14ac:dyDescent="0.3">
      <c r="H136" s="8"/>
      <c r="I136" s="18"/>
      <c r="K136" s="6"/>
    </row>
    <row r="137" spans="8:11" s="11" customFormat="1" x14ac:dyDescent="0.3">
      <c r="H137" s="8"/>
      <c r="I137" s="18"/>
      <c r="K137" s="6"/>
    </row>
    <row r="138" spans="8:11" s="11" customFormat="1" x14ac:dyDescent="0.3">
      <c r="H138" s="8"/>
      <c r="I138" s="18"/>
      <c r="K138" s="6"/>
    </row>
    <row r="139" spans="8:11" s="11" customFormat="1" x14ac:dyDescent="0.3">
      <c r="H139" s="8"/>
      <c r="I139" s="18"/>
      <c r="K139" s="6"/>
    </row>
    <row r="140" spans="8:11" s="11" customFormat="1" x14ac:dyDescent="0.3">
      <c r="H140" s="8"/>
      <c r="I140" s="18"/>
      <c r="K140" s="6"/>
    </row>
    <row r="141" spans="8:11" s="11" customFormat="1" x14ac:dyDescent="0.3">
      <c r="H141" s="8"/>
      <c r="I141" s="18"/>
      <c r="K141" s="6"/>
    </row>
    <row r="142" spans="8:11" s="11" customFormat="1" x14ac:dyDescent="0.3">
      <c r="H142" s="8"/>
      <c r="I142" s="18"/>
      <c r="K142" s="6"/>
    </row>
    <row r="143" spans="8:11" s="11" customFormat="1" x14ac:dyDescent="0.3">
      <c r="H143" s="8"/>
      <c r="I143" s="18"/>
      <c r="K143" s="6"/>
    </row>
    <row r="144" spans="8:11" s="11" customFormat="1" x14ac:dyDescent="0.3">
      <c r="H144" s="8"/>
      <c r="I144" s="18"/>
      <c r="K144" s="6"/>
    </row>
    <row r="145" spans="8:11" s="11" customFormat="1" x14ac:dyDescent="0.3">
      <c r="H145" s="8"/>
      <c r="I145" s="18"/>
      <c r="K145" s="6"/>
    </row>
    <row r="146" spans="8:11" s="11" customFormat="1" x14ac:dyDescent="0.3">
      <c r="H146" s="8"/>
      <c r="I146" s="18"/>
      <c r="K146" s="6"/>
    </row>
    <row r="147" spans="8:11" s="11" customFormat="1" x14ac:dyDescent="0.3">
      <c r="H147" s="8"/>
      <c r="I147" s="18"/>
      <c r="K147" s="6"/>
    </row>
    <row r="148" spans="8:11" s="11" customFormat="1" x14ac:dyDescent="0.3">
      <c r="H148" s="8"/>
      <c r="I148" s="18"/>
      <c r="K148" s="6"/>
    </row>
    <row r="149" spans="8:11" s="11" customFormat="1" x14ac:dyDescent="0.3">
      <c r="H149" s="8"/>
      <c r="I149" s="18"/>
      <c r="K149" s="6"/>
    </row>
    <row r="150" spans="8:11" s="11" customFormat="1" x14ac:dyDescent="0.3">
      <c r="H150" s="8"/>
      <c r="I150" s="18"/>
      <c r="K150" s="6"/>
    </row>
    <row r="151" spans="8:11" s="11" customFormat="1" x14ac:dyDescent="0.3">
      <c r="H151" s="8"/>
      <c r="I151" s="18"/>
      <c r="K151" s="6"/>
    </row>
    <row r="152" spans="8:11" s="11" customFormat="1" x14ac:dyDescent="0.3">
      <c r="H152" s="8"/>
      <c r="I152" s="18"/>
      <c r="K152" s="6"/>
    </row>
    <row r="153" spans="8:11" s="11" customFormat="1" x14ac:dyDescent="0.3">
      <c r="H153" s="8"/>
      <c r="I153" s="18"/>
      <c r="K153" s="6"/>
    </row>
    <row r="154" spans="8:11" s="11" customFormat="1" x14ac:dyDescent="0.3">
      <c r="H154" s="8"/>
      <c r="I154" s="18"/>
      <c r="K154" s="6"/>
    </row>
    <row r="155" spans="8:11" s="11" customFormat="1" x14ac:dyDescent="0.3">
      <c r="H155" s="8"/>
      <c r="I155" s="18"/>
      <c r="K155" s="6"/>
    </row>
    <row r="156" spans="8:11" s="11" customFormat="1" x14ac:dyDescent="0.3">
      <c r="H156" s="8"/>
      <c r="I156" s="18"/>
      <c r="K156" s="6"/>
    </row>
    <row r="157" spans="8:11" s="11" customFormat="1" x14ac:dyDescent="0.3">
      <c r="H157" s="8"/>
      <c r="I157" s="18"/>
      <c r="K157" s="6"/>
    </row>
    <row r="158" spans="8:11" s="11" customFormat="1" x14ac:dyDescent="0.3">
      <c r="H158" s="8"/>
      <c r="I158" s="18"/>
      <c r="K158" s="6"/>
    </row>
    <row r="159" spans="8:11" s="11" customFormat="1" x14ac:dyDescent="0.3">
      <c r="H159" s="8"/>
      <c r="I159" s="18"/>
      <c r="K159" s="6"/>
    </row>
    <row r="160" spans="8:11" s="11" customFormat="1" x14ac:dyDescent="0.3">
      <c r="H160" s="8"/>
      <c r="I160" s="18"/>
      <c r="K160" s="6"/>
    </row>
    <row r="161" spans="8:11" s="11" customFormat="1" x14ac:dyDescent="0.3">
      <c r="H161" s="8"/>
      <c r="I161" s="18"/>
      <c r="K161" s="6"/>
    </row>
    <row r="162" spans="8:11" s="11" customFormat="1" x14ac:dyDescent="0.3">
      <c r="H162" s="8"/>
      <c r="I162" s="18"/>
      <c r="K162" s="6"/>
    </row>
    <row r="163" spans="8:11" s="11" customFormat="1" x14ac:dyDescent="0.3">
      <c r="H163" s="8"/>
      <c r="I163" s="18"/>
      <c r="K163" s="6"/>
    </row>
    <row r="164" spans="8:11" s="11" customFormat="1" x14ac:dyDescent="0.3">
      <c r="H164" s="8"/>
      <c r="I164" s="18"/>
      <c r="K164" s="6"/>
    </row>
    <row r="165" spans="8:11" s="11" customFormat="1" x14ac:dyDescent="0.3">
      <c r="H165" s="8"/>
      <c r="I165" s="18"/>
      <c r="K165" s="6"/>
    </row>
    <row r="166" spans="8:11" s="11" customFormat="1" x14ac:dyDescent="0.3">
      <c r="H166" s="8"/>
      <c r="I166" s="18"/>
      <c r="K166" s="6"/>
    </row>
    <row r="167" spans="8:11" s="11" customFormat="1" x14ac:dyDescent="0.3">
      <c r="H167" s="8"/>
      <c r="I167" s="18"/>
      <c r="K167" s="6"/>
    </row>
    <row r="168" spans="8:11" s="11" customFormat="1" x14ac:dyDescent="0.3">
      <c r="H168" s="8"/>
      <c r="I168" s="18"/>
      <c r="K168" s="6"/>
    </row>
    <row r="169" spans="8:11" s="11" customFormat="1" x14ac:dyDescent="0.3">
      <c r="H169" s="8"/>
      <c r="I169" s="18"/>
      <c r="K169" s="6"/>
    </row>
    <row r="170" spans="8:11" s="11" customFormat="1" x14ac:dyDescent="0.3">
      <c r="H170" s="8"/>
      <c r="I170" s="18"/>
      <c r="K170" s="6"/>
    </row>
    <row r="171" spans="8:11" s="11" customFormat="1" x14ac:dyDescent="0.3">
      <c r="H171" s="8"/>
      <c r="I171" s="18"/>
      <c r="K171" s="6"/>
    </row>
    <row r="172" spans="8:11" s="11" customFormat="1" x14ac:dyDescent="0.3">
      <c r="H172" s="8"/>
      <c r="I172" s="18"/>
      <c r="K172" s="6"/>
    </row>
    <row r="173" spans="8:11" s="11" customFormat="1" x14ac:dyDescent="0.3">
      <c r="H173" s="8"/>
      <c r="I173" s="18"/>
      <c r="K173" s="6"/>
    </row>
    <row r="174" spans="8:11" s="11" customFormat="1" x14ac:dyDescent="0.3">
      <c r="H174" s="8"/>
      <c r="I174" s="18"/>
      <c r="K174" s="6"/>
    </row>
    <row r="175" spans="8:11" s="11" customFormat="1" x14ac:dyDescent="0.3">
      <c r="H175" s="8"/>
      <c r="I175" s="18"/>
      <c r="K175" s="6"/>
    </row>
    <row r="176" spans="8:11" s="11" customFormat="1" x14ac:dyDescent="0.3">
      <c r="H176" s="8"/>
      <c r="I176" s="18"/>
      <c r="K176" s="6"/>
    </row>
    <row r="177" spans="8:11" s="11" customFormat="1" x14ac:dyDescent="0.3">
      <c r="H177" s="8"/>
      <c r="I177" s="18"/>
      <c r="K177" s="6"/>
    </row>
    <row r="178" spans="8:11" s="11" customFormat="1" x14ac:dyDescent="0.3">
      <c r="H178" s="8"/>
      <c r="I178" s="18"/>
      <c r="K178" s="6"/>
    </row>
    <row r="179" spans="8:11" s="11" customFormat="1" x14ac:dyDescent="0.3">
      <c r="H179" s="8"/>
      <c r="I179" s="18"/>
      <c r="K179" s="6"/>
    </row>
    <row r="180" spans="8:11" s="11" customFormat="1" x14ac:dyDescent="0.3">
      <c r="H180" s="8"/>
      <c r="I180" s="18"/>
      <c r="K180" s="6"/>
    </row>
    <row r="181" spans="8:11" s="11" customFormat="1" x14ac:dyDescent="0.3">
      <c r="H181" s="8"/>
      <c r="I181" s="18"/>
      <c r="K181" s="6"/>
    </row>
    <row r="182" spans="8:11" s="11" customFormat="1" x14ac:dyDescent="0.3">
      <c r="H182" s="8"/>
      <c r="I182" s="18"/>
      <c r="K182" s="6"/>
    </row>
    <row r="183" spans="8:11" s="11" customFormat="1" x14ac:dyDescent="0.3">
      <c r="H183" s="8"/>
      <c r="I183" s="18"/>
      <c r="K183" s="6"/>
    </row>
    <row r="184" spans="8:11" s="11" customFormat="1" x14ac:dyDescent="0.3">
      <c r="H184" s="8"/>
      <c r="I184" s="18"/>
      <c r="K184" s="6"/>
    </row>
    <row r="185" spans="8:11" s="11" customFormat="1" x14ac:dyDescent="0.3">
      <c r="H185" s="8"/>
      <c r="I185" s="18"/>
      <c r="K185" s="6"/>
    </row>
    <row r="186" spans="8:11" s="11" customFormat="1" x14ac:dyDescent="0.3">
      <c r="H186" s="8"/>
      <c r="I186" s="18"/>
      <c r="K186" s="6"/>
    </row>
    <row r="187" spans="8:11" s="11" customFormat="1" x14ac:dyDescent="0.3">
      <c r="H187" s="8"/>
      <c r="I187" s="18"/>
      <c r="K187" s="6"/>
    </row>
    <row r="188" spans="8:11" s="11" customFormat="1" x14ac:dyDescent="0.3">
      <c r="H188" s="8"/>
      <c r="I188" s="18"/>
      <c r="K188" s="6"/>
    </row>
    <row r="189" spans="8:11" s="11" customFormat="1" x14ac:dyDescent="0.3">
      <c r="H189" s="8"/>
      <c r="I189" s="18"/>
      <c r="K189" s="6"/>
    </row>
    <row r="190" spans="8:11" s="11" customFormat="1" x14ac:dyDescent="0.3">
      <c r="H190" s="8"/>
      <c r="I190" s="18"/>
      <c r="K190" s="6"/>
    </row>
    <row r="191" spans="8:11" s="11" customFormat="1" x14ac:dyDescent="0.3">
      <c r="H191" s="8"/>
      <c r="I191" s="18"/>
      <c r="K191" s="6"/>
    </row>
    <row r="192" spans="8:11" s="11" customFormat="1" x14ac:dyDescent="0.3">
      <c r="H192" s="8"/>
      <c r="I192" s="18"/>
      <c r="K192" s="6"/>
    </row>
    <row r="193" spans="8:11" s="11" customFormat="1" x14ac:dyDescent="0.3">
      <c r="H193" s="8"/>
      <c r="I193" s="18"/>
      <c r="K193" s="6"/>
    </row>
    <row r="194" spans="8:11" s="11" customFormat="1" x14ac:dyDescent="0.3">
      <c r="H194" s="8"/>
      <c r="I194" s="18"/>
      <c r="K194" s="6"/>
    </row>
    <row r="195" spans="8:11" s="11" customFormat="1" x14ac:dyDescent="0.3">
      <c r="H195" s="8"/>
      <c r="I195" s="18"/>
      <c r="K195" s="6"/>
    </row>
    <row r="196" spans="8:11" s="11" customFormat="1" x14ac:dyDescent="0.3">
      <c r="H196" s="8"/>
      <c r="I196" s="18"/>
      <c r="K196" s="6"/>
    </row>
    <row r="197" spans="8:11" s="11" customFormat="1" x14ac:dyDescent="0.3">
      <c r="H197" s="8"/>
      <c r="I197" s="18"/>
      <c r="K197" s="6"/>
    </row>
    <row r="198" spans="8:11" s="11" customFormat="1" x14ac:dyDescent="0.3">
      <c r="H198" s="8"/>
      <c r="I198" s="18"/>
      <c r="K198" s="6"/>
    </row>
    <row r="199" spans="8:11" s="11" customFormat="1" x14ac:dyDescent="0.3">
      <c r="H199" s="8"/>
      <c r="I199" s="18"/>
      <c r="K199" s="6"/>
    </row>
    <row r="200" spans="8:11" s="11" customFormat="1" x14ac:dyDescent="0.3">
      <c r="H200" s="8"/>
      <c r="I200" s="18"/>
      <c r="K200" s="6"/>
    </row>
    <row r="201" spans="8:11" s="11" customFormat="1" x14ac:dyDescent="0.3">
      <c r="H201" s="8"/>
      <c r="I201" s="18"/>
      <c r="K201" s="6"/>
    </row>
    <row r="202" spans="8:11" s="11" customFormat="1" x14ac:dyDescent="0.3">
      <c r="H202" s="8"/>
      <c r="I202" s="18"/>
      <c r="K202" s="6"/>
    </row>
    <row r="203" spans="8:11" s="11" customFormat="1" x14ac:dyDescent="0.3">
      <c r="H203" s="8"/>
      <c r="I203" s="18"/>
      <c r="K203" s="6"/>
    </row>
    <row r="204" spans="8:11" s="11" customFormat="1" x14ac:dyDescent="0.3">
      <c r="H204" s="8"/>
      <c r="I204" s="18"/>
      <c r="K204" s="6"/>
    </row>
    <row r="205" spans="8:11" s="11" customFormat="1" x14ac:dyDescent="0.3">
      <c r="H205" s="8"/>
      <c r="I205" s="18"/>
      <c r="K205" s="6"/>
    </row>
    <row r="206" spans="8:11" s="11" customFormat="1" x14ac:dyDescent="0.3">
      <c r="H206" s="8"/>
      <c r="I206" s="18"/>
      <c r="K206" s="6"/>
    </row>
    <row r="207" spans="8:11" s="11" customFormat="1" x14ac:dyDescent="0.3">
      <c r="H207" s="8"/>
      <c r="I207" s="18"/>
      <c r="K207" s="6"/>
    </row>
    <row r="208" spans="8:11" s="11" customFormat="1" x14ac:dyDescent="0.3">
      <c r="H208" s="8"/>
      <c r="I208" s="18"/>
      <c r="K208" s="6"/>
    </row>
    <row r="209" spans="8:11" s="11" customFormat="1" x14ac:dyDescent="0.3">
      <c r="H209" s="8"/>
      <c r="I209" s="18"/>
      <c r="K209" s="6"/>
    </row>
    <row r="210" spans="8:11" s="11" customFormat="1" x14ac:dyDescent="0.3">
      <c r="H210" s="8"/>
      <c r="I210" s="18"/>
      <c r="K210" s="6"/>
    </row>
    <row r="211" spans="8:11" s="11" customFormat="1" x14ac:dyDescent="0.3">
      <c r="H211" s="8"/>
      <c r="I211" s="18"/>
      <c r="K211" s="6"/>
    </row>
    <row r="212" spans="8:11" s="11" customFormat="1" x14ac:dyDescent="0.3">
      <c r="H212" s="8"/>
      <c r="I212" s="18"/>
      <c r="K212" s="6"/>
    </row>
    <row r="213" spans="8:11" s="11" customFormat="1" x14ac:dyDescent="0.3">
      <c r="H213" s="8"/>
      <c r="I213" s="18"/>
      <c r="K213" s="6"/>
    </row>
    <row r="214" spans="8:11" s="11" customFormat="1" x14ac:dyDescent="0.3">
      <c r="H214" s="8"/>
      <c r="I214" s="18"/>
      <c r="K214" s="6"/>
    </row>
    <row r="215" spans="8:11" s="11" customFormat="1" x14ac:dyDescent="0.3">
      <c r="H215" s="8"/>
      <c r="I215" s="18"/>
      <c r="K215" s="6"/>
    </row>
    <row r="216" spans="8:11" s="11" customFormat="1" x14ac:dyDescent="0.3">
      <c r="H216" s="8"/>
      <c r="I216" s="18"/>
      <c r="K216" s="6"/>
    </row>
    <row r="217" spans="8:11" s="11" customFormat="1" x14ac:dyDescent="0.3">
      <c r="H217" s="8"/>
      <c r="I217" s="18"/>
      <c r="K217" s="6"/>
    </row>
    <row r="218" spans="8:11" s="11" customFormat="1" x14ac:dyDescent="0.3">
      <c r="H218" s="8"/>
      <c r="I218" s="18"/>
      <c r="K218" s="6"/>
    </row>
    <row r="219" spans="8:11" s="11" customFormat="1" x14ac:dyDescent="0.3">
      <c r="H219" s="8"/>
      <c r="I219" s="18"/>
      <c r="K219" s="6"/>
    </row>
    <row r="220" spans="8:11" s="11" customFormat="1" x14ac:dyDescent="0.3">
      <c r="H220" s="8"/>
      <c r="I220" s="18"/>
      <c r="K220" s="6"/>
    </row>
    <row r="221" spans="8:11" s="11" customFormat="1" x14ac:dyDescent="0.3">
      <c r="H221" s="8"/>
      <c r="I221" s="18"/>
      <c r="K221" s="6"/>
    </row>
    <row r="222" spans="8:11" s="11" customFormat="1" x14ac:dyDescent="0.3">
      <c r="H222" s="8"/>
      <c r="I222" s="18"/>
      <c r="K222" s="6"/>
    </row>
    <row r="223" spans="8:11" s="11" customFormat="1" x14ac:dyDescent="0.3">
      <c r="H223" s="8"/>
      <c r="I223" s="18"/>
      <c r="K223" s="6"/>
    </row>
    <row r="224" spans="8:11" s="11" customFormat="1" x14ac:dyDescent="0.3">
      <c r="H224" s="8"/>
      <c r="I224" s="18"/>
      <c r="K224" s="6"/>
    </row>
    <row r="225" spans="8:11" s="11" customFormat="1" x14ac:dyDescent="0.3">
      <c r="H225" s="8"/>
      <c r="I225" s="18"/>
      <c r="K225" s="6"/>
    </row>
    <row r="226" spans="8:11" s="11" customFormat="1" x14ac:dyDescent="0.3">
      <c r="H226" s="8"/>
      <c r="I226" s="18"/>
      <c r="K226" s="6"/>
    </row>
    <row r="227" spans="8:11" s="11" customFormat="1" x14ac:dyDescent="0.3">
      <c r="H227" s="8"/>
      <c r="I227" s="18"/>
      <c r="K227" s="6"/>
    </row>
    <row r="228" spans="8:11" s="11" customFormat="1" x14ac:dyDescent="0.3">
      <c r="H228" s="8"/>
      <c r="I228" s="18"/>
      <c r="K228" s="6"/>
    </row>
    <row r="229" spans="8:11" s="11" customFormat="1" x14ac:dyDescent="0.3">
      <c r="H229" s="8"/>
      <c r="I229" s="18"/>
      <c r="K229" s="6"/>
    </row>
    <row r="230" spans="8:11" s="11" customFormat="1" x14ac:dyDescent="0.3">
      <c r="H230" s="8"/>
      <c r="I230" s="18"/>
      <c r="K230" s="6"/>
    </row>
    <row r="231" spans="8:11" s="11" customFormat="1" x14ac:dyDescent="0.3">
      <c r="H231" s="8"/>
      <c r="I231" s="18"/>
      <c r="K231" s="6"/>
    </row>
    <row r="232" spans="8:11" s="11" customFormat="1" x14ac:dyDescent="0.3">
      <c r="H232" s="8"/>
      <c r="I232" s="18"/>
      <c r="K232" s="6"/>
    </row>
    <row r="233" spans="8:11" s="11" customFormat="1" x14ac:dyDescent="0.3">
      <c r="H233" s="8"/>
      <c r="I233" s="18"/>
      <c r="K233" s="6"/>
    </row>
    <row r="234" spans="8:11" s="11" customFormat="1" x14ac:dyDescent="0.3">
      <c r="H234" s="8"/>
      <c r="I234" s="18"/>
      <c r="K234" s="6"/>
    </row>
    <row r="235" spans="8:11" s="11" customFormat="1" x14ac:dyDescent="0.3">
      <c r="H235" s="8"/>
      <c r="I235" s="18"/>
      <c r="K235" s="6"/>
    </row>
    <row r="236" spans="8:11" s="11" customFormat="1" x14ac:dyDescent="0.3">
      <c r="H236" s="8"/>
      <c r="I236" s="18"/>
      <c r="K236" s="6"/>
    </row>
    <row r="237" spans="8:11" s="11" customFormat="1" x14ac:dyDescent="0.3">
      <c r="H237" s="8"/>
      <c r="I237" s="18"/>
      <c r="K237" s="6"/>
    </row>
    <row r="238" spans="8:11" s="11" customFormat="1" x14ac:dyDescent="0.3">
      <c r="H238" s="8"/>
      <c r="I238" s="18"/>
      <c r="K238" s="6"/>
    </row>
    <row r="239" spans="8:11" s="11" customFormat="1" x14ac:dyDescent="0.3">
      <c r="H239" s="8"/>
      <c r="I239" s="18"/>
      <c r="K239" s="6"/>
    </row>
    <row r="240" spans="8:11" s="11" customFormat="1" x14ac:dyDescent="0.3">
      <c r="H240" s="8"/>
      <c r="I240" s="18"/>
      <c r="K240" s="6"/>
    </row>
    <row r="241" spans="8:11" s="11" customFormat="1" x14ac:dyDescent="0.3">
      <c r="H241" s="8"/>
      <c r="I241" s="18"/>
      <c r="K241" s="6"/>
    </row>
    <row r="242" spans="8:11" s="11" customFormat="1" x14ac:dyDescent="0.3">
      <c r="H242" s="8"/>
      <c r="I242" s="18"/>
      <c r="K242" s="6"/>
    </row>
    <row r="243" spans="8:11" s="11" customFormat="1" x14ac:dyDescent="0.3">
      <c r="H243" s="8"/>
      <c r="I243" s="18"/>
      <c r="K243" s="6"/>
    </row>
    <row r="244" spans="8:11" s="11" customFormat="1" x14ac:dyDescent="0.3">
      <c r="H244" s="8"/>
      <c r="I244" s="18"/>
      <c r="K244" s="6"/>
    </row>
    <row r="245" spans="8:11" s="11" customFormat="1" x14ac:dyDescent="0.3">
      <c r="H245" s="8"/>
      <c r="I245" s="18"/>
      <c r="K245" s="6"/>
    </row>
    <row r="246" spans="8:11" s="11" customFormat="1" x14ac:dyDescent="0.3">
      <c r="H246" s="8"/>
      <c r="I246" s="18"/>
      <c r="K246" s="6"/>
    </row>
    <row r="247" spans="8:11" s="11" customFormat="1" x14ac:dyDescent="0.3">
      <c r="H247" s="8"/>
      <c r="I247" s="18"/>
      <c r="K247" s="6"/>
    </row>
    <row r="248" spans="8:11" s="11" customFormat="1" x14ac:dyDescent="0.3">
      <c r="H248" s="8"/>
      <c r="I248" s="18"/>
      <c r="K248" s="6"/>
    </row>
    <row r="249" spans="8:11" s="11" customFormat="1" x14ac:dyDescent="0.3">
      <c r="H249" s="8"/>
      <c r="I249" s="18"/>
      <c r="K249" s="6"/>
    </row>
    <row r="250" spans="8:11" s="11" customFormat="1" x14ac:dyDescent="0.3">
      <c r="H250" s="8"/>
      <c r="I250" s="18"/>
      <c r="K250" s="6"/>
    </row>
    <row r="251" spans="8:11" s="11" customFormat="1" x14ac:dyDescent="0.3">
      <c r="H251" s="8"/>
      <c r="I251" s="18"/>
      <c r="K251" s="6"/>
    </row>
    <row r="252" spans="8:11" s="11" customFormat="1" x14ac:dyDescent="0.3">
      <c r="H252" s="8"/>
      <c r="I252" s="18"/>
      <c r="K252" s="6"/>
    </row>
    <row r="253" spans="8:11" s="11" customFormat="1" x14ac:dyDescent="0.3">
      <c r="H253" s="8"/>
      <c r="I253" s="18"/>
      <c r="K253" s="6"/>
    </row>
    <row r="254" spans="8:11" s="11" customFormat="1" x14ac:dyDescent="0.3">
      <c r="H254" s="8"/>
      <c r="I254" s="18"/>
      <c r="K254" s="6"/>
    </row>
    <row r="255" spans="8:11" s="11" customFormat="1" x14ac:dyDescent="0.3">
      <c r="H255" s="8"/>
      <c r="I255" s="18"/>
      <c r="K255" s="6"/>
    </row>
    <row r="256" spans="8:11" s="11" customFormat="1" x14ac:dyDescent="0.3">
      <c r="H256" s="8"/>
      <c r="I256" s="18"/>
      <c r="K256" s="6"/>
    </row>
    <row r="257" spans="8:11" s="11" customFormat="1" x14ac:dyDescent="0.3">
      <c r="H257" s="8"/>
      <c r="I257" s="18"/>
      <c r="K257" s="6"/>
    </row>
    <row r="258" spans="8:11" s="11" customFormat="1" x14ac:dyDescent="0.3">
      <c r="H258" s="8"/>
      <c r="I258" s="18"/>
      <c r="K258" s="6"/>
    </row>
    <row r="259" spans="8:11" s="11" customFormat="1" x14ac:dyDescent="0.3">
      <c r="H259" s="8"/>
      <c r="I259" s="18"/>
      <c r="K259" s="6"/>
    </row>
    <row r="260" spans="8:11" s="11" customFormat="1" x14ac:dyDescent="0.3">
      <c r="H260" s="8"/>
      <c r="I260" s="18"/>
      <c r="K260" s="6"/>
    </row>
    <row r="261" spans="8:11" s="11" customFormat="1" x14ac:dyDescent="0.3">
      <c r="H261" s="8"/>
      <c r="I261" s="18"/>
      <c r="K261" s="6"/>
    </row>
    <row r="262" spans="8:11" s="11" customFormat="1" x14ac:dyDescent="0.3">
      <c r="H262" s="8"/>
      <c r="I262" s="18"/>
      <c r="K262" s="6"/>
    </row>
    <row r="263" spans="8:11" s="11" customFormat="1" x14ac:dyDescent="0.3">
      <c r="H263" s="8"/>
      <c r="I263" s="18"/>
      <c r="K263" s="6"/>
    </row>
    <row r="264" spans="8:11" s="11" customFormat="1" x14ac:dyDescent="0.3">
      <c r="H264" s="8"/>
      <c r="I264" s="18"/>
      <c r="K264" s="6"/>
    </row>
    <row r="265" spans="8:11" s="11" customFormat="1" x14ac:dyDescent="0.3">
      <c r="H265" s="8"/>
      <c r="I265" s="18"/>
      <c r="K265" s="6"/>
    </row>
    <row r="266" spans="8:11" s="11" customFormat="1" x14ac:dyDescent="0.3">
      <c r="H266" s="8"/>
      <c r="I266" s="18"/>
      <c r="K266" s="6"/>
    </row>
    <row r="267" spans="8:11" s="11" customFormat="1" x14ac:dyDescent="0.3">
      <c r="H267" s="8"/>
      <c r="I267" s="18"/>
      <c r="K267" s="6"/>
    </row>
    <row r="268" spans="8:11" s="11" customFormat="1" x14ac:dyDescent="0.3">
      <c r="H268" s="8"/>
      <c r="I268" s="18"/>
      <c r="K268" s="6"/>
    </row>
    <row r="269" spans="8:11" s="11" customFormat="1" x14ac:dyDescent="0.3">
      <c r="H269" s="8"/>
      <c r="I269" s="18"/>
      <c r="K269" s="6"/>
    </row>
    <row r="270" spans="8:11" s="11" customFormat="1" x14ac:dyDescent="0.3">
      <c r="H270" s="8"/>
      <c r="I270" s="18"/>
      <c r="K270" s="6"/>
    </row>
    <row r="271" spans="8:11" s="11" customFormat="1" x14ac:dyDescent="0.3">
      <c r="H271" s="8"/>
      <c r="I271" s="18"/>
      <c r="K271" s="6"/>
    </row>
    <row r="272" spans="8:11" s="11" customFormat="1" x14ac:dyDescent="0.3">
      <c r="H272" s="8"/>
      <c r="I272" s="18"/>
      <c r="K272" s="6"/>
    </row>
    <row r="273" spans="8:11" s="11" customFormat="1" x14ac:dyDescent="0.3">
      <c r="H273" s="8"/>
      <c r="I273" s="18"/>
      <c r="K273" s="6"/>
    </row>
    <row r="274" spans="8:11" s="11" customFormat="1" x14ac:dyDescent="0.3">
      <c r="H274" s="8"/>
      <c r="I274" s="18"/>
      <c r="K274" s="6"/>
    </row>
    <row r="275" spans="8:11" s="11" customFormat="1" x14ac:dyDescent="0.3">
      <c r="H275" s="8"/>
      <c r="I275" s="18"/>
      <c r="K275" s="6"/>
    </row>
    <row r="276" spans="8:11" s="11" customFormat="1" x14ac:dyDescent="0.3">
      <c r="H276" s="8"/>
      <c r="I276" s="18"/>
      <c r="K276" s="6"/>
    </row>
    <row r="277" spans="8:11" s="11" customFormat="1" x14ac:dyDescent="0.3">
      <c r="H277" s="8"/>
      <c r="I277" s="18"/>
      <c r="K277" s="6"/>
    </row>
    <row r="278" spans="8:11" s="11" customFormat="1" x14ac:dyDescent="0.3">
      <c r="H278" s="8"/>
      <c r="I278" s="18"/>
      <c r="K278" s="6"/>
    </row>
    <row r="279" spans="8:11" s="11" customFormat="1" x14ac:dyDescent="0.3">
      <c r="H279" s="8"/>
      <c r="I279" s="18"/>
      <c r="K279" s="6"/>
    </row>
    <row r="280" spans="8:11" s="11" customFormat="1" x14ac:dyDescent="0.3">
      <c r="H280" s="8"/>
      <c r="I280" s="18"/>
      <c r="K280" s="6"/>
    </row>
    <row r="281" spans="8:11" s="11" customFormat="1" x14ac:dyDescent="0.3">
      <c r="H281" s="8"/>
      <c r="I281" s="18"/>
      <c r="K281" s="6"/>
    </row>
    <row r="282" spans="8:11" s="11" customFormat="1" x14ac:dyDescent="0.3">
      <c r="H282" s="8"/>
      <c r="I282" s="18"/>
      <c r="K282" s="6"/>
    </row>
    <row r="283" spans="8:11" s="11" customFormat="1" x14ac:dyDescent="0.3">
      <c r="H283" s="8"/>
      <c r="I283" s="18"/>
      <c r="K283" s="6"/>
    </row>
    <row r="284" spans="8:11" s="11" customFormat="1" x14ac:dyDescent="0.3">
      <c r="H284" s="8"/>
      <c r="I284" s="18"/>
      <c r="K284" s="6"/>
    </row>
    <row r="285" spans="8:11" s="11" customFormat="1" x14ac:dyDescent="0.3">
      <c r="H285" s="8"/>
      <c r="I285" s="18"/>
      <c r="K285" s="6"/>
    </row>
    <row r="286" spans="8:11" s="11" customFormat="1" x14ac:dyDescent="0.3">
      <c r="H286" s="8"/>
      <c r="I286" s="18"/>
      <c r="K286" s="6"/>
    </row>
    <row r="287" spans="8:11" s="11" customFormat="1" x14ac:dyDescent="0.3">
      <c r="H287" s="8"/>
      <c r="I287" s="18"/>
      <c r="K287" s="6"/>
    </row>
    <row r="288" spans="8:11" s="11" customFormat="1" x14ac:dyDescent="0.3">
      <c r="H288" s="8"/>
      <c r="I288" s="18"/>
      <c r="K288" s="6"/>
    </row>
    <row r="289" spans="8:11" s="11" customFormat="1" x14ac:dyDescent="0.3">
      <c r="H289" s="8"/>
      <c r="I289" s="18"/>
      <c r="K289" s="6"/>
    </row>
    <row r="290" spans="8:11" s="11" customFormat="1" x14ac:dyDescent="0.3">
      <c r="H290" s="8"/>
      <c r="I290" s="18"/>
      <c r="K290" s="6"/>
    </row>
    <row r="291" spans="8:11" s="11" customFormat="1" x14ac:dyDescent="0.3">
      <c r="H291" s="8"/>
      <c r="I291" s="18"/>
      <c r="K291" s="6"/>
    </row>
    <row r="292" spans="8:11" s="11" customFormat="1" x14ac:dyDescent="0.3">
      <c r="H292" s="8"/>
      <c r="I292" s="18"/>
      <c r="K292" s="6"/>
    </row>
    <row r="293" spans="8:11" s="11" customFormat="1" x14ac:dyDescent="0.3">
      <c r="H293" s="8"/>
      <c r="I293" s="18"/>
      <c r="K293" s="6"/>
    </row>
    <row r="294" spans="8:11" s="11" customFormat="1" x14ac:dyDescent="0.3">
      <c r="H294" s="8"/>
      <c r="I294" s="18"/>
      <c r="K294" s="6"/>
    </row>
    <row r="295" spans="8:11" s="11" customFormat="1" x14ac:dyDescent="0.3">
      <c r="H295" s="8"/>
      <c r="I295" s="18"/>
      <c r="K295" s="6"/>
    </row>
    <row r="296" spans="8:11" s="11" customFormat="1" x14ac:dyDescent="0.3">
      <c r="H296" s="8"/>
      <c r="I296" s="18"/>
      <c r="K296" s="6"/>
    </row>
    <row r="297" spans="8:11" s="11" customFormat="1" x14ac:dyDescent="0.3">
      <c r="H297" s="8"/>
      <c r="I297" s="18"/>
      <c r="K297" s="6"/>
    </row>
    <row r="298" spans="8:11" s="11" customFormat="1" x14ac:dyDescent="0.3">
      <c r="H298" s="8"/>
      <c r="I298" s="18"/>
      <c r="K298" s="6"/>
    </row>
    <row r="299" spans="8:11" s="11" customFormat="1" x14ac:dyDescent="0.3">
      <c r="H299" s="8"/>
      <c r="I299" s="18"/>
      <c r="K299" s="6"/>
    </row>
    <row r="300" spans="8:11" s="11" customFormat="1" x14ac:dyDescent="0.3">
      <c r="H300" s="8"/>
      <c r="I300" s="18"/>
      <c r="K300" s="6"/>
    </row>
    <row r="301" spans="8:11" s="11" customFormat="1" x14ac:dyDescent="0.3">
      <c r="H301" s="8"/>
      <c r="I301" s="18"/>
      <c r="K301" s="6"/>
    </row>
    <row r="302" spans="8:11" s="11" customFormat="1" x14ac:dyDescent="0.3">
      <c r="H302" s="8"/>
      <c r="I302" s="18"/>
      <c r="K302" s="6"/>
    </row>
    <row r="303" spans="8:11" s="11" customFormat="1" x14ac:dyDescent="0.3">
      <c r="H303" s="8"/>
      <c r="I303" s="18"/>
      <c r="K303" s="6"/>
    </row>
    <row r="304" spans="8:11" s="11" customFormat="1" x14ac:dyDescent="0.3">
      <c r="H304" s="8"/>
      <c r="I304" s="18"/>
      <c r="K304" s="6"/>
    </row>
    <row r="305" spans="8:11" s="11" customFormat="1" x14ac:dyDescent="0.3">
      <c r="H305" s="8"/>
      <c r="I305" s="18"/>
      <c r="K305" s="6"/>
    </row>
    <row r="306" spans="8:11" s="11" customFormat="1" x14ac:dyDescent="0.3">
      <c r="H306" s="8"/>
      <c r="I306" s="18"/>
      <c r="K306" s="6"/>
    </row>
    <row r="307" spans="8:11" s="11" customFormat="1" x14ac:dyDescent="0.3">
      <c r="H307" s="8"/>
      <c r="I307" s="18"/>
      <c r="K307" s="6"/>
    </row>
    <row r="308" spans="8:11" s="11" customFormat="1" x14ac:dyDescent="0.3">
      <c r="H308" s="8"/>
      <c r="I308" s="18"/>
      <c r="K308" s="6"/>
    </row>
    <row r="309" spans="8:11" s="11" customFormat="1" x14ac:dyDescent="0.3">
      <c r="H309" s="8"/>
      <c r="I309" s="18"/>
      <c r="K309" s="6"/>
    </row>
    <row r="310" spans="8:11" s="11" customFormat="1" x14ac:dyDescent="0.3">
      <c r="H310" s="8"/>
      <c r="I310" s="18"/>
      <c r="K310" s="6"/>
    </row>
    <row r="311" spans="8:11" s="11" customFormat="1" x14ac:dyDescent="0.3">
      <c r="H311" s="8"/>
      <c r="I311" s="18"/>
      <c r="K311" s="6"/>
    </row>
    <row r="312" spans="8:11" s="11" customFormat="1" x14ac:dyDescent="0.3">
      <c r="H312" s="8"/>
      <c r="I312" s="18"/>
      <c r="K312" s="6"/>
    </row>
    <row r="313" spans="8:11" s="11" customFormat="1" x14ac:dyDescent="0.3">
      <c r="H313" s="8"/>
      <c r="I313" s="18"/>
      <c r="K313" s="6"/>
    </row>
    <row r="314" spans="8:11" s="11" customFormat="1" x14ac:dyDescent="0.3">
      <c r="H314" s="8"/>
      <c r="I314" s="18"/>
      <c r="K314" s="6"/>
    </row>
    <row r="315" spans="8:11" s="11" customFormat="1" x14ac:dyDescent="0.3">
      <c r="H315" s="8"/>
      <c r="I315" s="18"/>
      <c r="K315" s="6"/>
    </row>
    <row r="316" spans="8:11" s="11" customFormat="1" x14ac:dyDescent="0.3">
      <c r="H316" s="8"/>
      <c r="I316" s="18"/>
      <c r="K316" s="6"/>
    </row>
    <row r="317" spans="8:11" s="11" customFormat="1" x14ac:dyDescent="0.3">
      <c r="H317" s="8"/>
      <c r="I317" s="18"/>
      <c r="K317" s="6"/>
    </row>
    <row r="318" spans="8:11" s="11" customFormat="1" x14ac:dyDescent="0.3">
      <c r="H318" s="8"/>
      <c r="I318" s="18"/>
      <c r="K318" s="6"/>
    </row>
    <row r="319" spans="8:11" s="11" customFormat="1" x14ac:dyDescent="0.3">
      <c r="H319" s="8"/>
      <c r="I319" s="18"/>
      <c r="K319" s="6"/>
    </row>
    <row r="320" spans="8:11" s="11" customFormat="1" x14ac:dyDescent="0.3">
      <c r="H320" s="8"/>
      <c r="I320" s="18"/>
      <c r="K320" s="6"/>
    </row>
    <row r="321" spans="8:11" s="11" customFormat="1" x14ac:dyDescent="0.3">
      <c r="H321" s="8"/>
      <c r="I321" s="18"/>
      <c r="K321" s="6"/>
    </row>
    <row r="322" spans="8:11" s="11" customFormat="1" x14ac:dyDescent="0.3">
      <c r="H322" s="8"/>
      <c r="I322" s="18"/>
      <c r="K322" s="6"/>
    </row>
    <row r="323" spans="8:11" s="11" customFormat="1" x14ac:dyDescent="0.3">
      <c r="H323" s="8"/>
      <c r="I323" s="18"/>
      <c r="K323" s="6"/>
    </row>
    <row r="324" spans="8:11" s="11" customFormat="1" x14ac:dyDescent="0.3">
      <c r="H324" s="8"/>
      <c r="I324" s="18"/>
      <c r="K324" s="6"/>
    </row>
    <row r="325" spans="8:11" s="11" customFormat="1" x14ac:dyDescent="0.3">
      <c r="H325" s="8"/>
      <c r="I325" s="18"/>
      <c r="K325" s="6"/>
    </row>
    <row r="326" spans="8:11" s="11" customFormat="1" x14ac:dyDescent="0.3">
      <c r="H326" s="8"/>
      <c r="I326" s="18"/>
      <c r="K326" s="6"/>
    </row>
    <row r="327" spans="8:11" s="11" customFormat="1" x14ac:dyDescent="0.3">
      <c r="H327" s="8"/>
      <c r="I327" s="18"/>
      <c r="K327" s="6"/>
    </row>
    <row r="328" spans="8:11" s="11" customFormat="1" x14ac:dyDescent="0.3">
      <c r="H328" s="8"/>
      <c r="I328" s="18"/>
      <c r="K328" s="6"/>
    </row>
    <row r="329" spans="8:11" s="11" customFormat="1" x14ac:dyDescent="0.3">
      <c r="H329" s="8"/>
      <c r="I329" s="18"/>
      <c r="K329" s="6"/>
    </row>
    <row r="330" spans="8:11" s="11" customFormat="1" x14ac:dyDescent="0.3">
      <c r="H330" s="8"/>
      <c r="I330" s="18"/>
      <c r="K330" s="6"/>
    </row>
    <row r="331" spans="8:11" s="11" customFormat="1" x14ac:dyDescent="0.3">
      <c r="H331" s="8"/>
      <c r="I331" s="18"/>
      <c r="K331" s="6"/>
    </row>
    <row r="332" spans="8:11" s="11" customFormat="1" x14ac:dyDescent="0.3">
      <c r="H332" s="8"/>
      <c r="I332" s="18"/>
      <c r="K332" s="6"/>
    </row>
    <row r="333" spans="8:11" s="11" customFormat="1" x14ac:dyDescent="0.3">
      <c r="H333" s="8"/>
      <c r="I333" s="18"/>
      <c r="K333" s="6"/>
    </row>
    <row r="334" spans="8:11" s="11" customFormat="1" x14ac:dyDescent="0.3">
      <c r="H334" s="8"/>
      <c r="I334" s="18"/>
      <c r="K334" s="6"/>
    </row>
    <row r="335" spans="8:11" s="11" customFormat="1" x14ac:dyDescent="0.3">
      <c r="H335" s="8"/>
      <c r="I335" s="18"/>
      <c r="K335" s="6"/>
    </row>
    <row r="336" spans="8:11" s="11" customFormat="1" x14ac:dyDescent="0.3">
      <c r="H336" s="8"/>
      <c r="I336" s="18"/>
      <c r="K336" s="6"/>
    </row>
    <row r="337" spans="8:11" s="11" customFormat="1" x14ac:dyDescent="0.3">
      <c r="H337" s="8"/>
      <c r="I337" s="18"/>
      <c r="K337" s="6"/>
    </row>
    <row r="338" spans="8:11" s="11" customFormat="1" x14ac:dyDescent="0.3">
      <c r="H338" s="8"/>
      <c r="I338" s="18"/>
      <c r="K338" s="6"/>
    </row>
    <row r="339" spans="8:11" s="11" customFormat="1" x14ac:dyDescent="0.3">
      <c r="H339" s="8"/>
      <c r="I339" s="18"/>
      <c r="K339" s="6"/>
    </row>
    <row r="340" spans="8:11" s="11" customFormat="1" x14ac:dyDescent="0.3">
      <c r="H340" s="8"/>
      <c r="I340" s="18"/>
      <c r="K340" s="6"/>
    </row>
    <row r="341" spans="8:11" s="11" customFormat="1" x14ac:dyDescent="0.3">
      <c r="H341" s="8"/>
      <c r="I341" s="18"/>
      <c r="K341" s="6"/>
    </row>
    <row r="342" spans="8:11" s="11" customFormat="1" x14ac:dyDescent="0.3">
      <c r="H342" s="8"/>
      <c r="I342" s="18"/>
      <c r="K342" s="6"/>
    </row>
  </sheetData>
  <mergeCells count="4">
    <mergeCell ref="A1:F1"/>
    <mergeCell ref="L1:Q1"/>
    <mergeCell ref="O10:P10"/>
    <mergeCell ref="L11:M11"/>
  </mergeCells>
  <pageMargins left="0.25" right="0.25" top="0.75" bottom="0.75" header="0.3" footer="0.3"/>
  <pageSetup paperSize="9" scale="73" fitToHeight="0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3F96-5272-4752-BD71-32AA87EC43AE}">
  <sheetPr codeName="Sheet21">
    <pageSetUpPr fitToPage="1"/>
  </sheetPr>
  <dimension ref="A1:Q342"/>
  <sheetViews>
    <sheetView rightToLeft="1" zoomScale="115" zoomScaleNormal="115" workbookViewId="0">
      <pane ySplit="13" topLeftCell="A28" activePane="bottomLeft" state="frozen"/>
      <selection pane="bottomLeft" activeCell="H32" sqref="H32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7.88671875" style="2" bestFit="1" customWidth="1"/>
    <col min="4" max="4" width="9.109375" style="2" bestFit="1" customWidth="1"/>
    <col min="5" max="5" width="5.109375" style="2" bestFit="1" customWidth="1"/>
    <col min="6" max="6" width="10.44140625" style="2" bestFit="1" customWidth="1"/>
    <col min="7" max="7" width="2.44140625" style="2" customWidth="1"/>
    <col min="8" max="8" width="14.109375" style="39" bestFit="1" customWidth="1"/>
    <col min="9" max="9" width="12.109375" style="7" bestFit="1" customWidth="1"/>
    <col min="10" max="10" width="8.5546875" style="11" bestFit="1" customWidth="1"/>
    <col min="11" max="11" width="5.21875" style="6" customWidth="1"/>
    <col min="12" max="12" width="9.44140625" style="2" bestFit="1" customWidth="1"/>
    <col min="13" max="13" width="5.109375" style="2" bestFit="1" customWidth="1"/>
    <col min="14" max="14" width="8.5546875" style="2" bestFit="1" customWidth="1"/>
    <col min="15" max="15" width="9.109375" style="2" bestFit="1" customWidth="1"/>
    <col min="16" max="16" width="5.109375" style="2" bestFit="1" customWidth="1"/>
    <col min="17" max="17" width="11.109375" style="2" bestFit="1" customWidth="1"/>
    <col min="18" max="16384" width="8.88671875" style="2"/>
  </cols>
  <sheetData>
    <row r="1" spans="1:17" x14ac:dyDescent="0.3">
      <c r="A1" s="65" t="s">
        <v>29</v>
      </c>
      <c r="B1" s="65"/>
      <c r="C1" s="65"/>
      <c r="D1" s="65"/>
      <c r="E1" s="65"/>
      <c r="F1" s="65"/>
      <c r="H1" s="39" t="s">
        <v>38</v>
      </c>
      <c r="I1" s="7">
        <f>SUM(Table134567810111213141516171819202122[اللبناني])</f>
        <v>270</v>
      </c>
      <c r="J1" s="7">
        <f>SUM(Table134567810111213141516171819202122[الدولار])</f>
        <v>487</v>
      </c>
      <c r="L1" s="65" t="s">
        <v>33</v>
      </c>
      <c r="M1" s="65"/>
      <c r="N1" s="65"/>
      <c r="O1" s="65"/>
      <c r="P1" s="65"/>
      <c r="Q1" s="65"/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40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C3" s="21">
        <f>A3*B3</f>
        <v>0</v>
      </c>
      <c r="D3" s="17">
        <v>5</v>
      </c>
      <c r="E3" s="2">
        <v>45</v>
      </c>
      <c r="F3" s="23">
        <f>D3*E3</f>
        <v>225</v>
      </c>
      <c r="G3" s="5"/>
      <c r="H3" s="41" t="s">
        <v>361</v>
      </c>
      <c r="I3" s="20">
        <v>600</v>
      </c>
      <c r="L3" s="15">
        <v>1</v>
      </c>
      <c r="M3" s="2">
        <v>2</v>
      </c>
      <c r="N3" s="21">
        <f>L3*M3</f>
        <v>2</v>
      </c>
      <c r="O3" s="17">
        <v>5</v>
      </c>
      <c r="P3" s="2">
        <v>45</v>
      </c>
      <c r="Q3" s="23">
        <f>O3*P3</f>
        <v>225</v>
      </c>
    </row>
    <row r="4" spans="1:17" x14ac:dyDescent="0.3">
      <c r="A4" s="15">
        <v>5</v>
      </c>
      <c r="B4" s="2">
        <v>1</v>
      </c>
      <c r="C4" s="21">
        <f t="shared" ref="C4:C8" si="0">A4*B4</f>
        <v>5</v>
      </c>
      <c r="D4" s="17">
        <v>10</v>
      </c>
      <c r="E4" s="2">
        <v>24</v>
      </c>
      <c r="F4" s="23">
        <f t="shared" ref="F4:F7" si="1">D4*E4</f>
        <v>240</v>
      </c>
      <c r="G4" s="5"/>
      <c r="H4" s="41"/>
      <c r="I4" s="20"/>
      <c r="J4" s="11">
        <v>10</v>
      </c>
      <c r="L4" s="15">
        <v>5</v>
      </c>
      <c r="M4" s="2">
        <v>2</v>
      </c>
      <c r="N4" s="21">
        <f t="shared" ref="N4:N8" si="2">L4*M4</f>
        <v>10</v>
      </c>
      <c r="O4" s="17">
        <v>10</v>
      </c>
      <c r="P4" s="2">
        <v>24</v>
      </c>
      <c r="Q4" s="23">
        <f t="shared" ref="Q4:Q7" si="3">O4*P4</f>
        <v>240</v>
      </c>
    </row>
    <row r="5" spans="1:17" x14ac:dyDescent="0.3">
      <c r="A5" s="15">
        <v>10</v>
      </c>
      <c r="B5" s="2">
        <v>47</v>
      </c>
      <c r="C5" s="21">
        <f t="shared" si="0"/>
        <v>470</v>
      </c>
      <c r="D5" s="17">
        <v>20</v>
      </c>
      <c r="E5" s="2">
        <v>13</v>
      </c>
      <c r="F5" s="23">
        <f t="shared" si="1"/>
        <v>260</v>
      </c>
      <c r="G5" s="5"/>
      <c r="H5" s="41" t="s">
        <v>307</v>
      </c>
      <c r="I5" s="20">
        <v>230</v>
      </c>
      <c r="J5" s="11">
        <v>5</v>
      </c>
      <c r="L5" s="15">
        <v>10</v>
      </c>
      <c r="M5" s="2">
        <v>48</v>
      </c>
      <c r="N5" s="21">
        <f t="shared" si="2"/>
        <v>480</v>
      </c>
      <c r="O5" s="17">
        <v>20</v>
      </c>
      <c r="P5" s="2">
        <v>14</v>
      </c>
      <c r="Q5" s="23">
        <f t="shared" si="3"/>
        <v>280</v>
      </c>
    </row>
    <row r="6" spans="1:17" x14ac:dyDescent="0.3">
      <c r="A6" s="15">
        <v>20</v>
      </c>
      <c r="B6" s="2">
        <v>10</v>
      </c>
      <c r="C6" s="21">
        <f t="shared" si="0"/>
        <v>200</v>
      </c>
      <c r="D6" s="17">
        <v>50</v>
      </c>
      <c r="E6" s="2">
        <v>21</v>
      </c>
      <c r="F6" s="23">
        <f t="shared" si="1"/>
        <v>1050</v>
      </c>
      <c r="G6" s="5"/>
      <c r="H6" s="41" t="s">
        <v>362</v>
      </c>
      <c r="I6" s="20"/>
      <c r="J6" s="11">
        <v>35</v>
      </c>
      <c r="L6" s="15">
        <v>20</v>
      </c>
      <c r="M6" s="2">
        <v>11</v>
      </c>
      <c r="N6" s="21">
        <f t="shared" si="2"/>
        <v>220</v>
      </c>
      <c r="O6" s="17">
        <v>50</v>
      </c>
      <c r="P6" s="2">
        <v>18</v>
      </c>
      <c r="Q6" s="23">
        <f t="shared" si="3"/>
        <v>900</v>
      </c>
    </row>
    <row r="7" spans="1:17" x14ac:dyDescent="0.3">
      <c r="A7" s="15">
        <v>50</v>
      </c>
      <c r="B7" s="2">
        <v>2</v>
      </c>
      <c r="C7" s="21">
        <f t="shared" si="0"/>
        <v>100</v>
      </c>
      <c r="D7" s="17">
        <v>100</v>
      </c>
      <c r="E7" s="2">
        <v>53</v>
      </c>
      <c r="F7" s="23">
        <f t="shared" si="1"/>
        <v>5300</v>
      </c>
      <c r="G7" s="5"/>
      <c r="H7" s="42" t="s">
        <v>69</v>
      </c>
      <c r="I7" s="20">
        <v>-360</v>
      </c>
      <c r="J7" s="11">
        <v>70</v>
      </c>
      <c r="L7" s="15">
        <v>50</v>
      </c>
      <c r="M7" s="2">
        <v>3</v>
      </c>
      <c r="N7" s="21">
        <f t="shared" si="2"/>
        <v>150</v>
      </c>
      <c r="O7" s="17">
        <v>100</v>
      </c>
      <c r="P7" s="2">
        <v>57</v>
      </c>
      <c r="Q7" s="23">
        <f t="shared" si="3"/>
        <v>5700</v>
      </c>
    </row>
    <row r="8" spans="1:17" x14ac:dyDescent="0.3">
      <c r="A8" s="15">
        <v>100</v>
      </c>
      <c r="C8" s="21">
        <f t="shared" si="0"/>
        <v>0</v>
      </c>
      <c r="D8" s="1" t="s">
        <v>1</v>
      </c>
      <c r="E8" s="1"/>
      <c r="F8" s="19">
        <f>SUM(F3:F7)</f>
        <v>7075</v>
      </c>
      <c r="G8" s="5"/>
      <c r="H8" s="41" t="s">
        <v>216</v>
      </c>
      <c r="I8" s="20">
        <v>-400</v>
      </c>
      <c r="J8" s="11">
        <v>20</v>
      </c>
      <c r="L8" s="15">
        <v>100</v>
      </c>
      <c r="M8" s="2">
        <v>4</v>
      </c>
      <c r="N8" s="21">
        <f t="shared" si="2"/>
        <v>400</v>
      </c>
      <c r="O8" s="1" t="s">
        <v>1</v>
      </c>
      <c r="P8" s="1"/>
      <c r="Q8" s="19">
        <f>SUM(Q3:Q7)</f>
        <v>7345</v>
      </c>
    </row>
    <row r="9" spans="1:17" x14ac:dyDescent="0.3">
      <c r="A9" s="1" t="s">
        <v>1</v>
      </c>
      <c r="B9" s="1"/>
      <c r="C9" s="22">
        <f>SUM(C3:C8)</f>
        <v>775</v>
      </c>
      <c r="H9" s="41" t="s">
        <v>363</v>
      </c>
      <c r="I9" s="20">
        <v>-270</v>
      </c>
      <c r="J9" s="11">
        <v>10</v>
      </c>
      <c r="L9" s="1" t="s">
        <v>1</v>
      </c>
      <c r="M9" s="1"/>
      <c r="N9" s="22">
        <f>SUM(N3:N8)</f>
        <v>1262</v>
      </c>
      <c r="Q9" s="20"/>
    </row>
    <row r="10" spans="1:17" x14ac:dyDescent="0.3">
      <c r="H10" s="41" t="s">
        <v>285</v>
      </c>
      <c r="I10" s="20">
        <v>200</v>
      </c>
      <c r="N10" s="27"/>
      <c r="O10" s="66" t="s">
        <v>40</v>
      </c>
      <c r="P10" s="66"/>
      <c r="Q10" s="24">
        <f>SUM(Table134567810111213141516171819202122[اللبناني])</f>
        <v>270</v>
      </c>
    </row>
    <row r="11" spans="1:17" x14ac:dyDescent="0.3">
      <c r="H11" s="41" t="s">
        <v>307</v>
      </c>
      <c r="I11" s="20">
        <v>-180</v>
      </c>
      <c r="J11" s="11">
        <v>30</v>
      </c>
      <c r="L11" s="66" t="s">
        <v>39</v>
      </c>
      <c r="M11" s="66"/>
      <c r="N11" s="12">
        <f>SUM(Table134567810111213141516171819202122[الدولار])</f>
        <v>487</v>
      </c>
      <c r="Q11" s="20"/>
    </row>
    <row r="12" spans="1:17" x14ac:dyDescent="0.3">
      <c r="H12" s="41" t="s">
        <v>364</v>
      </c>
      <c r="I12" s="20">
        <v>-630</v>
      </c>
      <c r="J12" s="11">
        <v>10</v>
      </c>
      <c r="N12" s="27"/>
      <c r="O12" s="1" t="s">
        <v>27</v>
      </c>
      <c r="P12" s="1"/>
      <c r="Q12" s="24">
        <f>Q8-Q10-F8</f>
        <v>0</v>
      </c>
    </row>
    <row r="13" spans="1:17" x14ac:dyDescent="0.3">
      <c r="C13" s="14"/>
      <c r="D13" s="14"/>
      <c r="F13" s="14"/>
      <c r="H13" s="41" t="s">
        <v>365</v>
      </c>
      <c r="I13" s="20">
        <v>300</v>
      </c>
      <c r="L13" s="1" t="s">
        <v>27</v>
      </c>
      <c r="M13" s="1"/>
      <c r="N13" s="12">
        <f>N9-N11-C9</f>
        <v>0</v>
      </c>
    </row>
    <row r="14" spans="1:17" x14ac:dyDescent="0.3">
      <c r="C14" s="14"/>
      <c r="D14" s="14"/>
      <c r="F14" s="14"/>
      <c r="H14" s="43"/>
      <c r="I14" s="18"/>
      <c r="J14" s="11">
        <v>5</v>
      </c>
    </row>
    <row r="15" spans="1:17" x14ac:dyDescent="0.3">
      <c r="C15" s="14"/>
      <c r="D15" s="14"/>
      <c r="F15" s="14"/>
      <c r="H15" s="43" t="s">
        <v>366</v>
      </c>
      <c r="I15" s="18">
        <v>45</v>
      </c>
    </row>
    <row r="16" spans="1:17" x14ac:dyDescent="0.3">
      <c r="C16" s="14"/>
      <c r="D16" s="14"/>
      <c r="F16" s="14"/>
      <c r="H16" s="41" t="s">
        <v>367</v>
      </c>
      <c r="I16" s="18">
        <v>600</v>
      </c>
    </row>
    <row r="17" spans="3:11" s="11" customFormat="1" x14ac:dyDescent="0.3">
      <c r="C17" s="14"/>
      <c r="D17" s="14"/>
      <c r="E17" s="2"/>
      <c r="F17" s="14"/>
      <c r="G17" s="2"/>
      <c r="H17" s="43" t="s">
        <v>11</v>
      </c>
      <c r="I17" s="20">
        <v>-270</v>
      </c>
      <c r="J17" s="11">
        <v>10</v>
      </c>
      <c r="K17" s="6"/>
    </row>
    <row r="18" spans="3:11" s="11" customFormat="1" x14ac:dyDescent="0.3">
      <c r="C18" s="14"/>
      <c r="D18" s="2"/>
      <c r="E18" s="2"/>
      <c r="F18" s="14"/>
      <c r="G18" s="2"/>
      <c r="H18" s="43" t="s">
        <v>368</v>
      </c>
      <c r="I18" s="20">
        <v>-150</v>
      </c>
      <c r="J18" s="11">
        <v>20</v>
      </c>
      <c r="K18" s="6"/>
    </row>
    <row r="19" spans="3:11" s="11" customFormat="1" x14ac:dyDescent="0.3">
      <c r="C19" s="14"/>
      <c r="D19" s="2"/>
      <c r="E19" s="2"/>
      <c r="F19" s="2"/>
      <c r="G19" s="2"/>
      <c r="H19" s="43"/>
      <c r="I19" s="20">
        <v>50</v>
      </c>
      <c r="K19" s="6"/>
    </row>
    <row r="20" spans="3:11" s="11" customFormat="1" x14ac:dyDescent="0.3">
      <c r="C20" s="2"/>
      <c r="D20" s="2"/>
      <c r="E20" s="2"/>
      <c r="F20" s="6"/>
      <c r="G20" s="2"/>
      <c r="H20" s="41" t="s">
        <v>16</v>
      </c>
      <c r="I20" s="20">
        <v>500</v>
      </c>
      <c r="K20" s="6"/>
    </row>
    <row r="21" spans="3:11" s="11" customFormat="1" x14ac:dyDescent="0.3">
      <c r="C21" s="6"/>
      <c r="D21" s="2"/>
      <c r="E21" s="2"/>
      <c r="F21" s="2"/>
      <c r="G21" s="2"/>
      <c r="H21" s="41" t="s">
        <v>369</v>
      </c>
      <c r="I21" s="20">
        <v>-500</v>
      </c>
      <c r="J21" s="11">
        <v>20</v>
      </c>
      <c r="K21" s="6"/>
    </row>
    <row r="22" spans="3:11" s="11" customFormat="1" x14ac:dyDescent="0.3">
      <c r="C22" s="2"/>
      <c r="D22" s="2"/>
      <c r="E22" s="2"/>
      <c r="F22" s="6"/>
      <c r="G22" s="2"/>
      <c r="H22" s="41"/>
      <c r="I22" s="20">
        <v>100</v>
      </c>
      <c r="K22" s="6"/>
    </row>
    <row r="23" spans="3:11" s="11" customFormat="1" x14ac:dyDescent="0.3">
      <c r="C23" s="6"/>
      <c r="D23" s="2"/>
      <c r="E23" s="2"/>
      <c r="F23" s="2"/>
      <c r="G23" s="2"/>
      <c r="H23" s="41" t="s">
        <v>370</v>
      </c>
      <c r="I23" s="20">
        <v>275</v>
      </c>
      <c r="K23" s="6"/>
    </row>
    <row r="24" spans="3:11" s="11" customFormat="1" x14ac:dyDescent="0.3">
      <c r="C24" s="2"/>
      <c r="D24" s="2"/>
      <c r="E24" s="2"/>
      <c r="F24" s="2"/>
      <c r="G24" s="2"/>
      <c r="H24" s="41" t="s">
        <v>371</v>
      </c>
      <c r="I24" s="20">
        <v>-520</v>
      </c>
      <c r="K24" s="6"/>
    </row>
    <row r="25" spans="3:11" s="11" customFormat="1" x14ac:dyDescent="0.3">
      <c r="C25" s="2"/>
      <c r="D25" s="2"/>
      <c r="E25" s="2"/>
      <c r="F25" s="2"/>
      <c r="G25" s="2"/>
      <c r="H25" s="41" t="s">
        <v>372</v>
      </c>
      <c r="I25" s="20"/>
      <c r="J25" s="11">
        <v>85</v>
      </c>
      <c r="K25" s="6"/>
    </row>
    <row r="26" spans="3:11" s="11" customFormat="1" x14ac:dyDescent="0.3">
      <c r="C26" s="2"/>
      <c r="D26" s="2"/>
      <c r="E26" s="2"/>
      <c r="F26" s="2"/>
      <c r="G26" s="2"/>
      <c r="H26" s="41" t="s">
        <v>373</v>
      </c>
      <c r="I26" s="20">
        <v>300</v>
      </c>
      <c r="K26" s="6"/>
    </row>
    <row r="27" spans="3:11" s="11" customFormat="1" x14ac:dyDescent="0.3">
      <c r="C27" s="2"/>
      <c r="D27" s="2"/>
      <c r="E27" s="2"/>
      <c r="F27" s="2"/>
      <c r="G27" s="2"/>
      <c r="H27" s="41" t="s">
        <v>374</v>
      </c>
      <c r="I27" s="18"/>
      <c r="J27" s="11">
        <v>102</v>
      </c>
      <c r="K27" s="6"/>
    </row>
    <row r="28" spans="3:11" s="11" customFormat="1" x14ac:dyDescent="0.3">
      <c r="C28" s="2"/>
      <c r="D28" s="2"/>
      <c r="E28" s="2"/>
      <c r="F28" s="2"/>
      <c r="G28" s="2"/>
      <c r="H28" s="39" t="s">
        <v>111</v>
      </c>
      <c r="I28" s="18">
        <v>50</v>
      </c>
      <c r="K28" s="6"/>
    </row>
    <row r="29" spans="3:11" s="11" customFormat="1" x14ac:dyDescent="0.3">
      <c r="C29" s="2"/>
      <c r="D29" s="2"/>
      <c r="E29" s="2"/>
      <c r="F29" s="2"/>
      <c r="G29" s="2"/>
      <c r="H29" s="39" t="s">
        <v>375</v>
      </c>
      <c r="I29" s="18"/>
      <c r="J29" s="11">
        <v>55</v>
      </c>
      <c r="K29" s="6"/>
    </row>
    <row r="30" spans="3:11" s="11" customFormat="1" x14ac:dyDescent="0.3">
      <c r="C30" s="2"/>
      <c r="D30" s="2"/>
      <c r="E30" s="2"/>
      <c r="F30" s="2"/>
      <c r="G30" s="2"/>
      <c r="H30" s="39" t="s">
        <v>220</v>
      </c>
      <c r="I30" s="18">
        <v>-100</v>
      </c>
      <c r="K30" s="6"/>
    </row>
    <row r="31" spans="3:11" s="11" customFormat="1" x14ac:dyDescent="0.3">
      <c r="C31" s="2"/>
      <c r="D31" s="2"/>
      <c r="E31" s="2"/>
      <c r="F31" s="2"/>
      <c r="G31" s="2"/>
      <c r="H31" s="39" t="s">
        <v>376</v>
      </c>
      <c r="I31" s="18">
        <v>400</v>
      </c>
      <c r="K31" s="6"/>
    </row>
    <row r="32" spans="3:11" s="11" customFormat="1" x14ac:dyDescent="0.3">
      <c r="C32" s="2"/>
      <c r="D32" s="2"/>
      <c r="E32" s="2"/>
      <c r="F32" s="2"/>
      <c r="G32" s="2"/>
      <c r="H32" s="39"/>
      <c r="I32" s="18"/>
      <c r="K32" s="6"/>
    </row>
    <row r="33" spans="8:11" s="11" customFormat="1" x14ac:dyDescent="0.3">
      <c r="H33" s="39"/>
      <c r="I33" s="18"/>
      <c r="K33" s="6"/>
    </row>
    <row r="34" spans="8:11" s="11" customFormat="1" x14ac:dyDescent="0.3">
      <c r="H34" s="39"/>
      <c r="I34" s="18"/>
      <c r="K34" s="6"/>
    </row>
    <row r="35" spans="8:11" s="11" customFormat="1" x14ac:dyDescent="0.3">
      <c r="H35" s="39"/>
      <c r="I35" s="18"/>
      <c r="K35" s="6"/>
    </row>
    <row r="36" spans="8:11" s="11" customFormat="1" x14ac:dyDescent="0.3">
      <c r="H36" s="39"/>
      <c r="I36" s="18"/>
      <c r="K36" s="6"/>
    </row>
    <row r="37" spans="8:11" s="11" customFormat="1" x14ac:dyDescent="0.3">
      <c r="H37" s="39"/>
      <c r="I37" s="18"/>
      <c r="K37" s="6"/>
    </row>
    <row r="38" spans="8:11" s="11" customFormat="1" x14ac:dyDescent="0.3">
      <c r="H38" s="39"/>
      <c r="I38" s="18"/>
      <c r="K38" s="6"/>
    </row>
    <row r="39" spans="8:11" s="11" customFormat="1" x14ac:dyDescent="0.3">
      <c r="H39" s="39"/>
      <c r="I39" s="18"/>
      <c r="K39" s="6"/>
    </row>
    <row r="40" spans="8:11" s="11" customFormat="1" x14ac:dyDescent="0.3">
      <c r="H40" s="39"/>
      <c r="I40" s="18"/>
      <c r="K40" s="6"/>
    </row>
    <row r="41" spans="8:11" s="11" customFormat="1" x14ac:dyDescent="0.3">
      <c r="H41" s="39"/>
      <c r="I41" s="18"/>
      <c r="K41" s="6"/>
    </row>
    <row r="42" spans="8:11" s="11" customFormat="1" x14ac:dyDescent="0.3">
      <c r="H42" s="39"/>
      <c r="I42" s="18"/>
      <c r="K42" s="6"/>
    </row>
    <row r="43" spans="8:11" s="11" customFormat="1" x14ac:dyDescent="0.3">
      <c r="H43" s="39"/>
      <c r="I43" s="18"/>
      <c r="K43" s="6"/>
    </row>
    <row r="44" spans="8:11" s="11" customFormat="1" x14ac:dyDescent="0.3">
      <c r="H44" s="39"/>
      <c r="I44" s="18"/>
      <c r="K44" s="6"/>
    </row>
    <row r="45" spans="8:11" s="11" customFormat="1" x14ac:dyDescent="0.3">
      <c r="H45" s="39"/>
      <c r="I45" s="18"/>
      <c r="K45" s="6"/>
    </row>
    <row r="46" spans="8:11" s="11" customFormat="1" x14ac:dyDescent="0.3">
      <c r="H46" s="39"/>
      <c r="I46" s="18"/>
      <c r="K46" s="6"/>
    </row>
    <row r="47" spans="8:11" s="11" customFormat="1" x14ac:dyDescent="0.3">
      <c r="H47" s="39"/>
      <c r="I47" s="18"/>
      <c r="K47" s="6"/>
    </row>
    <row r="48" spans="8:11" s="11" customFormat="1" x14ac:dyDescent="0.3">
      <c r="H48" s="39"/>
      <c r="I48" s="18"/>
      <c r="K48" s="6"/>
    </row>
    <row r="49" spans="8:11" s="11" customFormat="1" x14ac:dyDescent="0.3">
      <c r="H49" s="39"/>
      <c r="I49" s="18"/>
      <c r="K49" s="6"/>
    </row>
    <row r="50" spans="8:11" s="11" customFormat="1" x14ac:dyDescent="0.3">
      <c r="H50" s="39"/>
      <c r="I50" s="18"/>
      <c r="K50" s="6"/>
    </row>
    <row r="51" spans="8:11" s="11" customFormat="1" x14ac:dyDescent="0.3">
      <c r="H51" s="39"/>
      <c r="I51" s="18"/>
      <c r="K51" s="6"/>
    </row>
    <row r="52" spans="8:11" s="11" customFormat="1" x14ac:dyDescent="0.3">
      <c r="H52" s="39"/>
      <c r="I52" s="18"/>
      <c r="K52" s="6"/>
    </row>
    <row r="53" spans="8:11" s="11" customFormat="1" x14ac:dyDescent="0.3">
      <c r="H53" s="39"/>
      <c r="I53" s="18"/>
      <c r="K53" s="6"/>
    </row>
    <row r="54" spans="8:11" s="11" customFormat="1" x14ac:dyDescent="0.3">
      <c r="H54" s="39"/>
      <c r="I54" s="18"/>
      <c r="K54" s="6"/>
    </row>
    <row r="55" spans="8:11" s="11" customFormat="1" x14ac:dyDescent="0.3">
      <c r="H55" s="39"/>
      <c r="I55" s="18"/>
      <c r="K55" s="6"/>
    </row>
    <row r="56" spans="8:11" s="11" customFormat="1" x14ac:dyDescent="0.3">
      <c r="H56" s="39"/>
      <c r="I56" s="18"/>
      <c r="K56" s="6"/>
    </row>
    <row r="57" spans="8:11" s="11" customFormat="1" x14ac:dyDescent="0.3">
      <c r="H57" s="39"/>
      <c r="I57" s="18"/>
      <c r="K57" s="6"/>
    </row>
    <row r="58" spans="8:11" s="11" customFormat="1" x14ac:dyDescent="0.3">
      <c r="H58" s="39"/>
      <c r="I58" s="18"/>
      <c r="K58" s="6"/>
    </row>
    <row r="59" spans="8:11" s="11" customFormat="1" x14ac:dyDescent="0.3">
      <c r="H59" s="39"/>
      <c r="I59" s="18"/>
      <c r="K59" s="6"/>
    </row>
    <row r="60" spans="8:11" s="11" customFormat="1" x14ac:dyDescent="0.3">
      <c r="H60" s="39"/>
      <c r="I60" s="18"/>
      <c r="K60" s="6"/>
    </row>
    <row r="61" spans="8:11" s="11" customFormat="1" x14ac:dyDescent="0.3">
      <c r="H61" s="39"/>
      <c r="I61" s="18"/>
      <c r="K61" s="6"/>
    </row>
    <row r="62" spans="8:11" s="11" customFormat="1" x14ac:dyDescent="0.3">
      <c r="H62" s="39"/>
      <c r="I62" s="18"/>
      <c r="K62" s="6"/>
    </row>
    <row r="63" spans="8:11" s="11" customFormat="1" x14ac:dyDescent="0.3">
      <c r="H63" s="39"/>
      <c r="I63" s="18"/>
      <c r="K63" s="6"/>
    </row>
    <row r="64" spans="8:11" s="11" customFormat="1" x14ac:dyDescent="0.3">
      <c r="H64" s="39"/>
      <c r="I64" s="18"/>
      <c r="K64" s="6"/>
    </row>
    <row r="65" spans="8:11" s="11" customFormat="1" x14ac:dyDescent="0.3">
      <c r="H65" s="39"/>
      <c r="I65" s="18"/>
      <c r="K65" s="6"/>
    </row>
    <row r="66" spans="8:11" s="11" customFormat="1" x14ac:dyDescent="0.3">
      <c r="H66" s="39"/>
      <c r="I66" s="18"/>
      <c r="K66" s="6"/>
    </row>
    <row r="67" spans="8:11" s="11" customFormat="1" x14ac:dyDescent="0.3">
      <c r="H67" s="39"/>
      <c r="I67" s="18"/>
      <c r="K67" s="6"/>
    </row>
    <row r="68" spans="8:11" s="11" customFormat="1" x14ac:dyDescent="0.3">
      <c r="H68" s="39"/>
      <c r="I68" s="18"/>
      <c r="K68" s="6"/>
    </row>
    <row r="69" spans="8:11" s="11" customFormat="1" x14ac:dyDescent="0.3">
      <c r="H69" s="39"/>
      <c r="I69" s="18"/>
      <c r="K69" s="6"/>
    </row>
    <row r="70" spans="8:11" s="11" customFormat="1" x14ac:dyDescent="0.3">
      <c r="H70" s="39"/>
      <c r="I70" s="18"/>
      <c r="K70" s="6"/>
    </row>
    <row r="71" spans="8:11" s="11" customFormat="1" x14ac:dyDescent="0.3">
      <c r="H71" s="39"/>
      <c r="I71" s="18"/>
      <c r="K71" s="6"/>
    </row>
    <row r="72" spans="8:11" s="11" customFormat="1" x14ac:dyDescent="0.3">
      <c r="H72" s="39"/>
      <c r="I72" s="18"/>
      <c r="K72" s="6"/>
    </row>
    <row r="73" spans="8:11" s="11" customFormat="1" x14ac:dyDescent="0.3">
      <c r="H73" s="39"/>
      <c r="I73" s="18"/>
      <c r="K73" s="6"/>
    </row>
    <row r="74" spans="8:11" s="11" customFormat="1" x14ac:dyDescent="0.3">
      <c r="H74" s="39"/>
      <c r="I74" s="18"/>
      <c r="K74" s="6"/>
    </row>
    <row r="75" spans="8:11" s="11" customFormat="1" x14ac:dyDescent="0.3">
      <c r="H75" s="39"/>
      <c r="I75" s="18"/>
      <c r="K75" s="6"/>
    </row>
    <row r="76" spans="8:11" s="11" customFormat="1" x14ac:dyDescent="0.3">
      <c r="H76" s="39"/>
      <c r="I76" s="18"/>
      <c r="K76" s="6"/>
    </row>
    <row r="77" spans="8:11" s="11" customFormat="1" x14ac:dyDescent="0.3">
      <c r="H77" s="39"/>
      <c r="I77" s="18"/>
      <c r="K77" s="6"/>
    </row>
    <row r="78" spans="8:11" s="11" customFormat="1" x14ac:dyDescent="0.3">
      <c r="H78" s="39"/>
      <c r="I78" s="18"/>
      <c r="K78" s="6"/>
    </row>
    <row r="79" spans="8:11" s="11" customFormat="1" x14ac:dyDescent="0.3">
      <c r="H79" s="39"/>
      <c r="I79" s="18"/>
      <c r="K79" s="6"/>
    </row>
    <row r="80" spans="8:11" s="11" customFormat="1" x14ac:dyDescent="0.3">
      <c r="H80" s="39"/>
      <c r="I80" s="18"/>
      <c r="K80" s="6"/>
    </row>
    <row r="81" spans="8:11" s="11" customFormat="1" x14ac:dyDescent="0.3">
      <c r="H81" s="39"/>
      <c r="I81" s="18"/>
      <c r="K81" s="6"/>
    </row>
    <row r="82" spans="8:11" s="11" customFormat="1" x14ac:dyDescent="0.3">
      <c r="H82" s="39"/>
      <c r="I82" s="18"/>
      <c r="K82" s="6"/>
    </row>
    <row r="83" spans="8:11" s="11" customFormat="1" x14ac:dyDescent="0.3">
      <c r="H83" s="39"/>
      <c r="I83" s="18"/>
      <c r="K83" s="6"/>
    </row>
    <row r="84" spans="8:11" s="11" customFormat="1" x14ac:dyDescent="0.3">
      <c r="H84" s="39"/>
      <c r="I84" s="18"/>
      <c r="K84" s="6"/>
    </row>
    <row r="85" spans="8:11" s="11" customFormat="1" x14ac:dyDescent="0.3">
      <c r="H85" s="39"/>
      <c r="I85" s="18"/>
      <c r="K85" s="6"/>
    </row>
    <row r="86" spans="8:11" s="11" customFormat="1" x14ac:dyDescent="0.3">
      <c r="H86" s="39"/>
      <c r="I86" s="18"/>
      <c r="K86" s="6"/>
    </row>
    <row r="87" spans="8:11" s="11" customFormat="1" x14ac:dyDescent="0.3">
      <c r="H87" s="39"/>
      <c r="I87" s="18"/>
      <c r="K87" s="6"/>
    </row>
    <row r="88" spans="8:11" s="11" customFormat="1" x14ac:dyDescent="0.3">
      <c r="H88" s="39"/>
      <c r="I88" s="18"/>
      <c r="K88" s="6"/>
    </row>
    <row r="89" spans="8:11" s="11" customFormat="1" x14ac:dyDescent="0.3">
      <c r="H89" s="39"/>
      <c r="I89" s="18"/>
      <c r="K89" s="6"/>
    </row>
    <row r="90" spans="8:11" s="11" customFormat="1" x14ac:dyDescent="0.3">
      <c r="H90" s="39"/>
      <c r="I90" s="18"/>
      <c r="K90" s="6"/>
    </row>
    <row r="91" spans="8:11" s="11" customFormat="1" x14ac:dyDescent="0.3">
      <c r="H91" s="39"/>
      <c r="I91" s="18"/>
      <c r="K91" s="6"/>
    </row>
    <row r="92" spans="8:11" s="11" customFormat="1" x14ac:dyDescent="0.3">
      <c r="H92" s="39"/>
      <c r="I92" s="18"/>
      <c r="K92" s="6"/>
    </row>
    <row r="93" spans="8:11" s="11" customFormat="1" x14ac:dyDescent="0.3">
      <c r="H93" s="39"/>
      <c r="I93" s="18"/>
      <c r="K93" s="6"/>
    </row>
    <row r="94" spans="8:11" s="11" customFormat="1" x14ac:dyDescent="0.3">
      <c r="H94" s="39"/>
      <c r="I94" s="18"/>
      <c r="K94" s="6"/>
    </row>
    <row r="95" spans="8:11" s="11" customFormat="1" x14ac:dyDescent="0.3">
      <c r="H95" s="39"/>
      <c r="I95" s="18"/>
      <c r="K95" s="6"/>
    </row>
    <row r="96" spans="8:11" s="11" customFormat="1" x14ac:dyDescent="0.3">
      <c r="H96" s="39"/>
      <c r="I96" s="18"/>
      <c r="K96" s="6"/>
    </row>
    <row r="97" spans="8:11" s="11" customFormat="1" x14ac:dyDescent="0.3">
      <c r="H97" s="39"/>
      <c r="I97" s="18"/>
      <c r="K97" s="6"/>
    </row>
    <row r="98" spans="8:11" s="11" customFormat="1" x14ac:dyDescent="0.3">
      <c r="H98" s="39"/>
      <c r="I98" s="18"/>
      <c r="K98" s="6"/>
    </row>
    <row r="99" spans="8:11" s="11" customFormat="1" x14ac:dyDescent="0.3">
      <c r="H99" s="39"/>
      <c r="I99" s="18"/>
      <c r="K99" s="6"/>
    </row>
    <row r="100" spans="8:11" s="11" customFormat="1" x14ac:dyDescent="0.3">
      <c r="H100" s="39"/>
      <c r="I100" s="18"/>
      <c r="K100" s="6"/>
    </row>
    <row r="101" spans="8:11" s="11" customFormat="1" x14ac:dyDescent="0.3">
      <c r="H101" s="39"/>
      <c r="I101" s="18"/>
      <c r="K101" s="6"/>
    </row>
    <row r="102" spans="8:11" s="11" customFormat="1" x14ac:dyDescent="0.3">
      <c r="H102" s="39"/>
      <c r="I102" s="18"/>
      <c r="K102" s="6"/>
    </row>
    <row r="103" spans="8:11" s="11" customFormat="1" x14ac:dyDescent="0.3">
      <c r="H103" s="39"/>
      <c r="I103" s="18"/>
      <c r="K103" s="6"/>
    </row>
    <row r="104" spans="8:11" s="11" customFormat="1" x14ac:dyDescent="0.3">
      <c r="H104" s="39"/>
      <c r="I104" s="18"/>
      <c r="K104" s="6"/>
    </row>
    <row r="105" spans="8:11" s="11" customFormat="1" x14ac:dyDescent="0.3">
      <c r="H105" s="39"/>
      <c r="I105" s="18"/>
      <c r="K105" s="6"/>
    </row>
    <row r="106" spans="8:11" s="11" customFormat="1" x14ac:dyDescent="0.3">
      <c r="H106" s="39"/>
      <c r="I106" s="18"/>
      <c r="K106" s="6"/>
    </row>
    <row r="107" spans="8:11" s="11" customFormat="1" x14ac:dyDescent="0.3">
      <c r="H107" s="39"/>
      <c r="I107" s="18"/>
      <c r="K107" s="6"/>
    </row>
    <row r="108" spans="8:11" s="11" customFormat="1" x14ac:dyDescent="0.3">
      <c r="H108" s="39"/>
      <c r="I108" s="18"/>
      <c r="K108" s="6"/>
    </row>
    <row r="109" spans="8:11" s="11" customFormat="1" x14ac:dyDescent="0.3">
      <c r="H109" s="39"/>
      <c r="I109" s="18"/>
      <c r="K109" s="6"/>
    </row>
    <row r="110" spans="8:11" s="11" customFormat="1" x14ac:dyDescent="0.3">
      <c r="H110" s="39"/>
      <c r="I110" s="18"/>
      <c r="K110" s="6"/>
    </row>
    <row r="111" spans="8:11" s="11" customFormat="1" x14ac:dyDescent="0.3">
      <c r="H111" s="39"/>
      <c r="I111" s="18"/>
      <c r="K111" s="6"/>
    </row>
    <row r="112" spans="8:11" s="11" customFormat="1" x14ac:dyDescent="0.3">
      <c r="H112" s="39"/>
      <c r="I112" s="18"/>
      <c r="K112" s="6"/>
    </row>
    <row r="113" spans="8:11" s="11" customFormat="1" x14ac:dyDescent="0.3">
      <c r="H113" s="39"/>
      <c r="I113" s="18"/>
      <c r="K113" s="6"/>
    </row>
    <row r="114" spans="8:11" s="11" customFormat="1" x14ac:dyDescent="0.3">
      <c r="H114" s="39"/>
      <c r="I114" s="18"/>
      <c r="K114" s="6"/>
    </row>
    <row r="115" spans="8:11" s="11" customFormat="1" x14ac:dyDescent="0.3">
      <c r="H115" s="39"/>
      <c r="I115" s="18"/>
      <c r="K115" s="6"/>
    </row>
    <row r="116" spans="8:11" s="11" customFormat="1" x14ac:dyDescent="0.3">
      <c r="H116" s="39"/>
      <c r="I116" s="18"/>
      <c r="K116" s="6"/>
    </row>
    <row r="117" spans="8:11" s="11" customFormat="1" x14ac:dyDescent="0.3">
      <c r="H117" s="39"/>
      <c r="I117" s="18"/>
      <c r="K117" s="6"/>
    </row>
    <row r="118" spans="8:11" s="11" customFormat="1" x14ac:dyDescent="0.3">
      <c r="H118" s="39"/>
      <c r="I118" s="18"/>
      <c r="K118" s="6"/>
    </row>
    <row r="119" spans="8:11" s="11" customFormat="1" x14ac:dyDescent="0.3">
      <c r="H119" s="39"/>
      <c r="I119" s="18"/>
      <c r="K119" s="6"/>
    </row>
    <row r="120" spans="8:11" s="11" customFormat="1" x14ac:dyDescent="0.3">
      <c r="H120" s="39"/>
      <c r="I120" s="18"/>
      <c r="K120" s="6"/>
    </row>
    <row r="121" spans="8:11" s="11" customFormat="1" x14ac:dyDescent="0.3">
      <c r="H121" s="39"/>
      <c r="I121" s="18"/>
      <c r="K121" s="6"/>
    </row>
    <row r="122" spans="8:11" s="11" customFormat="1" x14ac:dyDescent="0.3">
      <c r="H122" s="39"/>
      <c r="I122" s="18"/>
      <c r="K122" s="6"/>
    </row>
    <row r="123" spans="8:11" s="11" customFormat="1" x14ac:dyDescent="0.3">
      <c r="H123" s="39"/>
      <c r="I123" s="18"/>
      <c r="K123" s="6"/>
    </row>
    <row r="124" spans="8:11" s="11" customFormat="1" x14ac:dyDescent="0.3">
      <c r="H124" s="39"/>
      <c r="I124" s="18"/>
      <c r="K124" s="6"/>
    </row>
    <row r="125" spans="8:11" s="11" customFormat="1" x14ac:dyDescent="0.3">
      <c r="H125" s="39"/>
      <c r="I125" s="18"/>
      <c r="K125" s="6"/>
    </row>
    <row r="126" spans="8:11" s="11" customFormat="1" x14ac:dyDescent="0.3">
      <c r="H126" s="39"/>
      <c r="I126" s="18"/>
      <c r="K126" s="6"/>
    </row>
    <row r="127" spans="8:11" s="11" customFormat="1" x14ac:dyDescent="0.3">
      <c r="H127" s="39"/>
      <c r="I127" s="18"/>
      <c r="K127" s="6"/>
    </row>
    <row r="128" spans="8:11" s="11" customFormat="1" x14ac:dyDescent="0.3">
      <c r="H128" s="39"/>
      <c r="I128" s="18"/>
      <c r="K128" s="6"/>
    </row>
    <row r="129" spans="8:11" s="11" customFormat="1" x14ac:dyDescent="0.3">
      <c r="H129" s="39"/>
      <c r="I129" s="18"/>
      <c r="K129" s="6"/>
    </row>
    <row r="130" spans="8:11" s="11" customFormat="1" x14ac:dyDescent="0.3">
      <c r="H130" s="39"/>
      <c r="I130" s="18"/>
      <c r="K130" s="6"/>
    </row>
    <row r="131" spans="8:11" s="11" customFormat="1" x14ac:dyDescent="0.3">
      <c r="H131" s="39"/>
      <c r="I131" s="18"/>
      <c r="K131" s="6"/>
    </row>
    <row r="132" spans="8:11" s="11" customFormat="1" x14ac:dyDescent="0.3">
      <c r="H132" s="39"/>
      <c r="I132" s="18"/>
      <c r="K132" s="6"/>
    </row>
    <row r="133" spans="8:11" s="11" customFormat="1" x14ac:dyDescent="0.3">
      <c r="H133" s="39"/>
      <c r="I133" s="18"/>
      <c r="K133" s="6"/>
    </row>
    <row r="134" spans="8:11" s="11" customFormat="1" x14ac:dyDescent="0.3">
      <c r="H134" s="39"/>
      <c r="I134" s="18"/>
      <c r="K134" s="6"/>
    </row>
    <row r="135" spans="8:11" s="11" customFormat="1" x14ac:dyDescent="0.3">
      <c r="H135" s="39"/>
      <c r="I135" s="18"/>
      <c r="K135" s="6"/>
    </row>
    <row r="136" spans="8:11" s="11" customFormat="1" x14ac:dyDescent="0.3">
      <c r="H136" s="39"/>
      <c r="I136" s="18"/>
      <c r="K136" s="6"/>
    </row>
    <row r="137" spans="8:11" s="11" customFormat="1" x14ac:dyDescent="0.3">
      <c r="H137" s="39"/>
      <c r="I137" s="18"/>
      <c r="K137" s="6"/>
    </row>
    <row r="138" spans="8:11" s="11" customFormat="1" x14ac:dyDescent="0.3">
      <c r="H138" s="39"/>
      <c r="I138" s="18"/>
      <c r="K138" s="6"/>
    </row>
    <row r="139" spans="8:11" s="11" customFormat="1" x14ac:dyDescent="0.3">
      <c r="H139" s="39"/>
      <c r="I139" s="18"/>
      <c r="K139" s="6"/>
    </row>
    <row r="140" spans="8:11" s="11" customFormat="1" x14ac:dyDescent="0.3">
      <c r="H140" s="39"/>
      <c r="I140" s="18"/>
      <c r="K140" s="6"/>
    </row>
    <row r="141" spans="8:11" s="11" customFormat="1" x14ac:dyDescent="0.3">
      <c r="H141" s="39"/>
      <c r="I141" s="18"/>
      <c r="K141" s="6"/>
    </row>
    <row r="142" spans="8:11" s="11" customFormat="1" x14ac:dyDescent="0.3">
      <c r="H142" s="39"/>
      <c r="I142" s="18"/>
      <c r="K142" s="6"/>
    </row>
    <row r="143" spans="8:11" s="11" customFormat="1" x14ac:dyDescent="0.3">
      <c r="H143" s="39"/>
      <c r="I143" s="18"/>
      <c r="K143" s="6"/>
    </row>
    <row r="144" spans="8:11" s="11" customFormat="1" x14ac:dyDescent="0.3">
      <c r="H144" s="39"/>
      <c r="I144" s="18"/>
      <c r="K144" s="6"/>
    </row>
    <row r="145" spans="8:11" s="11" customFormat="1" x14ac:dyDescent="0.3">
      <c r="H145" s="39"/>
      <c r="I145" s="18"/>
      <c r="K145" s="6"/>
    </row>
    <row r="146" spans="8:11" s="11" customFormat="1" x14ac:dyDescent="0.3">
      <c r="H146" s="39"/>
      <c r="I146" s="18"/>
      <c r="K146" s="6"/>
    </row>
    <row r="147" spans="8:11" s="11" customFormat="1" x14ac:dyDescent="0.3">
      <c r="H147" s="39"/>
      <c r="I147" s="18"/>
      <c r="K147" s="6"/>
    </row>
    <row r="148" spans="8:11" s="11" customFormat="1" x14ac:dyDescent="0.3">
      <c r="H148" s="39"/>
      <c r="I148" s="18"/>
      <c r="K148" s="6"/>
    </row>
    <row r="149" spans="8:11" s="11" customFormat="1" x14ac:dyDescent="0.3">
      <c r="H149" s="39"/>
      <c r="I149" s="18"/>
      <c r="K149" s="6"/>
    </row>
    <row r="150" spans="8:11" s="11" customFormat="1" x14ac:dyDescent="0.3">
      <c r="H150" s="39"/>
      <c r="I150" s="18"/>
      <c r="K150" s="6"/>
    </row>
    <row r="151" spans="8:11" s="11" customFormat="1" x14ac:dyDescent="0.3">
      <c r="H151" s="39"/>
      <c r="I151" s="18"/>
      <c r="K151" s="6"/>
    </row>
    <row r="152" spans="8:11" s="11" customFormat="1" x14ac:dyDescent="0.3">
      <c r="H152" s="39"/>
      <c r="I152" s="18"/>
      <c r="K152" s="6"/>
    </row>
    <row r="153" spans="8:11" s="11" customFormat="1" x14ac:dyDescent="0.3">
      <c r="H153" s="39"/>
      <c r="I153" s="18"/>
      <c r="K153" s="6"/>
    </row>
    <row r="154" spans="8:11" s="11" customFormat="1" x14ac:dyDescent="0.3">
      <c r="H154" s="39"/>
      <c r="I154" s="18"/>
      <c r="K154" s="6"/>
    </row>
    <row r="155" spans="8:11" s="11" customFormat="1" x14ac:dyDescent="0.3">
      <c r="H155" s="39"/>
      <c r="I155" s="18"/>
      <c r="K155" s="6"/>
    </row>
    <row r="156" spans="8:11" s="11" customFormat="1" x14ac:dyDescent="0.3">
      <c r="H156" s="39"/>
      <c r="I156" s="18"/>
      <c r="K156" s="6"/>
    </row>
    <row r="157" spans="8:11" s="11" customFormat="1" x14ac:dyDescent="0.3">
      <c r="H157" s="39"/>
      <c r="I157" s="18"/>
      <c r="K157" s="6"/>
    </row>
    <row r="158" spans="8:11" s="11" customFormat="1" x14ac:dyDescent="0.3">
      <c r="H158" s="39"/>
      <c r="I158" s="18"/>
      <c r="K158" s="6"/>
    </row>
    <row r="159" spans="8:11" s="11" customFormat="1" x14ac:dyDescent="0.3">
      <c r="H159" s="39"/>
      <c r="I159" s="18"/>
      <c r="K159" s="6"/>
    </row>
    <row r="160" spans="8:11" s="11" customFormat="1" x14ac:dyDescent="0.3">
      <c r="H160" s="39"/>
      <c r="I160" s="18"/>
      <c r="K160" s="6"/>
    </row>
    <row r="161" spans="8:11" s="11" customFormat="1" x14ac:dyDescent="0.3">
      <c r="H161" s="39"/>
      <c r="I161" s="18"/>
      <c r="K161" s="6"/>
    </row>
    <row r="162" spans="8:11" s="11" customFormat="1" x14ac:dyDescent="0.3">
      <c r="H162" s="39"/>
      <c r="I162" s="18"/>
      <c r="K162" s="6"/>
    </row>
    <row r="163" spans="8:11" s="11" customFormat="1" x14ac:dyDescent="0.3">
      <c r="H163" s="39"/>
      <c r="I163" s="18"/>
      <c r="K163" s="6"/>
    </row>
    <row r="164" spans="8:11" s="11" customFormat="1" x14ac:dyDescent="0.3">
      <c r="H164" s="39"/>
      <c r="I164" s="18"/>
      <c r="K164" s="6"/>
    </row>
    <row r="165" spans="8:11" s="11" customFormat="1" x14ac:dyDescent="0.3">
      <c r="H165" s="39"/>
      <c r="I165" s="18"/>
      <c r="K165" s="6"/>
    </row>
    <row r="166" spans="8:11" s="11" customFormat="1" x14ac:dyDescent="0.3">
      <c r="H166" s="39"/>
      <c r="I166" s="18"/>
      <c r="K166" s="6"/>
    </row>
    <row r="167" spans="8:11" s="11" customFormat="1" x14ac:dyDescent="0.3">
      <c r="H167" s="39"/>
      <c r="I167" s="18"/>
      <c r="K167" s="6"/>
    </row>
    <row r="168" spans="8:11" s="11" customFormat="1" x14ac:dyDescent="0.3">
      <c r="H168" s="39"/>
      <c r="I168" s="18"/>
      <c r="K168" s="6"/>
    </row>
    <row r="169" spans="8:11" s="11" customFormat="1" x14ac:dyDescent="0.3">
      <c r="H169" s="39"/>
      <c r="I169" s="18"/>
      <c r="K169" s="6"/>
    </row>
    <row r="170" spans="8:11" s="11" customFormat="1" x14ac:dyDescent="0.3">
      <c r="H170" s="39"/>
      <c r="I170" s="18"/>
      <c r="K170" s="6"/>
    </row>
    <row r="171" spans="8:11" s="11" customFormat="1" x14ac:dyDescent="0.3">
      <c r="H171" s="39"/>
      <c r="I171" s="18"/>
      <c r="K171" s="6"/>
    </row>
    <row r="172" spans="8:11" s="11" customFormat="1" x14ac:dyDescent="0.3">
      <c r="H172" s="39"/>
      <c r="I172" s="18"/>
      <c r="K172" s="6"/>
    </row>
    <row r="173" spans="8:11" s="11" customFormat="1" x14ac:dyDescent="0.3">
      <c r="H173" s="39"/>
      <c r="I173" s="18"/>
      <c r="K173" s="6"/>
    </row>
    <row r="174" spans="8:11" s="11" customFormat="1" x14ac:dyDescent="0.3">
      <c r="H174" s="39"/>
      <c r="I174" s="18"/>
      <c r="K174" s="6"/>
    </row>
    <row r="175" spans="8:11" s="11" customFormat="1" x14ac:dyDescent="0.3">
      <c r="H175" s="39"/>
      <c r="I175" s="18"/>
      <c r="K175" s="6"/>
    </row>
    <row r="176" spans="8:11" s="11" customFormat="1" x14ac:dyDescent="0.3">
      <c r="H176" s="39"/>
      <c r="I176" s="18"/>
      <c r="K176" s="6"/>
    </row>
    <row r="177" spans="8:11" s="11" customFormat="1" x14ac:dyDescent="0.3">
      <c r="H177" s="39"/>
      <c r="I177" s="18"/>
      <c r="K177" s="6"/>
    </row>
    <row r="178" spans="8:11" s="11" customFormat="1" x14ac:dyDescent="0.3">
      <c r="H178" s="39"/>
      <c r="I178" s="18"/>
      <c r="K178" s="6"/>
    </row>
    <row r="179" spans="8:11" s="11" customFormat="1" x14ac:dyDescent="0.3">
      <c r="H179" s="39"/>
      <c r="I179" s="18"/>
      <c r="K179" s="6"/>
    </row>
    <row r="180" spans="8:11" s="11" customFormat="1" x14ac:dyDescent="0.3">
      <c r="H180" s="39"/>
      <c r="I180" s="18"/>
      <c r="K180" s="6"/>
    </row>
    <row r="181" spans="8:11" s="11" customFormat="1" x14ac:dyDescent="0.3">
      <c r="H181" s="39"/>
      <c r="I181" s="18"/>
      <c r="K181" s="6"/>
    </row>
    <row r="182" spans="8:11" s="11" customFormat="1" x14ac:dyDescent="0.3">
      <c r="H182" s="39"/>
      <c r="I182" s="18"/>
      <c r="K182" s="6"/>
    </row>
    <row r="183" spans="8:11" s="11" customFormat="1" x14ac:dyDescent="0.3">
      <c r="H183" s="39"/>
      <c r="I183" s="18"/>
      <c r="K183" s="6"/>
    </row>
    <row r="184" spans="8:11" s="11" customFormat="1" x14ac:dyDescent="0.3">
      <c r="H184" s="39"/>
      <c r="I184" s="18"/>
      <c r="K184" s="6"/>
    </row>
    <row r="185" spans="8:11" s="11" customFormat="1" x14ac:dyDescent="0.3">
      <c r="H185" s="39"/>
      <c r="I185" s="18"/>
      <c r="K185" s="6"/>
    </row>
    <row r="186" spans="8:11" s="11" customFormat="1" x14ac:dyDescent="0.3">
      <c r="H186" s="39"/>
      <c r="I186" s="18"/>
      <c r="K186" s="6"/>
    </row>
    <row r="187" spans="8:11" s="11" customFormat="1" x14ac:dyDescent="0.3">
      <c r="H187" s="39"/>
      <c r="I187" s="18"/>
      <c r="K187" s="6"/>
    </row>
    <row r="188" spans="8:11" s="11" customFormat="1" x14ac:dyDescent="0.3">
      <c r="H188" s="39"/>
      <c r="I188" s="18"/>
      <c r="K188" s="6"/>
    </row>
    <row r="189" spans="8:11" s="11" customFormat="1" x14ac:dyDescent="0.3">
      <c r="H189" s="39"/>
      <c r="I189" s="18"/>
      <c r="K189" s="6"/>
    </row>
    <row r="190" spans="8:11" s="11" customFormat="1" x14ac:dyDescent="0.3">
      <c r="H190" s="39"/>
      <c r="I190" s="18"/>
      <c r="K190" s="6"/>
    </row>
    <row r="191" spans="8:11" s="11" customFormat="1" x14ac:dyDescent="0.3">
      <c r="H191" s="39"/>
      <c r="I191" s="18"/>
      <c r="K191" s="6"/>
    </row>
    <row r="192" spans="8:11" s="11" customFormat="1" x14ac:dyDescent="0.3">
      <c r="H192" s="39"/>
      <c r="I192" s="18"/>
      <c r="K192" s="6"/>
    </row>
    <row r="193" spans="8:11" s="11" customFormat="1" x14ac:dyDescent="0.3">
      <c r="H193" s="39"/>
      <c r="I193" s="18"/>
      <c r="K193" s="6"/>
    </row>
    <row r="194" spans="8:11" s="11" customFormat="1" x14ac:dyDescent="0.3">
      <c r="H194" s="39"/>
      <c r="I194" s="18"/>
      <c r="K194" s="6"/>
    </row>
    <row r="195" spans="8:11" s="11" customFormat="1" x14ac:dyDescent="0.3">
      <c r="H195" s="39"/>
      <c r="I195" s="18"/>
      <c r="K195" s="6"/>
    </row>
    <row r="196" spans="8:11" s="11" customFormat="1" x14ac:dyDescent="0.3">
      <c r="H196" s="39"/>
      <c r="I196" s="18"/>
      <c r="K196" s="6"/>
    </row>
    <row r="197" spans="8:11" s="11" customFormat="1" x14ac:dyDescent="0.3">
      <c r="H197" s="39"/>
      <c r="I197" s="18"/>
      <c r="K197" s="6"/>
    </row>
    <row r="198" spans="8:11" s="11" customFormat="1" x14ac:dyDescent="0.3">
      <c r="H198" s="39"/>
      <c r="I198" s="18"/>
      <c r="K198" s="6"/>
    </row>
    <row r="199" spans="8:11" s="11" customFormat="1" x14ac:dyDescent="0.3">
      <c r="H199" s="39"/>
      <c r="I199" s="18"/>
      <c r="K199" s="6"/>
    </row>
    <row r="200" spans="8:11" s="11" customFormat="1" x14ac:dyDescent="0.3">
      <c r="H200" s="39"/>
      <c r="I200" s="18"/>
      <c r="K200" s="6"/>
    </row>
    <row r="201" spans="8:11" s="11" customFormat="1" x14ac:dyDescent="0.3">
      <c r="H201" s="39"/>
      <c r="I201" s="18"/>
      <c r="K201" s="6"/>
    </row>
    <row r="202" spans="8:11" s="11" customFormat="1" x14ac:dyDescent="0.3">
      <c r="H202" s="39"/>
      <c r="I202" s="18"/>
      <c r="K202" s="6"/>
    </row>
    <row r="203" spans="8:11" s="11" customFormat="1" x14ac:dyDescent="0.3">
      <c r="H203" s="39"/>
      <c r="I203" s="18"/>
      <c r="K203" s="6"/>
    </row>
    <row r="204" spans="8:11" s="11" customFormat="1" x14ac:dyDescent="0.3">
      <c r="H204" s="39"/>
      <c r="I204" s="18"/>
      <c r="K204" s="6"/>
    </row>
    <row r="205" spans="8:11" s="11" customFormat="1" x14ac:dyDescent="0.3">
      <c r="H205" s="39"/>
      <c r="I205" s="18"/>
      <c r="K205" s="6"/>
    </row>
    <row r="206" spans="8:11" s="11" customFormat="1" x14ac:dyDescent="0.3">
      <c r="H206" s="39"/>
      <c r="I206" s="18"/>
      <c r="K206" s="6"/>
    </row>
    <row r="207" spans="8:11" s="11" customFormat="1" x14ac:dyDescent="0.3">
      <c r="H207" s="39"/>
      <c r="I207" s="18"/>
      <c r="K207" s="6"/>
    </row>
    <row r="208" spans="8:11" s="11" customFormat="1" x14ac:dyDescent="0.3">
      <c r="H208" s="39"/>
      <c r="I208" s="18"/>
      <c r="K208" s="6"/>
    </row>
    <row r="209" spans="8:11" s="11" customFormat="1" x14ac:dyDescent="0.3">
      <c r="H209" s="39"/>
      <c r="I209" s="18"/>
      <c r="K209" s="6"/>
    </row>
    <row r="210" spans="8:11" s="11" customFormat="1" x14ac:dyDescent="0.3">
      <c r="H210" s="39"/>
      <c r="I210" s="18"/>
      <c r="K210" s="6"/>
    </row>
    <row r="211" spans="8:11" s="11" customFormat="1" x14ac:dyDescent="0.3">
      <c r="H211" s="39"/>
      <c r="I211" s="18"/>
      <c r="K211" s="6"/>
    </row>
    <row r="212" spans="8:11" s="11" customFormat="1" x14ac:dyDescent="0.3">
      <c r="H212" s="39"/>
      <c r="I212" s="18"/>
      <c r="K212" s="6"/>
    </row>
    <row r="213" spans="8:11" s="11" customFormat="1" x14ac:dyDescent="0.3">
      <c r="H213" s="39"/>
      <c r="I213" s="18"/>
      <c r="K213" s="6"/>
    </row>
    <row r="214" spans="8:11" s="11" customFormat="1" x14ac:dyDescent="0.3">
      <c r="H214" s="39"/>
      <c r="I214" s="18"/>
      <c r="K214" s="6"/>
    </row>
    <row r="215" spans="8:11" s="11" customFormat="1" x14ac:dyDescent="0.3">
      <c r="H215" s="39"/>
      <c r="I215" s="18"/>
      <c r="K215" s="6"/>
    </row>
    <row r="216" spans="8:11" s="11" customFormat="1" x14ac:dyDescent="0.3">
      <c r="H216" s="39"/>
      <c r="I216" s="18"/>
      <c r="K216" s="6"/>
    </row>
    <row r="217" spans="8:11" s="11" customFormat="1" x14ac:dyDescent="0.3">
      <c r="H217" s="39"/>
      <c r="I217" s="18"/>
      <c r="K217" s="6"/>
    </row>
    <row r="218" spans="8:11" s="11" customFormat="1" x14ac:dyDescent="0.3">
      <c r="H218" s="39"/>
      <c r="I218" s="18"/>
      <c r="K218" s="6"/>
    </row>
    <row r="219" spans="8:11" s="11" customFormat="1" x14ac:dyDescent="0.3">
      <c r="H219" s="39"/>
      <c r="I219" s="18"/>
      <c r="K219" s="6"/>
    </row>
    <row r="220" spans="8:11" s="11" customFormat="1" x14ac:dyDescent="0.3">
      <c r="H220" s="39"/>
      <c r="I220" s="18"/>
      <c r="K220" s="6"/>
    </row>
    <row r="221" spans="8:11" s="11" customFormat="1" x14ac:dyDescent="0.3">
      <c r="H221" s="39"/>
      <c r="I221" s="18"/>
      <c r="K221" s="6"/>
    </row>
    <row r="222" spans="8:11" s="11" customFormat="1" x14ac:dyDescent="0.3">
      <c r="H222" s="39"/>
      <c r="I222" s="18"/>
      <c r="K222" s="6"/>
    </row>
    <row r="223" spans="8:11" s="11" customFormat="1" x14ac:dyDescent="0.3">
      <c r="H223" s="39"/>
      <c r="I223" s="18"/>
      <c r="K223" s="6"/>
    </row>
    <row r="224" spans="8:11" s="11" customFormat="1" x14ac:dyDescent="0.3">
      <c r="H224" s="39"/>
      <c r="I224" s="18"/>
      <c r="K224" s="6"/>
    </row>
    <row r="225" spans="8:11" s="11" customFormat="1" x14ac:dyDescent="0.3">
      <c r="H225" s="39"/>
      <c r="I225" s="18"/>
      <c r="K225" s="6"/>
    </row>
    <row r="226" spans="8:11" s="11" customFormat="1" x14ac:dyDescent="0.3">
      <c r="H226" s="39"/>
      <c r="I226" s="18"/>
      <c r="K226" s="6"/>
    </row>
    <row r="227" spans="8:11" s="11" customFormat="1" x14ac:dyDescent="0.3">
      <c r="H227" s="39"/>
      <c r="I227" s="18"/>
      <c r="K227" s="6"/>
    </row>
    <row r="228" spans="8:11" s="11" customFormat="1" x14ac:dyDescent="0.3">
      <c r="H228" s="39"/>
      <c r="I228" s="18"/>
      <c r="K228" s="6"/>
    </row>
    <row r="229" spans="8:11" s="11" customFormat="1" x14ac:dyDescent="0.3">
      <c r="H229" s="39"/>
      <c r="I229" s="18"/>
      <c r="K229" s="6"/>
    </row>
    <row r="230" spans="8:11" s="11" customFormat="1" x14ac:dyDescent="0.3">
      <c r="H230" s="39"/>
      <c r="I230" s="18"/>
      <c r="K230" s="6"/>
    </row>
    <row r="231" spans="8:11" s="11" customFormat="1" x14ac:dyDescent="0.3">
      <c r="H231" s="39"/>
      <c r="I231" s="18"/>
      <c r="K231" s="6"/>
    </row>
    <row r="232" spans="8:11" s="11" customFormat="1" x14ac:dyDescent="0.3">
      <c r="H232" s="39"/>
      <c r="I232" s="18"/>
      <c r="K232" s="6"/>
    </row>
    <row r="233" spans="8:11" s="11" customFormat="1" x14ac:dyDescent="0.3">
      <c r="H233" s="39"/>
      <c r="I233" s="18"/>
      <c r="K233" s="6"/>
    </row>
    <row r="234" spans="8:11" s="11" customFormat="1" x14ac:dyDescent="0.3">
      <c r="H234" s="39"/>
      <c r="I234" s="18"/>
      <c r="K234" s="6"/>
    </row>
    <row r="235" spans="8:11" s="11" customFormat="1" x14ac:dyDescent="0.3">
      <c r="H235" s="39"/>
      <c r="I235" s="18"/>
      <c r="K235" s="6"/>
    </row>
    <row r="236" spans="8:11" s="11" customFormat="1" x14ac:dyDescent="0.3">
      <c r="H236" s="39"/>
      <c r="I236" s="18"/>
      <c r="K236" s="6"/>
    </row>
    <row r="237" spans="8:11" s="11" customFormat="1" x14ac:dyDescent="0.3">
      <c r="H237" s="39"/>
      <c r="I237" s="18"/>
      <c r="K237" s="6"/>
    </row>
    <row r="238" spans="8:11" s="11" customFormat="1" x14ac:dyDescent="0.3">
      <c r="H238" s="39"/>
      <c r="I238" s="18"/>
      <c r="K238" s="6"/>
    </row>
    <row r="239" spans="8:11" s="11" customFormat="1" x14ac:dyDescent="0.3">
      <c r="H239" s="39"/>
      <c r="I239" s="18"/>
      <c r="K239" s="6"/>
    </row>
    <row r="240" spans="8:11" s="11" customFormat="1" x14ac:dyDescent="0.3">
      <c r="H240" s="39"/>
      <c r="I240" s="18"/>
      <c r="K240" s="6"/>
    </row>
    <row r="241" spans="8:11" s="11" customFormat="1" x14ac:dyDescent="0.3">
      <c r="H241" s="39"/>
      <c r="I241" s="18"/>
      <c r="K241" s="6"/>
    </row>
    <row r="242" spans="8:11" s="11" customFormat="1" x14ac:dyDescent="0.3">
      <c r="H242" s="39"/>
      <c r="I242" s="18"/>
      <c r="K242" s="6"/>
    </row>
    <row r="243" spans="8:11" s="11" customFormat="1" x14ac:dyDescent="0.3">
      <c r="H243" s="39"/>
      <c r="I243" s="18"/>
      <c r="K243" s="6"/>
    </row>
    <row r="244" spans="8:11" s="11" customFormat="1" x14ac:dyDescent="0.3">
      <c r="H244" s="39"/>
      <c r="I244" s="18"/>
      <c r="K244" s="6"/>
    </row>
    <row r="245" spans="8:11" s="11" customFormat="1" x14ac:dyDescent="0.3">
      <c r="H245" s="39"/>
      <c r="I245" s="18"/>
      <c r="K245" s="6"/>
    </row>
    <row r="246" spans="8:11" s="11" customFormat="1" x14ac:dyDescent="0.3">
      <c r="H246" s="39"/>
      <c r="I246" s="18"/>
      <c r="K246" s="6"/>
    </row>
    <row r="247" spans="8:11" s="11" customFormat="1" x14ac:dyDescent="0.3">
      <c r="H247" s="39"/>
      <c r="I247" s="18"/>
      <c r="K247" s="6"/>
    </row>
    <row r="248" spans="8:11" s="11" customFormat="1" x14ac:dyDescent="0.3">
      <c r="H248" s="39"/>
      <c r="I248" s="18"/>
      <c r="K248" s="6"/>
    </row>
    <row r="249" spans="8:11" s="11" customFormat="1" x14ac:dyDescent="0.3">
      <c r="H249" s="39"/>
      <c r="I249" s="18"/>
      <c r="K249" s="6"/>
    </row>
    <row r="250" spans="8:11" s="11" customFormat="1" x14ac:dyDescent="0.3">
      <c r="H250" s="39"/>
      <c r="I250" s="18"/>
      <c r="K250" s="6"/>
    </row>
    <row r="251" spans="8:11" s="11" customFormat="1" x14ac:dyDescent="0.3">
      <c r="H251" s="39"/>
      <c r="I251" s="18"/>
      <c r="K251" s="6"/>
    </row>
    <row r="252" spans="8:11" s="11" customFormat="1" x14ac:dyDescent="0.3">
      <c r="H252" s="39"/>
      <c r="I252" s="18"/>
      <c r="K252" s="6"/>
    </row>
    <row r="253" spans="8:11" s="11" customFormat="1" x14ac:dyDescent="0.3">
      <c r="H253" s="39"/>
      <c r="I253" s="18"/>
      <c r="K253" s="6"/>
    </row>
    <row r="254" spans="8:11" s="11" customFormat="1" x14ac:dyDescent="0.3">
      <c r="H254" s="39"/>
      <c r="I254" s="18"/>
      <c r="K254" s="6"/>
    </row>
    <row r="255" spans="8:11" s="11" customFormat="1" x14ac:dyDescent="0.3">
      <c r="H255" s="39"/>
      <c r="I255" s="18"/>
      <c r="K255" s="6"/>
    </row>
    <row r="256" spans="8:11" s="11" customFormat="1" x14ac:dyDescent="0.3">
      <c r="H256" s="39"/>
      <c r="I256" s="18"/>
      <c r="K256" s="6"/>
    </row>
    <row r="257" spans="8:11" s="11" customFormat="1" x14ac:dyDescent="0.3">
      <c r="H257" s="39"/>
      <c r="I257" s="18"/>
      <c r="K257" s="6"/>
    </row>
    <row r="258" spans="8:11" s="11" customFormat="1" x14ac:dyDescent="0.3">
      <c r="H258" s="39"/>
      <c r="I258" s="18"/>
      <c r="K258" s="6"/>
    </row>
    <row r="259" spans="8:11" s="11" customFormat="1" x14ac:dyDescent="0.3">
      <c r="H259" s="39"/>
      <c r="I259" s="18"/>
      <c r="K259" s="6"/>
    </row>
    <row r="260" spans="8:11" s="11" customFormat="1" x14ac:dyDescent="0.3">
      <c r="H260" s="39"/>
      <c r="I260" s="18"/>
      <c r="K260" s="6"/>
    </row>
    <row r="261" spans="8:11" s="11" customFormat="1" x14ac:dyDescent="0.3">
      <c r="H261" s="39"/>
      <c r="I261" s="18"/>
      <c r="K261" s="6"/>
    </row>
    <row r="262" spans="8:11" s="11" customFormat="1" x14ac:dyDescent="0.3">
      <c r="H262" s="39"/>
      <c r="I262" s="18"/>
      <c r="K262" s="6"/>
    </row>
    <row r="263" spans="8:11" s="11" customFormat="1" x14ac:dyDescent="0.3">
      <c r="H263" s="39"/>
      <c r="I263" s="18"/>
      <c r="K263" s="6"/>
    </row>
    <row r="264" spans="8:11" s="11" customFormat="1" x14ac:dyDescent="0.3">
      <c r="H264" s="39"/>
      <c r="I264" s="18"/>
      <c r="K264" s="6"/>
    </row>
    <row r="265" spans="8:11" s="11" customFormat="1" x14ac:dyDescent="0.3">
      <c r="H265" s="39"/>
      <c r="I265" s="18"/>
      <c r="K265" s="6"/>
    </row>
    <row r="266" spans="8:11" s="11" customFormat="1" x14ac:dyDescent="0.3">
      <c r="H266" s="39"/>
      <c r="I266" s="18"/>
      <c r="K266" s="6"/>
    </row>
    <row r="267" spans="8:11" s="11" customFormat="1" x14ac:dyDescent="0.3">
      <c r="H267" s="39"/>
      <c r="I267" s="18"/>
      <c r="K267" s="6"/>
    </row>
    <row r="268" spans="8:11" s="11" customFormat="1" x14ac:dyDescent="0.3">
      <c r="H268" s="39"/>
      <c r="I268" s="18"/>
      <c r="K268" s="6"/>
    </row>
    <row r="269" spans="8:11" s="11" customFormat="1" x14ac:dyDescent="0.3">
      <c r="H269" s="39"/>
      <c r="I269" s="18"/>
      <c r="K269" s="6"/>
    </row>
    <row r="270" spans="8:11" s="11" customFormat="1" x14ac:dyDescent="0.3">
      <c r="H270" s="39"/>
      <c r="I270" s="18"/>
      <c r="K270" s="6"/>
    </row>
    <row r="271" spans="8:11" s="11" customFormat="1" x14ac:dyDescent="0.3">
      <c r="H271" s="39"/>
      <c r="I271" s="18"/>
      <c r="K271" s="6"/>
    </row>
    <row r="272" spans="8:11" s="11" customFormat="1" x14ac:dyDescent="0.3">
      <c r="H272" s="39"/>
      <c r="I272" s="18"/>
      <c r="K272" s="6"/>
    </row>
    <row r="273" spans="8:11" s="11" customFormat="1" x14ac:dyDescent="0.3">
      <c r="H273" s="39"/>
      <c r="I273" s="18"/>
      <c r="K273" s="6"/>
    </row>
    <row r="274" spans="8:11" s="11" customFormat="1" x14ac:dyDescent="0.3">
      <c r="H274" s="39"/>
      <c r="I274" s="18"/>
      <c r="K274" s="6"/>
    </row>
    <row r="275" spans="8:11" s="11" customFormat="1" x14ac:dyDescent="0.3">
      <c r="H275" s="39"/>
      <c r="I275" s="18"/>
      <c r="K275" s="6"/>
    </row>
    <row r="276" spans="8:11" s="11" customFormat="1" x14ac:dyDescent="0.3">
      <c r="H276" s="39"/>
      <c r="I276" s="18"/>
      <c r="K276" s="6"/>
    </row>
    <row r="277" spans="8:11" s="11" customFormat="1" x14ac:dyDescent="0.3">
      <c r="H277" s="39"/>
      <c r="I277" s="18"/>
      <c r="K277" s="6"/>
    </row>
    <row r="278" spans="8:11" s="11" customFormat="1" x14ac:dyDescent="0.3">
      <c r="H278" s="39"/>
      <c r="I278" s="18"/>
      <c r="K278" s="6"/>
    </row>
    <row r="279" spans="8:11" s="11" customFormat="1" x14ac:dyDescent="0.3">
      <c r="H279" s="39"/>
      <c r="I279" s="18"/>
      <c r="K279" s="6"/>
    </row>
    <row r="280" spans="8:11" s="11" customFormat="1" x14ac:dyDescent="0.3">
      <c r="H280" s="39"/>
      <c r="I280" s="18"/>
      <c r="K280" s="6"/>
    </row>
    <row r="281" spans="8:11" s="11" customFormat="1" x14ac:dyDescent="0.3">
      <c r="H281" s="39"/>
      <c r="I281" s="18"/>
      <c r="K281" s="6"/>
    </row>
    <row r="282" spans="8:11" s="11" customFormat="1" x14ac:dyDescent="0.3">
      <c r="H282" s="39"/>
      <c r="I282" s="18"/>
      <c r="K282" s="6"/>
    </row>
    <row r="283" spans="8:11" s="11" customFormat="1" x14ac:dyDescent="0.3">
      <c r="H283" s="39"/>
      <c r="I283" s="18"/>
      <c r="K283" s="6"/>
    </row>
    <row r="284" spans="8:11" s="11" customFormat="1" x14ac:dyDescent="0.3">
      <c r="H284" s="39"/>
      <c r="I284" s="18"/>
      <c r="K284" s="6"/>
    </row>
    <row r="285" spans="8:11" s="11" customFormat="1" x14ac:dyDescent="0.3">
      <c r="H285" s="39"/>
      <c r="I285" s="18"/>
      <c r="K285" s="6"/>
    </row>
    <row r="286" spans="8:11" s="11" customFormat="1" x14ac:dyDescent="0.3">
      <c r="H286" s="39"/>
      <c r="I286" s="18"/>
      <c r="K286" s="6"/>
    </row>
    <row r="287" spans="8:11" s="11" customFormat="1" x14ac:dyDescent="0.3">
      <c r="H287" s="39"/>
      <c r="I287" s="18"/>
      <c r="K287" s="6"/>
    </row>
    <row r="288" spans="8:11" s="11" customFormat="1" x14ac:dyDescent="0.3">
      <c r="H288" s="39"/>
      <c r="I288" s="18"/>
      <c r="K288" s="6"/>
    </row>
    <row r="289" spans="8:11" s="11" customFormat="1" x14ac:dyDescent="0.3">
      <c r="H289" s="39"/>
      <c r="I289" s="18"/>
      <c r="K289" s="6"/>
    </row>
    <row r="290" spans="8:11" s="11" customFormat="1" x14ac:dyDescent="0.3">
      <c r="H290" s="39"/>
      <c r="I290" s="18"/>
      <c r="K290" s="6"/>
    </row>
    <row r="291" spans="8:11" s="11" customFormat="1" x14ac:dyDescent="0.3">
      <c r="H291" s="39"/>
      <c r="I291" s="18"/>
      <c r="K291" s="6"/>
    </row>
    <row r="292" spans="8:11" s="11" customFormat="1" x14ac:dyDescent="0.3">
      <c r="H292" s="39"/>
      <c r="I292" s="18"/>
      <c r="K292" s="6"/>
    </row>
    <row r="293" spans="8:11" s="11" customFormat="1" x14ac:dyDescent="0.3">
      <c r="H293" s="39"/>
      <c r="I293" s="18"/>
      <c r="K293" s="6"/>
    </row>
    <row r="294" spans="8:11" s="11" customFormat="1" x14ac:dyDescent="0.3">
      <c r="H294" s="39"/>
      <c r="I294" s="18"/>
      <c r="K294" s="6"/>
    </row>
    <row r="295" spans="8:11" s="11" customFormat="1" x14ac:dyDescent="0.3">
      <c r="H295" s="39"/>
      <c r="I295" s="18"/>
      <c r="K295" s="6"/>
    </row>
    <row r="296" spans="8:11" s="11" customFormat="1" x14ac:dyDescent="0.3">
      <c r="H296" s="39"/>
      <c r="I296" s="18"/>
      <c r="K296" s="6"/>
    </row>
    <row r="297" spans="8:11" s="11" customFormat="1" x14ac:dyDescent="0.3">
      <c r="H297" s="39"/>
      <c r="I297" s="18"/>
      <c r="K297" s="6"/>
    </row>
    <row r="298" spans="8:11" s="11" customFormat="1" x14ac:dyDescent="0.3">
      <c r="H298" s="39"/>
      <c r="I298" s="18"/>
      <c r="K298" s="6"/>
    </row>
    <row r="299" spans="8:11" s="11" customFormat="1" x14ac:dyDescent="0.3">
      <c r="H299" s="39"/>
      <c r="I299" s="18"/>
      <c r="K299" s="6"/>
    </row>
    <row r="300" spans="8:11" s="11" customFormat="1" x14ac:dyDescent="0.3">
      <c r="H300" s="39"/>
      <c r="I300" s="18"/>
      <c r="K300" s="6"/>
    </row>
    <row r="301" spans="8:11" s="11" customFormat="1" x14ac:dyDescent="0.3">
      <c r="H301" s="39"/>
      <c r="I301" s="18"/>
      <c r="K301" s="6"/>
    </row>
    <row r="302" spans="8:11" s="11" customFormat="1" x14ac:dyDescent="0.3">
      <c r="H302" s="39"/>
      <c r="I302" s="18"/>
      <c r="K302" s="6"/>
    </row>
    <row r="303" spans="8:11" s="11" customFormat="1" x14ac:dyDescent="0.3">
      <c r="H303" s="39"/>
      <c r="I303" s="18"/>
      <c r="K303" s="6"/>
    </row>
    <row r="304" spans="8:11" s="11" customFormat="1" x14ac:dyDescent="0.3">
      <c r="H304" s="39"/>
      <c r="I304" s="18"/>
      <c r="K304" s="6"/>
    </row>
    <row r="305" spans="8:11" s="11" customFormat="1" x14ac:dyDescent="0.3">
      <c r="H305" s="39"/>
      <c r="I305" s="18"/>
      <c r="K305" s="6"/>
    </row>
    <row r="306" spans="8:11" s="11" customFormat="1" x14ac:dyDescent="0.3">
      <c r="H306" s="39"/>
      <c r="I306" s="18"/>
      <c r="K306" s="6"/>
    </row>
    <row r="307" spans="8:11" s="11" customFormat="1" x14ac:dyDescent="0.3">
      <c r="H307" s="39"/>
      <c r="I307" s="18"/>
      <c r="K307" s="6"/>
    </row>
    <row r="308" spans="8:11" s="11" customFormat="1" x14ac:dyDescent="0.3">
      <c r="H308" s="39"/>
      <c r="I308" s="18"/>
      <c r="K308" s="6"/>
    </row>
    <row r="309" spans="8:11" s="11" customFormat="1" x14ac:dyDescent="0.3">
      <c r="H309" s="39"/>
      <c r="I309" s="18"/>
      <c r="K309" s="6"/>
    </row>
    <row r="310" spans="8:11" s="11" customFormat="1" x14ac:dyDescent="0.3">
      <c r="H310" s="39"/>
      <c r="I310" s="18"/>
      <c r="K310" s="6"/>
    </row>
    <row r="311" spans="8:11" s="11" customFormat="1" x14ac:dyDescent="0.3">
      <c r="H311" s="39"/>
      <c r="I311" s="18"/>
      <c r="K311" s="6"/>
    </row>
    <row r="312" spans="8:11" s="11" customFormat="1" x14ac:dyDescent="0.3">
      <c r="H312" s="39"/>
      <c r="I312" s="18"/>
      <c r="K312" s="6"/>
    </row>
    <row r="313" spans="8:11" s="11" customFormat="1" x14ac:dyDescent="0.3">
      <c r="H313" s="39"/>
      <c r="I313" s="18"/>
      <c r="K313" s="6"/>
    </row>
    <row r="314" spans="8:11" s="11" customFormat="1" x14ac:dyDescent="0.3">
      <c r="H314" s="39"/>
      <c r="I314" s="18"/>
      <c r="K314" s="6"/>
    </row>
    <row r="315" spans="8:11" s="11" customFormat="1" x14ac:dyDescent="0.3">
      <c r="H315" s="39"/>
      <c r="I315" s="18"/>
      <c r="K315" s="6"/>
    </row>
    <row r="316" spans="8:11" s="11" customFormat="1" x14ac:dyDescent="0.3">
      <c r="H316" s="39"/>
      <c r="I316" s="18"/>
      <c r="K316" s="6"/>
    </row>
    <row r="317" spans="8:11" s="11" customFormat="1" x14ac:dyDescent="0.3">
      <c r="H317" s="39"/>
      <c r="I317" s="18"/>
      <c r="K317" s="6"/>
    </row>
    <row r="318" spans="8:11" s="11" customFormat="1" x14ac:dyDescent="0.3">
      <c r="H318" s="39"/>
      <c r="I318" s="18"/>
      <c r="K318" s="6"/>
    </row>
    <row r="319" spans="8:11" s="11" customFormat="1" x14ac:dyDescent="0.3">
      <c r="H319" s="39"/>
      <c r="I319" s="18"/>
      <c r="K319" s="6"/>
    </row>
    <row r="320" spans="8:11" s="11" customFormat="1" x14ac:dyDescent="0.3">
      <c r="H320" s="39"/>
      <c r="I320" s="18"/>
      <c r="K320" s="6"/>
    </row>
    <row r="321" spans="8:11" s="11" customFormat="1" x14ac:dyDescent="0.3">
      <c r="H321" s="39"/>
      <c r="I321" s="18"/>
      <c r="K321" s="6"/>
    </row>
    <row r="322" spans="8:11" s="11" customFormat="1" x14ac:dyDescent="0.3">
      <c r="H322" s="39"/>
      <c r="I322" s="18"/>
      <c r="K322" s="6"/>
    </row>
    <row r="323" spans="8:11" s="11" customFormat="1" x14ac:dyDescent="0.3">
      <c r="H323" s="39"/>
      <c r="I323" s="18"/>
      <c r="K323" s="6"/>
    </row>
    <row r="324" spans="8:11" s="11" customFormat="1" x14ac:dyDescent="0.3">
      <c r="H324" s="39"/>
      <c r="I324" s="18"/>
      <c r="K324" s="6"/>
    </row>
    <row r="325" spans="8:11" s="11" customFormat="1" x14ac:dyDescent="0.3">
      <c r="H325" s="39"/>
      <c r="I325" s="18"/>
      <c r="K325" s="6"/>
    </row>
    <row r="326" spans="8:11" s="11" customFormat="1" x14ac:dyDescent="0.3">
      <c r="H326" s="39"/>
      <c r="I326" s="18"/>
      <c r="K326" s="6"/>
    </row>
    <row r="327" spans="8:11" s="11" customFormat="1" x14ac:dyDescent="0.3">
      <c r="H327" s="39"/>
      <c r="I327" s="18"/>
      <c r="K327" s="6"/>
    </row>
    <row r="328" spans="8:11" s="11" customFormat="1" x14ac:dyDescent="0.3">
      <c r="H328" s="39"/>
      <c r="I328" s="18"/>
      <c r="K328" s="6"/>
    </row>
    <row r="329" spans="8:11" s="11" customFormat="1" x14ac:dyDescent="0.3">
      <c r="H329" s="39"/>
      <c r="I329" s="18"/>
      <c r="K329" s="6"/>
    </row>
    <row r="330" spans="8:11" s="11" customFormat="1" x14ac:dyDescent="0.3">
      <c r="H330" s="39"/>
      <c r="I330" s="18"/>
      <c r="K330" s="6"/>
    </row>
    <row r="331" spans="8:11" s="11" customFormat="1" x14ac:dyDescent="0.3">
      <c r="H331" s="39"/>
      <c r="I331" s="18"/>
      <c r="K331" s="6"/>
    </row>
    <row r="332" spans="8:11" s="11" customFormat="1" x14ac:dyDescent="0.3">
      <c r="H332" s="39"/>
      <c r="I332" s="18"/>
      <c r="K332" s="6"/>
    </row>
    <row r="333" spans="8:11" s="11" customFormat="1" x14ac:dyDescent="0.3">
      <c r="H333" s="39"/>
      <c r="I333" s="18"/>
      <c r="K333" s="6"/>
    </row>
    <row r="334" spans="8:11" s="11" customFormat="1" x14ac:dyDescent="0.3">
      <c r="H334" s="39"/>
      <c r="I334" s="18"/>
      <c r="K334" s="6"/>
    </row>
    <row r="335" spans="8:11" s="11" customFormat="1" x14ac:dyDescent="0.3">
      <c r="H335" s="39"/>
      <c r="I335" s="18"/>
      <c r="K335" s="6"/>
    </row>
    <row r="336" spans="8:11" s="11" customFormat="1" x14ac:dyDescent="0.3">
      <c r="H336" s="39"/>
      <c r="I336" s="18"/>
      <c r="K336" s="6"/>
    </row>
    <row r="337" spans="8:11" s="11" customFormat="1" x14ac:dyDescent="0.3">
      <c r="H337" s="39"/>
      <c r="I337" s="18"/>
      <c r="K337" s="6"/>
    </row>
    <row r="338" spans="8:11" s="11" customFormat="1" x14ac:dyDescent="0.3">
      <c r="H338" s="39"/>
      <c r="I338" s="18"/>
      <c r="K338" s="6"/>
    </row>
    <row r="339" spans="8:11" s="11" customFormat="1" x14ac:dyDescent="0.3">
      <c r="H339" s="39"/>
      <c r="I339" s="18"/>
      <c r="K339" s="6"/>
    </row>
    <row r="340" spans="8:11" s="11" customFormat="1" x14ac:dyDescent="0.3">
      <c r="H340" s="39"/>
      <c r="I340" s="18"/>
      <c r="K340" s="6"/>
    </row>
    <row r="341" spans="8:11" s="11" customFormat="1" x14ac:dyDescent="0.3">
      <c r="H341" s="39"/>
      <c r="I341" s="18"/>
      <c r="K341" s="6"/>
    </row>
    <row r="342" spans="8:11" s="11" customFormat="1" x14ac:dyDescent="0.3">
      <c r="H342" s="39"/>
      <c r="I342" s="18"/>
      <c r="K342" s="6"/>
    </row>
  </sheetData>
  <mergeCells count="4">
    <mergeCell ref="A1:F1"/>
    <mergeCell ref="L1:Q1"/>
    <mergeCell ref="O10:P10"/>
    <mergeCell ref="L11:M11"/>
  </mergeCells>
  <pageMargins left="0.25" right="0.25" top="0.75" bottom="0.75" header="0.3" footer="0.3"/>
  <pageSetup paperSize="9" scale="71" fitToHeight="0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60A6B-1BE1-45DD-BBC7-7391396E9424}">
  <sheetPr>
    <pageSetUpPr fitToPage="1"/>
  </sheetPr>
  <dimension ref="A1:Q342"/>
  <sheetViews>
    <sheetView rightToLeft="1" zoomScale="115" zoomScaleNormal="115" workbookViewId="0">
      <pane ySplit="13" topLeftCell="A47" activePane="bottomLeft" state="frozen"/>
      <selection pane="bottomLeft" activeCell="H53" sqref="H53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7.88671875" style="2" bestFit="1" customWidth="1"/>
    <col min="4" max="4" width="9.109375" style="2" bestFit="1" customWidth="1"/>
    <col min="5" max="5" width="5.109375" style="2" bestFit="1" customWidth="1"/>
    <col min="6" max="6" width="10.44140625" style="2" bestFit="1" customWidth="1"/>
    <col min="7" max="7" width="2.44140625" style="2" customWidth="1"/>
    <col min="8" max="8" width="14.109375" style="39" bestFit="1" customWidth="1"/>
    <col min="9" max="9" width="12.109375" style="7" bestFit="1" customWidth="1"/>
    <col min="10" max="10" width="8.5546875" style="11" bestFit="1" customWidth="1"/>
    <col min="11" max="11" width="5.21875" style="6" customWidth="1"/>
    <col min="12" max="12" width="9.44140625" style="2" bestFit="1" customWidth="1"/>
    <col min="13" max="13" width="5.109375" style="2" bestFit="1" customWidth="1"/>
    <col min="14" max="14" width="8.5546875" style="2" bestFit="1" customWidth="1"/>
    <col min="15" max="15" width="9.109375" style="2" bestFit="1" customWidth="1"/>
    <col min="16" max="16" width="5.109375" style="2" bestFit="1" customWidth="1"/>
    <col min="17" max="17" width="11.109375" style="2" bestFit="1" customWidth="1"/>
    <col min="18" max="16384" width="8.88671875" style="2"/>
  </cols>
  <sheetData>
    <row r="1" spans="1:17" x14ac:dyDescent="0.3">
      <c r="A1" s="65" t="s">
        <v>29</v>
      </c>
      <c r="B1" s="65"/>
      <c r="C1" s="65"/>
      <c r="D1" s="65"/>
      <c r="E1" s="65"/>
      <c r="F1" s="65"/>
      <c r="H1" s="39" t="s">
        <v>38</v>
      </c>
      <c r="I1" s="7">
        <f>SUM(Table13456781011121314151617181920212223[اللبناني])</f>
        <v>1030</v>
      </c>
      <c r="J1" s="7">
        <f>SUM(Table13456781011121314151617181920212223[الدولار])</f>
        <v>228</v>
      </c>
      <c r="L1" s="65" t="s">
        <v>33</v>
      </c>
      <c r="M1" s="65"/>
      <c r="N1" s="65"/>
      <c r="O1" s="65"/>
      <c r="P1" s="65"/>
      <c r="Q1" s="65"/>
    </row>
    <row r="2" spans="1:17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0</v>
      </c>
      <c r="F2" s="1" t="s">
        <v>1</v>
      </c>
      <c r="H2" s="40" t="s">
        <v>6</v>
      </c>
      <c r="I2" s="3" t="s">
        <v>5</v>
      </c>
      <c r="J2" s="12" t="s">
        <v>4</v>
      </c>
      <c r="K2" s="4"/>
      <c r="L2" s="1" t="s">
        <v>2</v>
      </c>
      <c r="M2" s="1" t="s">
        <v>0</v>
      </c>
      <c r="N2" s="1" t="s">
        <v>1</v>
      </c>
      <c r="O2" s="1" t="s">
        <v>3</v>
      </c>
      <c r="P2" s="1" t="s">
        <v>0</v>
      </c>
      <c r="Q2" s="1" t="s">
        <v>1</v>
      </c>
    </row>
    <row r="3" spans="1:17" x14ac:dyDescent="0.3">
      <c r="A3" s="15">
        <v>1</v>
      </c>
      <c r="C3" s="21">
        <f>A3*B3</f>
        <v>0</v>
      </c>
      <c r="D3" s="17">
        <v>5</v>
      </c>
      <c r="E3" s="2">
        <v>41</v>
      </c>
      <c r="F3" s="23">
        <f>D3*E3</f>
        <v>205</v>
      </c>
      <c r="G3" s="5"/>
      <c r="H3" s="41"/>
      <c r="I3" s="20">
        <v>-90</v>
      </c>
      <c r="J3" s="11">
        <v>25</v>
      </c>
      <c r="L3" s="15">
        <v>1</v>
      </c>
      <c r="M3" s="2">
        <v>2</v>
      </c>
      <c r="N3" s="21">
        <f>L3*M3</f>
        <v>2</v>
      </c>
      <c r="O3" s="17">
        <v>5</v>
      </c>
      <c r="P3" s="2">
        <v>23</v>
      </c>
      <c r="Q3" s="23">
        <f>O3*P3</f>
        <v>115</v>
      </c>
    </row>
    <row r="4" spans="1:17" x14ac:dyDescent="0.3">
      <c r="A4" s="15">
        <v>5</v>
      </c>
      <c r="B4" s="2">
        <v>6</v>
      </c>
      <c r="C4" s="21">
        <f t="shared" ref="C4:C8" si="0">A4*B4</f>
        <v>30</v>
      </c>
      <c r="D4" s="17">
        <v>10</v>
      </c>
      <c r="E4" s="2">
        <v>18</v>
      </c>
      <c r="F4" s="23">
        <f t="shared" ref="F4:F7" si="1">D4*E4</f>
        <v>180</v>
      </c>
      <c r="G4" s="5"/>
      <c r="H4" s="41" t="s">
        <v>377</v>
      </c>
      <c r="I4" s="20">
        <v>-270</v>
      </c>
      <c r="J4" s="11">
        <v>35</v>
      </c>
      <c r="L4" s="15">
        <v>5</v>
      </c>
      <c r="M4" s="2">
        <v>6</v>
      </c>
      <c r="N4" s="21">
        <f t="shared" ref="N4:N8" si="2">L4*M4</f>
        <v>30</v>
      </c>
      <c r="O4" s="17">
        <v>10</v>
      </c>
      <c r="P4" s="2">
        <v>15</v>
      </c>
      <c r="Q4" s="23">
        <f t="shared" ref="Q4:Q7" si="3">O4*P4</f>
        <v>150</v>
      </c>
    </row>
    <row r="5" spans="1:17" x14ac:dyDescent="0.3">
      <c r="A5" s="15">
        <v>10</v>
      </c>
      <c r="B5" s="2">
        <v>56</v>
      </c>
      <c r="C5" s="21">
        <f t="shared" si="0"/>
        <v>560</v>
      </c>
      <c r="D5" s="17">
        <v>20</v>
      </c>
      <c r="E5" s="2">
        <v>6</v>
      </c>
      <c r="F5" s="23">
        <f t="shared" si="1"/>
        <v>120</v>
      </c>
      <c r="G5" s="5"/>
      <c r="H5" s="41" t="s">
        <v>379</v>
      </c>
      <c r="I5" s="20"/>
      <c r="J5" s="11">
        <v>6</v>
      </c>
      <c r="L5" s="15">
        <v>10</v>
      </c>
      <c r="M5" s="2">
        <v>58</v>
      </c>
      <c r="N5" s="21">
        <f t="shared" si="2"/>
        <v>580</v>
      </c>
      <c r="O5" s="17">
        <v>20</v>
      </c>
      <c r="P5" s="2">
        <v>3</v>
      </c>
      <c r="Q5" s="23">
        <f t="shared" si="3"/>
        <v>60</v>
      </c>
    </row>
    <row r="6" spans="1:17" x14ac:dyDescent="0.3">
      <c r="A6" s="15">
        <v>20</v>
      </c>
      <c r="B6" s="2">
        <v>9</v>
      </c>
      <c r="C6" s="21">
        <f t="shared" si="0"/>
        <v>180</v>
      </c>
      <c r="D6" s="17">
        <v>50</v>
      </c>
      <c r="E6" s="2">
        <v>15</v>
      </c>
      <c r="F6" s="23">
        <f t="shared" si="1"/>
        <v>750</v>
      </c>
      <c r="G6" s="5"/>
      <c r="H6" s="41" t="s">
        <v>378</v>
      </c>
      <c r="I6" s="20">
        <v>170</v>
      </c>
      <c r="L6" s="15">
        <v>20</v>
      </c>
      <c r="M6" s="2">
        <v>6</v>
      </c>
      <c r="N6" s="21">
        <f t="shared" si="2"/>
        <v>120</v>
      </c>
      <c r="O6" s="17">
        <v>50</v>
      </c>
      <c r="P6" s="2">
        <v>9</v>
      </c>
      <c r="Q6" s="23">
        <f t="shared" si="3"/>
        <v>450</v>
      </c>
    </row>
    <row r="7" spans="1:17" x14ac:dyDescent="0.3">
      <c r="A7" s="15">
        <v>50</v>
      </c>
      <c r="C7" s="21">
        <f t="shared" si="0"/>
        <v>0</v>
      </c>
      <c r="D7" s="17">
        <v>100</v>
      </c>
      <c r="E7" s="2">
        <v>12</v>
      </c>
      <c r="F7" s="23">
        <f t="shared" si="1"/>
        <v>1200</v>
      </c>
      <c r="G7" s="5"/>
      <c r="H7" s="42" t="s">
        <v>198</v>
      </c>
      <c r="I7" s="20">
        <v>-270</v>
      </c>
      <c r="J7" s="11">
        <v>25</v>
      </c>
      <c r="L7" s="15">
        <v>50</v>
      </c>
      <c r="M7" s="2">
        <v>5</v>
      </c>
      <c r="N7" s="21">
        <f t="shared" si="2"/>
        <v>250</v>
      </c>
      <c r="O7" s="17">
        <v>100</v>
      </c>
      <c r="P7" s="2">
        <v>25</v>
      </c>
      <c r="Q7" s="23">
        <f t="shared" si="3"/>
        <v>2500</v>
      </c>
    </row>
    <row r="8" spans="1:17" x14ac:dyDescent="0.3">
      <c r="A8" s="15">
        <v>100</v>
      </c>
      <c r="C8" s="21">
        <f t="shared" si="0"/>
        <v>0</v>
      </c>
      <c r="D8" s="1" t="s">
        <v>1</v>
      </c>
      <c r="E8" s="1"/>
      <c r="F8" s="19">
        <f>SUM(F3:F7)</f>
        <v>2455</v>
      </c>
      <c r="G8" s="5"/>
      <c r="H8" s="41" t="s">
        <v>380</v>
      </c>
      <c r="I8" s="20">
        <v>-60</v>
      </c>
      <c r="L8" s="15">
        <v>100</v>
      </c>
      <c r="N8" s="21">
        <f t="shared" si="2"/>
        <v>0</v>
      </c>
      <c r="O8" s="1" t="s">
        <v>1</v>
      </c>
      <c r="P8" s="1"/>
      <c r="Q8" s="19">
        <f>SUM(Q3:Q7)</f>
        <v>3275</v>
      </c>
    </row>
    <row r="9" spans="1:17" x14ac:dyDescent="0.3">
      <c r="A9" s="1" t="s">
        <v>1</v>
      </c>
      <c r="B9" s="1"/>
      <c r="C9" s="22">
        <f>SUM(C3:C8)</f>
        <v>770</v>
      </c>
      <c r="H9" s="41" t="s">
        <v>381</v>
      </c>
      <c r="I9" s="20">
        <v>-180</v>
      </c>
      <c r="J9" s="11">
        <v>20</v>
      </c>
      <c r="L9" s="1" t="s">
        <v>1</v>
      </c>
      <c r="M9" s="1"/>
      <c r="N9" s="22">
        <f>SUM(N3:N8)</f>
        <v>982</v>
      </c>
      <c r="Q9" s="20"/>
    </row>
    <row r="10" spans="1:17" x14ac:dyDescent="0.3">
      <c r="H10" s="41" t="s">
        <v>382</v>
      </c>
      <c r="I10" s="20"/>
      <c r="J10" s="11">
        <v>45</v>
      </c>
      <c r="N10" s="27"/>
      <c r="O10" s="66" t="s">
        <v>40</v>
      </c>
      <c r="P10" s="66"/>
      <c r="Q10" s="24">
        <f>SUM(Table13456781011121314151617181920212223[اللبناني])</f>
        <v>1030</v>
      </c>
    </row>
    <row r="11" spans="1:17" x14ac:dyDescent="0.3">
      <c r="H11" s="41"/>
      <c r="I11" s="20">
        <v>-180</v>
      </c>
      <c r="J11" s="11">
        <v>10</v>
      </c>
      <c r="L11" s="66" t="s">
        <v>39</v>
      </c>
      <c r="M11" s="66"/>
      <c r="N11" s="12">
        <f>SUM(Table13456781011121314151617181920212223[الدولار])</f>
        <v>228</v>
      </c>
      <c r="Q11" s="20"/>
    </row>
    <row r="12" spans="1:17" x14ac:dyDescent="0.3">
      <c r="H12" s="41" t="s">
        <v>383</v>
      </c>
      <c r="I12" s="20"/>
      <c r="J12" s="11">
        <v>100</v>
      </c>
      <c r="N12" s="27"/>
      <c r="O12" s="1" t="s">
        <v>27</v>
      </c>
      <c r="P12" s="1"/>
      <c r="Q12" s="24">
        <f>Q8-Q10-F8</f>
        <v>-210</v>
      </c>
    </row>
    <row r="13" spans="1:17" x14ac:dyDescent="0.3">
      <c r="C13" s="14"/>
      <c r="D13" s="14"/>
      <c r="F13" s="14"/>
      <c r="H13" s="41"/>
      <c r="I13" s="20"/>
      <c r="J13" s="11">
        <v>10</v>
      </c>
      <c r="L13" s="1" t="s">
        <v>27</v>
      </c>
      <c r="M13" s="1"/>
      <c r="N13" s="12">
        <f>N9-N11-C9</f>
        <v>-16</v>
      </c>
    </row>
    <row r="14" spans="1:17" x14ac:dyDescent="0.3">
      <c r="C14" s="14"/>
      <c r="D14" s="14"/>
      <c r="F14" s="14"/>
      <c r="H14" s="43"/>
      <c r="I14" s="18">
        <v>90</v>
      </c>
    </row>
    <row r="15" spans="1:17" x14ac:dyDescent="0.3">
      <c r="C15" s="14"/>
      <c r="D15" s="14"/>
      <c r="F15" s="14"/>
      <c r="H15" s="43"/>
      <c r="I15" s="18">
        <v>20</v>
      </c>
    </row>
    <row r="16" spans="1:17" x14ac:dyDescent="0.3">
      <c r="C16" s="14"/>
      <c r="D16" s="14"/>
      <c r="F16" s="14"/>
      <c r="H16" s="41"/>
      <c r="I16" s="18">
        <v>420</v>
      </c>
    </row>
    <row r="17" spans="3:11" s="11" customFormat="1" x14ac:dyDescent="0.3">
      <c r="C17" s="14"/>
      <c r="D17" s="14"/>
      <c r="E17" s="2"/>
      <c r="F17" s="14"/>
      <c r="G17" s="2"/>
      <c r="H17" s="43"/>
      <c r="I17" s="20"/>
      <c r="J17" s="11">
        <v>11</v>
      </c>
      <c r="K17" s="6"/>
    </row>
    <row r="18" spans="3:11" s="11" customFormat="1" x14ac:dyDescent="0.3">
      <c r="C18" s="14"/>
      <c r="D18" s="2"/>
      <c r="E18" s="2"/>
      <c r="F18" s="14"/>
      <c r="G18" s="2"/>
      <c r="H18" s="43"/>
      <c r="I18" s="20"/>
      <c r="J18" s="11">
        <v>-335</v>
      </c>
      <c r="K18" s="6"/>
    </row>
    <row r="19" spans="3:11" s="11" customFormat="1" x14ac:dyDescent="0.3">
      <c r="C19" s="14"/>
      <c r="D19" s="2"/>
      <c r="E19" s="2"/>
      <c r="F19" s="2"/>
      <c r="G19" s="2"/>
      <c r="H19" s="43"/>
      <c r="I19" s="20"/>
      <c r="J19" s="11">
        <v>20</v>
      </c>
      <c r="K19" s="6"/>
    </row>
    <row r="20" spans="3:11" s="11" customFormat="1" x14ac:dyDescent="0.3">
      <c r="C20" s="2"/>
      <c r="D20" s="2"/>
      <c r="E20" s="2"/>
      <c r="F20" s="6"/>
      <c r="G20" s="2"/>
      <c r="H20" s="41"/>
      <c r="I20" s="20">
        <v>-400</v>
      </c>
      <c r="K20" s="6"/>
    </row>
    <row r="21" spans="3:11" s="11" customFormat="1" x14ac:dyDescent="0.3">
      <c r="C21" s="6"/>
      <c r="D21" s="2"/>
      <c r="E21" s="2"/>
      <c r="F21" s="2"/>
      <c r="G21" s="2"/>
      <c r="H21" s="41"/>
      <c r="I21" s="20"/>
      <c r="J21" s="11">
        <v>15</v>
      </c>
      <c r="K21" s="6"/>
    </row>
    <row r="22" spans="3:11" s="11" customFormat="1" x14ac:dyDescent="0.3">
      <c r="C22" s="2"/>
      <c r="D22" s="2"/>
      <c r="E22" s="2"/>
      <c r="F22" s="6"/>
      <c r="G22" s="2"/>
      <c r="H22" s="41"/>
      <c r="I22" s="20">
        <v>350</v>
      </c>
      <c r="K22" s="6"/>
    </row>
    <row r="23" spans="3:11" s="11" customFormat="1" x14ac:dyDescent="0.3">
      <c r="C23" s="6"/>
      <c r="D23" s="2"/>
      <c r="E23" s="2"/>
      <c r="F23" s="2"/>
      <c r="G23" s="2"/>
      <c r="H23" s="41"/>
      <c r="I23" s="20">
        <v>200</v>
      </c>
      <c r="K23" s="6"/>
    </row>
    <row r="24" spans="3:11" s="11" customFormat="1" x14ac:dyDescent="0.3">
      <c r="C24" s="2"/>
      <c r="D24" s="2"/>
      <c r="E24" s="2"/>
      <c r="F24" s="2"/>
      <c r="G24" s="2"/>
      <c r="H24" s="41"/>
      <c r="I24" s="20">
        <v>-100</v>
      </c>
      <c r="K24" s="6"/>
    </row>
    <row r="25" spans="3:11" s="11" customFormat="1" x14ac:dyDescent="0.3">
      <c r="C25" s="2"/>
      <c r="D25" s="2"/>
      <c r="E25" s="2"/>
      <c r="F25" s="2"/>
      <c r="G25" s="2"/>
      <c r="H25" s="41"/>
      <c r="I25" s="20">
        <v>250</v>
      </c>
      <c r="K25" s="6"/>
    </row>
    <row r="26" spans="3:11" s="11" customFormat="1" x14ac:dyDescent="0.3">
      <c r="C26" s="2"/>
      <c r="D26" s="2"/>
      <c r="E26" s="2"/>
      <c r="F26" s="2"/>
      <c r="G26" s="2"/>
      <c r="H26" s="41"/>
      <c r="I26" s="20">
        <v>200</v>
      </c>
      <c r="K26" s="6"/>
    </row>
    <row r="27" spans="3:11" s="11" customFormat="1" x14ac:dyDescent="0.3">
      <c r="C27" s="2"/>
      <c r="D27" s="2"/>
      <c r="E27" s="2"/>
      <c r="F27" s="2"/>
      <c r="G27" s="2"/>
      <c r="H27" s="41"/>
      <c r="I27" s="18"/>
      <c r="J27" s="11">
        <v>14</v>
      </c>
      <c r="K27" s="6"/>
    </row>
    <row r="28" spans="3:11" s="11" customFormat="1" x14ac:dyDescent="0.3">
      <c r="C28" s="2"/>
      <c r="D28" s="2"/>
      <c r="E28" s="2"/>
      <c r="F28" s="2"/>
      <c r="G28" s="2"/>
      <c r="H28" s="39"/>
      <c r="I28" s="18">
        <v>-150</v>
      </c>
      <c r="K28" s="6"/>
    </row>
    <row r="29" spans="3:11" s="11" customFormat="1" x14ac:dyDescent="0.3">
      <c r="C29" s="2"/>
      <c r="D29" s="2"/>
      <c r="E29" s="2"/>
      <c r="F29" s="2"/>
      <c r="G29" s="2"/>
      <c r="H29" s="39"/>
      <c r="I29" s="18"/>
      <c r="J29" s="11">
        <v>5</v>
      </c>
      <c r="K29" s="6"/>
    </row>
    <row r="30" spans="3:11" s="11" customFormat="1" x14ac:dyDescent="0.3">
      <c r="C30" s="2"/>
      <c r="D30" s="2"/>
      <c r="E30" s="2"/>
      <c r="F30" s="2"/>
      <c r="G30" s="2"/>
      <c r="H30" s="39"/>
      <c r="I30" s="18">
        <v>320</v>
      </c>
      <c r="K30" s="6"/>
    </row>
    <row r="31" spans="3:11" s="11" customFormat="1" x14ac:dyDescent="0.3">
      <c r="C31" s="2"/>
      <c r="D31" s="2"/>
      <c r="E31" s="2"/>
      <c r="F31" s="2"/>
      <c r="G31" s="2"/>
      <c r="H31" s="39"/>
      <c r="I31" s="18"/>
      <c r="J31" s="11">
        <v>17</v>
      </c>
      <c r="K31" s="6"/>
    </row>
    <row r="32" spans="3:11" s="11" customFormat="1" x14ac:dyDescent="0.3">
      <c r="C32" s="2"/>
      <c r="D32" s="2"/>
      <c r="E32" s="2"/>
      <c r="F32" s="2"/>
      <c r="G32" s="2"/>
      <c r="H32" s="39"/>
      <c r="I32" s="18"/>
      <c r="J32" s="11">
        <v>5</v>
      </c>
      <c r="K32" s="6"/>
    </row>
    <row r="33" spans="8:11" s="11" customFormat="1" x14ac:dyDescent="0.3">
      <c r="H33" s="39"/>
      <c r="I33" s="18"/>
      <c r="J33" s="11">
        <v>-2</v>
      </c>
      <c r="K33" s="6"/>
    </row>
    <row r="34" spans="8:11" s="11" customFormat="1" x14ac:dyDescent="0.3">
      <c r="H34" s="39"/>
      <c r="I34" s="18">
        <v>100</v>
      </c>
      <c r="K34" s="6"/>
    </row>
    <row r="35" spans="8:11" s="11" customFormat="1" x14ac:dyDescent="0.3">
      <c r="H35" s="39"/>
      <c r="I35" s="18">
        <v>-230</v>
      </c>
      <c r="K35" s="6"/>
    </row>
    <row r="36" spans="8:11" s="11" customFormat="1" x14ac:dyDescent="0.3">
      <c r="H36" s="39"/>
      <c r="I36" s="18"/>
      <c r="J36" s="11">
        <v>10</v>
      </c>
      <c r="K36" s="6"/>
    </row>
    <row r="37" spans="8:11" s="11" customFormat="1" x14ac:dyDescent="0.3">
      <c r="H37" s="39"/>
      <c r="I37" s="18"/>
      <c r="J37" s="11">
        <v>80</v>
      </c>
      <c r="K37" s="6"/>
    </row>
    <row r="38" spans="8:11" s="11" customFormat="1" x14ac:dyDescent="0.3">
      <c r="H38" s="39"/>
      <c r="I38" s="18"/>
      <c r="J38" s="11">
        <v>15</v>
      </c>
      <c r="K38" s="6"/>
    </row>
    <row r="39" spans="8:11" s="11" customFormat="1" x14ac:dyDescent="0.3">
      <c r="H39" s="39"/>
      <c r="I39" s="18">
        <v>-220</v>
      </c>
      <c r="K39" s="6"/>
    </row>
    <row r="40" spans="8:11" s="11" customFormat="1" x14ac:dyDescent="0.3">
      <c r="H40" s="39"/>
      <c r="I40" s="18">
        <v>150</v>
      </c>
      <c r="K40" s="6"/>
    </row>
    <row r="41" spans="8:11" s="11" customFormat="1" x14ac:dyDescent="0.3">
      <c r="H41" s="39"/>
      <c r="I41" s="18"/>
      <c r="J41" s="11">
        <v>15</v>
      </c>
      <c r="K41" s="6"/>
    </row>
    <row r="42" spans="8:11" s="11" customFormat="1" x14ac:dyDescent="0.3">
      <c r="H42" s="39"/>
      <c r="I42" s="18">
        <v>-225</v>
      </c>
      <c r="K42" s="6"/>
    </row>
    <row r="43" spans="8:11" s="11" customFormat="1" x14ac:dyDescent="0.3">
      <c r="H43" s="39"/>
      <c r="I43" s="18">
        <v>200</v>
      </c>
      <c r="K43" s="6"/>
    </row>
    <row r="44" spans="8:11" s="11" customFormat="1" x14ac:dyDescent="0.3">
      <c r="H44" s="39"/>
      <c r="I44" s="18"/>
      <c r="J44" s="11">
        <v>15</v>
      </c>
      <c r="K44" s="6"/>
    </row>
    <row r="45" spans="8:11" s="11" customFormat="1" x14ac:dyDescent="0.3">
      <c r="H45" s="39"/>
      <c r="I45" s="18">
        <v>150</v>
      </c>
      <c r="K45" s="6"/>
    </row>
    <row r="46" spans="8:11" s="11" customFormat="1" x14ac:dyDescent="0.3">
      <c r="H46" s="39"/>
      <c r="I46" s="18"/>
      <c r="J46" s="11">
        <v>30</v>
      </c>
      <c r="K46" s="6"/>
    </row>
    <row r="47" spans="8:11" s="11" customFormat="1" x14ac:dyDescent="0.3">
      <c r="H47" s="39"/>
      <c r="I47" s="18">
        <v>360</v>
      </c>
      <c r="K47" s="6"/>
    </row>
    <row r="48" spans="8:11" s="11" customFormat="1" x14ac:dyDescent="0.3">
      <c r="H48" s="39"/>
      <c r="I48" s="18">
        <v>-180</v>
      </c>
      <c r="J48" s="11">
        <v>20</v>
      </c>
      <c r="K48" s="6"/>
    </row>
    <row r="49" spans="8:12" s="11" customFormat="1" x14ac:dyDescent="0.3">
      <c r="H49" s="39" t="s">
        <v>220</v>
      </c>
      <c r="I49" s="18">
        <v>395</v>
      </c>
      <c r="J49" s="11">
        <v>1</v>
      </c>
      <c r="K49" s="6"/>
      <c r="L49" s="11" t="s">
        <v>385</v>
      </c>
    </row>
    <row r="50" spans="8:12" s="11" customFormat="1" x14ac:dyDescent="0.3">
      <c r="H50" s="39" t="s">
        <v>72</v>
      </c>
      <c r="I50" s="18"/>
      <c r="J50" s="11">
        <v>11</v>
      </c>
      <c r="K50" s="6"/>
    </row>
    <row r="51" spans="8:12" s="11" customFormat="1" x14ac:dyDescent="0.3">
      <c r="H51" s="39" t="s">
        <v>384</v>
      </c>
      <c r="I51" s="18">
        <v>-150</v>
      </c>
      <c r="J51" s="11">
        <v>5</v>
      </c>
      <c r="K51" s="6"/>
    </row>
    <row r="52" spans="8:12" s="11" customFormat="1" x14ac:dyDescent="0.3">
      <c r="H52" s="39" t="s">
        <v>263</v>
      </c>
      <c r="I52" s="18">
        <v>360</v>
      </c>
      <c r="K52" s="6"/>
    </row>
    <row r="53" spans="8:12" s="11" customFormat="1" x14ac:dyDescent="0.3">
      <c r="H53" s="39"/>
      <c r="I53" s="18"/>
      <c r="K53" s="6"/>
    </row>
    <row r="54" spans="8:12" s="11" customFormat="1" x14ac:dyDescent="0.3">
      <c r="H54" s="39"/>
      <c r="I54" s="18"/>
      <c r="K54" s="6"/>
    </row>
    <row r="55" spans="8:12" s="11" customFormat="1" x14ac:dyDescent="0.3">
      <c r="H55" s="39"/>
      <c r="I55" s="18"/>
      <c r="K55" s="6"/>
    </row>
    <row r="56" spans="8:12" s="11" customFormat="1" x14ac:dyDescent="0.3">
      <c r="H56" s="39"/>
      <c r="I56" s="18"/>
      <c r="K56" s="6"/>
    </row>
    <row r="57" spans="8:12" s="11" customFormat="1" x14ac:dyDescent="0.3">
      <c r="H57" s="39"/>
      <c r="I57" s="18"/>
      <c r="K57" s="6"/>
    </row>
    <row r="58" spans="8:12" s="11" customFormat="1" x14ac:dyDescent="0.3">
      <c r="H58" s="39"/>
      <c r="I58" s="18"/>
      <c r="K58" s="6"/>
    </row>
    <row r="59" spans="8:12" s="11" customFormat="1" x14ac:dyDescent="0.3">
      <c r="H59" s="39"/>
      <c r="I59" s="18"/>
      <c r="K59" s="6"/>
    </row>
    <row r="60" spans="8:12" s="11" customFormat="1" x14ac:dyDescent="0.3">
      <c r="H60" s="39"/>
      <c r="I60" s="18"/>
      <c r="K60" s="6"/>
    </row>
    <row r="61" spans="8:12" s="11" customFormat="1" x14ac:dyDescent="0.3">
      <c r="H61" s="39"/>
      <c r="I61" s="18"/>
      <c r="K61" s="6"/>
    </row>
    <row r="62" spans="8:12" s="11" customFormat="1" x14ac:dyDescent="0.3">
      <c r="H62" s="39"/>
      <c r="I62" s="18"/>
      <c r="K62" s="6"/>
    </row>
    <row r="63" spans="8:12" s="11" customFormat="1" x14ac:dyDescent="0.3">
      <c r="H63" s="39"/>
      <c r="I63" s="18"/>
      <c r="K63" s="6"/>
    </row>
    <row r="64" spans="8:12" s="11" customFormat="1" x14ac:dyDescent="0.3">
      <c r="H64" s="39"/>
      <c r="I64" s="18"/>
      <c r="K64" s="6"/>
    </row>
    <row r="65" spans="8:11" s="11" customFormat="1" x14ac:dyDescent="0.3">
      <c r="H65" s="39"/>
      <c r="I65" s="18"/>
      <c r="K65" s="6"/>
    </row>
    <row r="66" spans="8:11" s="11" customFormat="1" x14ac:dyDescent="0.3">
      <c r="H66" s="39"/>
      <c r="I66" s="18"/>
      <c r="K66" s="6"/>
    </row>
    <row r="67" spans="8:11" s="11" customFormat="1" x14ac:dyDescent="0.3">
      <c r="H67" s="39"/>
      <c r="I67" s="18"/>
      <c r="K67" s="6"/>
    </row>
    <row r="68" spans="8:11" s="11" customFormat="1" x14ac:dyDescent="0.3">
      <c r="H68" s="39"/>
      <c r="I68" s="18"/>
      <c r="K68" s="6"/>
    </row>
    <row r="69" spans="8:11" s="11" customFormat="1" x14ac:dyDescent="0.3">
      <c r="H69" s="39"/>
      <c r="I69" s="18"/>
      <c r="K69" s="6"/>
    </row>
    <row r="70" spans="8:11" s="11" customFormat="1" x14ac:dyDescent="0.3">
      <c r="H70" s="39"/>
      <c r="I70" s="18"/>
      <c r="K70" s="6"/>
    </row>
    <row r="71" spans="8:11" s="11" customFormat="1" x14ac:dyDescent="0.3">
      <c r="H71" s="39"/>
      <c r="I71" s="18"/>
      <c r="K71" s="6"/>
    </row>
    <row r="72" spans="8:11" s="11" customFormat="1" x14ac:dyDescent="0.3">
      <c r="H72" s="39"/>
      <c r="I72" s="18"/>
      <c r="K72" s="6"/>
    </row>
    <row r="73" spans="8:11" s="11" customFormat="1" x14ac:dyDescent="0.3">
      <c r="H73" s="39"/>
      <c r="I73" s="18"/>
      <c r="K73" s="6"/>
    </row>
    <row r="74" spans="8:11" s="11" customFormat="1" x14ac:dyDescent="0.3">
      <c r="H74" s="39"/>
      <c r="I74" s="18"/>
      <c r="K74" s="6"/>
    </row>
    <row r="75" spans="8:11" s="11" customFormat="1" x14ac:dyDescent="0.3">
      <c r="H75" s="39"/>
      <c r="I75" s="18"/>
      <c r="K75" s="6"/>
    </row>
    <row r="76" spans="8:11" s="11" customFormat="1" x14ac:dyDescent="0.3">
      <c r="H76" s="39"/>
      <c r="I76" s="18"/>
      <c r="K76" s="6"/>
    </row>
    <row r="77" spans="8:11" s="11" customFormat="1" x14ac:dyDescent="0.3">
      <c r="H77" s="39"/>
      <c r="I77" s="18"/>
      <c r="K77" s="6"/>
    </row>
    <row r="78" spans="8:11" s="11" customFormat="1" x14ac:dyDescent="0.3">
      <c r="H78" s="39"/>
      <c r="I78" s="18"/>
      <c r="K78" s="6"/>
    </row>
    <row r="79" spans="8:11" s="11" customFormat="1" x14ac:dyDescent="0.3">
      <c r="H79" s="39"/>
      <c r="I79" s="18"/>
      <c r="K79" s="6"/>
    </row>
    <row r="80" spans="8:11" s="11" customFormat="1" x14ac:dyDescent="0.3">
      <c r="H80" s="39"/>
      <c r="I80" s="18"/>
      <c r="K80" s="6"/>
    </row>
    <row r="81" spans="8:11" s="11" customFormat="1" x14ac:dyDescent="0.3">
      <c r="H81" s="39"/>
      <c r="I81" s="18"/>
      <c r="K81" s="6"/>
    </row>
    <row r="82" spans="8:11" s="11" customFormat="1" x14ac:dyDescent="0.3">
      <c r="H82" s="39"/>
      <c r="I82" s="18"/>
      <c r="K82" s="6"/>
    </row>
    <row r="83" spans="8:11" s="11" customFormat="1" x14ac:dyDescent="0.3">
      <c r="H83" s="39"/>
      <c r="I83" s="18"/>
      <c r="K83" s="6"/>
    </row>
    <row r="84" spans="8:11" s="11" customFormat="1" x14ac:dyDescent="0.3">
      <c r="H84" s="39"/>
      <c r="I84" s="18"/>
      <c r="K84" s="6"/>
    </row>
    <row r="85" spans="8:11" s="11" customFormat="1" x14ac:dyDescent="0.3">
      <c r="H85" s="39"/>
      <c r="I85" s="18"/>
      <c r="K85" s="6"/>
    </row>
    <row r="86" spans="8:11" s="11" customFormat="1" x14ac:dyDescent="0.3">
      <c r="H86" s="39"/>
      <c r="I86" s="18"/>
      <c r="K86" s="6"/>
    </row>
    <row r="87" spans="8:11" s="11" customFormat="1" x14ac:dyDescent="0.3">
      <c r="H87" s="39"/>
      <c r="I87" s="18"/>
      <c r="K87" s="6"/>
    </row>
    <row r="88" spans="8:11" s="11" customFormat="1" x14ac:dyDescent="0.3">
      <c r="H88" s="39"/>
      <c r="I88" s="18"/>
      <c r="K88" s="6"/>
    </row>
    <row r="89" spans="8:11" s="11" customFormat="1" x14ac:dyDescent="0.3">
      <c r="H89" s="39"/>
      <c r="I89" s="18"/>
      <c r="K89" s="6"/>
    </row>
    <row r="90" spans="8:11" s="11" customFormat="1" x14ac:dyDescent="0.3">
      <c r="H90" s="39"/>
      <c r="I90" s="18"/>
      <c r="K90" s="6"/>
    </row>
    <row r="91" spans="8:11" s="11" customFormat="1" x14ac:dyDescent="0.3">
      <c r="H91" s="39"/>
      <c r="I91" s="18"/>
      <c r="K91" s="6"/>
    </row>
    <row r="92" spans="8:11" s="11" customFormat="1" x14ac:dyDescent="0.3">
      <c r="H92" s="39"/>
      <c r="I92" s="18"/>
      <c r="K92" s="6"/>
    </row>
    <row r="93" spans="8:11" s="11" customFormat="1" x14ac:dyDescent="0.3">
      <c r="H93" s="39"/>
      <c r="I93" s="18"/>
      <c r="K93" s="6"/>
    </row>
    <row r="94" spans="8:11" s="11" customFormat="1" x14ac:dyDescent="0.3">
      <c r="H94" s="39"/>
      <c r="I94" s="18"/>
      <c r="K94" s="6"/>
    </row>
    <row r="95" spans="8:11" s="11" customFormat="1" x14ac:dyDescent="0.3">
      <c r="H95" s="39"/>
      <c r="I95" s="18"/>
      <c r="K95" s="6"/>
    </row>
    <row r="96" spans="8:11" s="11" customFormat="1" x14ac:dyDescent="0.3">
      <c r="H96" s="39"/>
      <c r="I96" s="18"/>
      <c r="K96" s="6"/>
    </row>
    <row r="97" spans="8:11" s="11" customFormat="1" x14ac:dyDescent="0.3">
      <c r="H97" s="39"/>
      <c r="I97" s="18"/>
      <c r="K97" s="6"/>
    </row>
    <row r="98" spans="8:11" s="11" customFormat="1" x14ac:dyDescent="0.3">
      <c r="H98" s="39"/>
      <c r="I98" s="18"/>
      <c r="K98" s="6"/>
    </row>
    <row r="99" spans="8:11" s="11" customFormat="1" x14ac:dyDescent="0.3">
      <c r="H99" s="39"/>
      <c r="I99" s="18"/>
      <c r="K99" s="6"/>
    </row>
    <row r="100" spans="8:11" s="11" customFormat="1" x14ac:dyDescent="0.3">
      <c r="H100" s="39"/>
      <c r="I100" s="18"/>
      <c r="K100" s="6"/>
    </row>
    <row r="101" spans="8:11" s="11" customFormat="1" x14ac:dyDescent="0.3">
      <c r="H101" s="39"/>
      <c r="I101" s="18"/>
      <c r="K101" s="6"/>
    </row>
    <row r="102" spans="8:11" s="11" customFormat="1" x14ac:dyDescent="0.3">
      <c r="H102" s="39"/>
      <c r="I102" s="18"/>
      <c r="K102" s="6"/>
    </row>
    <row r="103" spans="8:11" s="11" customFormat="1" x14ac:dyDescent="0.3">
      <c r="H103" s="39"/>
      <c r="I103" s="18"/>
      <c r="K103" s="6"/>
    </row>
    <row r="104" spans="8:11" s="11" customFormat="1" x14ac:dyDescent="0.3">
      <c r="H104" s="39"/>
      <c r="I104" s="18"/>
      <c r="K104" s="6"/>
    </row>
    <row r="105" spans="8:11" s="11" customFormat="1" x14ac:dyDescent="0.3">
      <c r="H105" s="39"/>
      <c r="I105" s="18"/>
      <c r="K105" s="6"/>
    </row>
    <row r="106" spans="8:11" s="11" customFormat="1" x14ac:dyDescent="0.3">
      <c r="H106" s="39"/>
      <c r="I106" s="18"/>
      <c r="K106" s="6"/>
    </row>
    <row r="107" spans="8:11" s="11" customFormat="1" x14ac:dyDescent="0.3">
      <c r="H107" s="39"/>
      <c r="I107" s="18"/>
      <c r="K107" s="6"/>
    </row>
    <row r="108" spans="8:11" s="11" customFormat="1" x14ac:dyDescent="0.3">
      <c r="H108" s="39"/>
      <c r="I108" s="18"/>
      <c r="K108" s="6"/>
    </row>
    <row r="109" spans="8:11" s="11" customFormat="1" x14ac:dyDescent="0.3">
      <c r="H109" s="39"/>
      <c r="I109" s="18"/>
      <c r="K109" s="6"/>
    </row>
    <row r="110" spans="8:11" s="11" customFormat="1" x14ac:dyDescent="0.3">
      <c r="H110" s="39"/>
      <c r="I110" s="18"/>
      <c r="K110" s="6"/>
    </row>
    <row r="111" spans="8:11" s="11" customFormat="1" x14ac:dyDescent="0.3">
      <c r="H111" s="39"/>
      <c r="I111" s="18"/>
      <c r="K111" s="6"/>
    </row>
    <row r="112" spans="8:11" s="11" customFormat="1" x14ac:dyDescent="0.3">
      <c r="H112" s="39"/>
      <c r="I112" s="18"/>
      <c r="K112" s="6"/>
    </row>
    <row r="113" spans="8:11" s="11" customFormat="1" x14ac:dyDescent="0.3">
      <c r="H113" s="39"/>
      <c r="I113" s="18"/>
      <c r="K113" s="6"/>
    </row>
    <row r="114" spans="8:11" s="11" customFormat="1" x14ac:dyDescent="0.3">
      <c r="H114" s="39"/>
      <c r="I114" s="18"/>
      <c r="K114" s="6"/>
    </row>
    <row r="115" spans="8:11" s="11" customFormat="1" x14ac:dyDescent="0.3">
      <c r="H115" s="39"/>
      <c r="I115" s="18"/>
      <c r="K115" s="6"/>
    </row>
    <row r="116" spans="8:11" s="11" customFormat="1" x14ac:dyDescent="0.3">
      <c r="H116" s="39"/>
      <c r="I116" s="18"/>
      <c r="K116" s="6"/>
    </row>
    <row r="117" spans="8:11" s="11" customFormat="1" x14ac:dyDescent="0.3">
      <c r="H117" s="39"/>
      <c r="I117" s="18"/>
      <c r="K117" s="6"/>
    </row>
    <row r="118" spans="8:11" s="11" customFormat="1" x14ac:dyDescent="0.3">
      <c r="H118" s="39"/>
      <c r="I118" s="18"/>
      <c r="K118" s="6"/>
    </row>
    <row r="119" spans="8:11" s="11" customFormat="1" x14ac:dyDescent="0.3">
      <c r="H119" s="39"/>
      <c r="I119" s="18"/>
      <c r="K119" s="6"/>
    </row>
    <row r="120" spans="8:11" s="11" customFormat="1" x14ac:dyDescent="0.3">
      <c r="H120" s="39"/>
      <c r="I120" s="18"/>
      <c r="K120" s="6"/>
    </row>
    <row r="121" spans="8:11" s="11" customFormat="1" x14ac:dyDescent="0.3">
      <c r="H121" s="39"/>
      <c r="I121" s="18"/>
      <c r="K121" s="6"/>
    </row>
    <row r="122" spans="8:11" s="11" customFormat="1" x14ac:dyDescent="0.3">
      <c r="H122" s="39"/>
      <c r="I122" s="18"/>
      <c r="K122" s="6"/>
    </row>
    <row r="123" spans="8:11" s="11" customFormat="1" x14ac:dyDescent="0.3">
      <c r="H123" s="39"/>
      <c r="I123" s="18"/>
      <c r="K123" s="6"/>
    </row>
    <row r="124" spans="8:11" s="11" customFormat="1" x14ac:dyDescent="0.3">
      <c r="H124" s="39"/>
      <c r="I124" s="18"/>
      <c r="K124" s="6"/>
    </row>
    <row r="125" spans="8:11" s="11" customFormat="1" x14ac:dyDescent="0.3">
      <c r="H125" s="39"/>
      <c r="I125" s="18"/>
      <c r="K125" s="6"/>
    </row>
    <row r="126" spans="8:11" s="11" customFormat="1" x14ac:dyDescent="0.3">
      <c r="H126" s="39"/>
      <c r="I126" s="18"/>
      <c r="K126" s="6"/>
    </row>
    <row r="127" spans="8:11" s="11" customFormat="1" x14ac:dyDescent="0.3">
      <c r="H127" s="39"/>
      <c r="I127" s="18"/>
      <c r="K127" s="6"/>
    </row>
    <row r="128" spans="8:11" s="11" customFormat="1" x14ac:dyDescent="0.3">
      <c r="H128" s="39"/>
      <c r="I128" s="18"/>
      <c r="K128" s="6"/>
    </row>
    <row r="129" spans="8:11" s="11" customFormat="1" x14ac:dyDescent="0.3">
      <c r="H129" s="39"/>
      <c r="I129" s="18"/>
      <c r="K129" s="6"/>
    </row>
    <row r="130" spans="8:11" s="11" customFormat="1" x14ac:dyDescent="0.3">
      <c r="H130" s="39"/>
      <c r="I130" s="18"/>
      <c r="K130" s="6"/>
    </row>
    <row r="131" spans="8:11" s="11" customFormat="1" x14ac:dyDescent="0.3">
      <c r="H131" s="39"/>
      <c r="I131" s="18"/>
      <c r="K131" s="6"/>
    </row>
    <row r="132" spans="8:11" s="11" customFormat="1" x14ac:dyDescent="0.3">
      <c r="H132" s="39"/>
      <c r="I132" s="18"/>
      <c r="K132" s="6"/>
    </row>
    <row r="133" spans="8:11" s="11" customFormat="1" x14ac:dyDescent="0.3">
      <c r="H133" s="39"/>
      <c r="I133" s="18"/>
      <c r="K133" s="6"/>
    </row>
    <row r="134" spans="8:11" s="11" customFormat="1" x14ac:dyDescent="0.3">
      <c r="H134" s="39"/>
      <c r="I134" s="18"/>
      <c r="K134" s="6"/>
    </row>
    <row r="135" spans="8:11" s="11" customFormat="1" x14ac:dyDescent="0.3">
      <c r="H135" s="39"/>
      <c r="I135" s="18"/>
      <c r="K135" s="6"/>
    </row>
    <row r="136" spans="8:11" s="11" customFormat="1" x14ac:dyDescent="0.3">
      <c r="H136" s="39"/>
      <c r="I136" s="18"/>
      <c r="K136" s="6"/>
    </row>
    <row r="137" spans="8:11" s="11" customFormat="1" x14ac:dyDescent="0.3">
      <c r="H137" s="39"/>
      <c r="I137" s="18"/>
      <c r="K137" s="6"/>
    </row>
    <row r="138" spans="8:11" s="11" customFormat="1" x14ac:dyDescent="0.3">
      <c r="H138" s="39"/>
      <c r="I138" s="18"/>
      <c r="K138" s="6"/>
    </row>
    <row r="139" spans="8:11" s="11" customFormat="1" x14ac:dyDescent="0.3">
      <c r="H139" s="39"/>
      <c r="I139" s="18"/>
      <c r="K139" s="6"/>
    </row>
    <row r="140" spans="8:11" s="11" customFormat="1" x14ac:dyDescent="0.3">
      <c r="H140" s="39"/>
      <c r="I140" s="18"/>
      <c r="K140" s="6"/>
    </row>
    <row r="141" spans="8:11" s="11" customFormat="1" x14ac:dyDescent="0.3">
      <c r="H141" s="39"/>
      <c r="I141" s="18"/>
      <c r="K141" s="6"/>
    </row>
    <row r="142" spans="8:11" s="11" customFormat="1" x14ac:dyDescent="0.3">
      <c r="H142" s="39"/>
      <c r="I142" s="18"/>
      <c r="K142" s="6"/>
    </row>
    <row r="143" spans="8:11" s="11" customFormat="1" x14ac:dyDescent="0.3">
      <c r="H143" s="39"/>
      <c r="I143" s="18"/>
      <c r="K143" s="6"/>
    </row>
    <row r="144" spans="8:11" s="11" customFormat="1" x14ac:dyDescent="0.3">
      <c r="H144" s="39"/>
      <c r="I144" s="18"/>
      <c r="K144" s="6"/>
    </row>
    <row r="145" spans="8:11" s="11" customFormat="1" x14ac:dyDescent="0.3">
      <c r="H145" s="39"/>
      <c r="I145" s="18"/>
      <c r="K145" s="6"/>
    </row>
    <row r="146" spans="8:11" s="11" customFormat="1" x14ac:dyDescent="0.3">
      <c r="H146" s="39"/>
      <c r="I146" s="18"/>
      <c r="K146" s="6"/>
    </row>
    <row r="147" spans="8:11" s="11" customFormat="1" x14ac:dyDescent="0.3">
      <c r="H147" s="39"/>
      <c r="I147" s="18"/>
      <c r="K147" s="6"/>
    </row>
    <row r="148" spans="8:11" s="11" customFormat="1" x14ac:dyDescent="0.3">
      <c r="H148" s="39"/>
      <c r="I148" s="18"/>
      <c r="K148" s="6"/>
    </row>
    <row r="149" spans="8:11" s="11" customFormat="1" x14ac:dyDescent="0.3">
      <c r="H149" s="39"/>
      <c r="I149" s="18"/>
      <c r="K149" s="6"/>
    </row>
    <row r="150" spans="8:11" s="11" customFormat="1" x14ac:dyDescent="0.3">
      <c r="H150" s="39"/>
      <c r="I150" s="18"/>
      <c r="K150" s="6"/>
    </row>
    <row r="151" spans="8:11" s="11" customFormat="1" x14ac:dyDescent="0.3">
      <c r="H151" s="39"/>
      <c r="I151" s="18"/>
      <c r="K151" s="6"/>
    </row>
    <row r="152" spans="8:11" s="11" customFormat="1" x14ac:dyDescent="0.3">
      <c r="H152" s="39"/>
      <c r="I152" s="18"/>
      <c r="K152" s="6"/>
    </row>
    <row r="153" spans="8:11" s="11" customFormat="1" x14ac:dyDescent="0.3">
      <c r="H153" s="39"/>
      <c r="I153" s="18"/>
      <c r="K153" s="6"/>
    </row>
    <row r="154" spans="8:11" s="11" customFormat="1" x14ac:dyDescent="0.3">
      <c r="H154" s="39"/>
      <c r="I154" s="18"/>
      <c r="K154" s="6"/>
    </row>
    <row r="155" spans="8:11" s="11" customFormat="1" x14ac:dyDescent="0.3">
      <c r="H155" s="39"/>
      <c r="I155" s="18"/>
      <c r="K155" s="6"/>
    </row>
    <row r="156" spans="8:11" s="11" customFormat="1" x14ac:dyDescent="0.3">
      <c r="H156" s="39"/>
      <c r="I156" s="18"/>
      <c r="K156" s="6"/>
    </row>
    <row r="157" spans="8:11" s="11" customFormat="1" x14ac:dyDescent="0.3">
      <c r="H157" s="39"/>
      <c r="I157" s="18"/>
      <c r="K157" s="6"/>
    </row>
    <row r="158" spans="8:11" s="11" customFormat="1" x14ac:dyDescent="0.3">
      <c r="H158" s="39"/>
      <c r="I158" s="18"/>
      <c r="K158" s="6"/>
    </row>
    <row r="159" spans="8:11" s="11" customFormat="1" x14ac:dyDescent="0.3">
      <c r="H159" s="39"/>
      <c r="I159" s="18"/>
      <c r="K159" s="6"/>
    </row>
    <row r="160" spans="8:11" s="11" customFormat="1" x14ac:dyDescent="0.3">
      <c r="H160" s="39"/>
      <c r="I160" s="18"/>
      <c r="K160" s="6"/>
    </row>
    <row r="161" spans="8:11" s="11" customFormat="1" x14ac:dyDescent="0.3">
      <c r="H161" s="39"/>
      <c r="I161" s="18"/>
      <c r="K161" s="6"/>
    </row>
    <row r="162" spans="8:11" s="11" customFormat="1" x14ac:dyDescent="0.3">
      <c r="H162" s="39"/>
      <c r="I162" s="18"/>
      <c r="K162" s="6"/>
    </row>
    <row r="163" spans="8:11" s="11" customFormat="1" x14ac:dyDescent="0.3">
      <c r="H163" s="39"/>
      <c r="I163" s="18"/>
      <c r="K163" s="6"/>
    </row>
    <row r="164" spans="8:11" s="11" customFormat="1" x14ac:dyDescent="0.3">
      <c r="H164" s="39"/>
      <c r="I164" s="18"/>
      <c r="K164" s="6"/>
    </row>
    <row r="165" spans="8:11" s="11" customFormat="1" x14ac:dyDescent="0.3">
      <c r="H165" s="39"/>
      <c r="I165" s="18"/>
      <c r="K165" s="6"/>
    </row>
    <row r="166" spans="8:11" s="11" customFormat="1" x14ac:dyDescent="0.3">
      <c r="H166" s="39"/>
      <c r="I166" s="18"/>
      <c r="K166" s="6"/>
    </row>
    <row r="167" spans="8:11" s="11" customFormat="1" x14ac:dyDescent="0.3">
      <c r="H167" s="39"/>
      <c r="I167" s="18"/>
      <c r="K167" s="6"/>
    </row>
    <row r="168" spans="8:11" s="11" customFormat="1" x14ac:dyDescent="0.3">
      <c r="H168" s="39"/>
      <c r="I168" s="18"/>
      <c r="K168" s="6"/>
    </row>
    <row r="169" spans="8:11" s="11" customFormat="1" x14ac:dyDescent="0.3">
      <c r="H169" s="39"/>
      <c r="I169" s="18"/>
      <c r="K169" s="6"/>
    </row>
    <row r="170" spans="8:11" s="11" customFormat="1" x14ac:dyDescent="0.3">
      <c r="H170" s="39"/>
      <c r="I170" s="18"/>
      <c r="K170" s="6"/>
    </row>
    <row r="171" spans="8:11" s="11" customFormat="1" x14ac:dyDescent="0.3">
      <c r="H171" s="39"/>
      <c r="I171" s="18"/>
      <c r="K171" s="6"/>
    </row>
    <row r="172" spans="8:11" s="11" customFormat="1" x14ac:dyDescent="0.3">
      <c r="H172" s="39"/>
      <c r="I172" s="18"/>
      <c r="K172" s="6"/>
    </row>
    <row r="173" spans="8:11" s="11" customFormat="1" x14ac:dyDescent="0.3">
      <c r="H173" s="39"/>
      <c r="I173" s="18"/>
      <c r="K173" s="6"/>
    </row>
    <row r="174" spans="8:11" s="11" customFormat="1" x14ac:dyDescent="0.3">
      <c r="H174" s="39"/>
      <c r="I174" s="18"/>
      <c r="K174" s="6"/>
    </row>
    <row r="175" spans="8:11" s="11" customFormat="1" x14ac:dyDescent="0.3">
      <c r="H175" s="39"/>
      <c r="I175" s="18"/>
      <c r="K175" s="6"/>
    </row>
    <row r="176" spans="8:11" s="11" customFormat="1" x14ac:dyDescent="0.3">
      <c r="H176" s="39"/>
      <c r="I176" s="18"/>
      <c r="K176" s="6"/>
    </row>
    <row r="177" spans="8:11" s="11" customFormat="1" x14ac:dyDescent="0.3">
      <c r="H177" s="39"/>
      <c r="I177" s="18"/>
      <c r="K177" s="6"/>
    </row>
    <row r="178" spans="8:11" s="11" customFormat="1" x14ac:dyDescent="0.3">
      <c r="H178" s="39"/>
      <c r="I178" s="18"/>
      <c r="K178" s="6"/>
    </row>
    <row r="179" spans="8:11" s="11" customFormat="1" x14ac:dyDescent="0.3">
      <c r="H179" s="39"/>
      <c r="I179" s="18"/>
      <c r="K179" s="6"/>
    </row>
    <row r="180" spans="8:11" s="11" customFormat="1" x14ac:dyDescent="0.3">
      <c r="H180" s="39"/>
      <c r="I180" s="18"/>
      <c r="K180" s="6"/>
    </row>
    <row r="181" spans="8:11" s="11" customFormat="1" x14ac:dyDescent="0.3">
      <c r="H181" s="39"/>
      <c r="I181" s="18"/>
      <c r="K181" s="6"/>
    </row>
    <row r="182" spans="8:11" s="11" customFormat="1" x14ac:dyDescent="0.3">
      <c r="H182" s="39"/>
      <c r="I182" s="18"/>
      <c r="K182" s="6"/>
    </row>
    <row r="183" spans="8:11" s="11" customFormat="1" x14ac:dyDescent="0.3">
      <c r="H183" s="39"/>
      <c r="I183" s="18"/>
      <c r="K183" s="6"/>
    </row>
    <row r="184" spans="8:11" s="11" customFormat="1" x14ac:dyDescent="0.3">
      <c r="H184" s="39"/>
      <c r="I184" s="18"/>
      <c r="K184" s="6"/>
    </row>
    <row r="185" spans="8:11" s="11" customFormat="1" x14ac:dyDescent="0.3">
      <c r="H185" s="39"/>
      <c r="I185" s="18"/>
      <c r="K185" s="6"/>
    </row>
    <row r="186" spans="8:11" s="11" customFormat="1" x14ac:dyDescent="0.3">
      <c r="H186" s="39"/>
      <c r="I186" s="18"/>
      <c r="K186" s="6"/>
    </row>
    <row r="187" spans="8:11" s="11" customFormat="1" x14ac:dyDescent="0.3">
      <c r="H187" s="39"/>
      <c r="I187" s="18"/>
      <c r="K187" s="6"/>
    </row>
    <row r="188" spans="8:11" s="11" customFormat="1" x14ac:dyDescent="0.3">
      <c r="H188" s="39"/>
      <c r="I188" s="18"/>
      <c r="K188" s="6"/>
    </row>
    <row r="189" spans="8:11" s="11" customFormat="1" x14ac:dyDescent="0.3">
      <c r="H189" s="39"/>
      <c r="I189" s="18"/>
      <c r="K189" s="6"/>
    </row>
    <row r="190" spans="8:11" s="11" customFormat="1" x14ac:dyDescent="0.3">
      <c r="H190" s="39"/>
      <c r="I190" s="18"/>
      <c r="K190" s="6"/>
    </row>
    <row r="191" spans="8:11" s="11" customFormat="1" x14ac:dyDescent="0.3">
      <c r="H191" s="39"/>
      <c r="I191" s="18"/>
      <c r="K191" s="6"/>
    </row>
    <row r="192" spans="8:11" s="11" customFormat="1" x14ac:dyDescent="0.3">
      <c r="H192" s="39"/>
      <c r="I192" s="18"/>
      <c r="K192" s="6"/>
    </row>
    <row r="193" spans="8:11" s="11" customFormat="1" x14ac:dyDescent="0.3">
      <c r="H193" s="39"/>
      <c r="I193" s="18"/>
      <c r="K193" s="6"/>
    </row>
    <row r="194" spans="8:11" s="11" customFormat="1" x14ac:dyDescent="0.3">
      <c r="H194" s="39"/>
      <c r="I194" s="18"/>
      <c r="K194" s="6"/>
    </row>
    <row r="195" spans="8:11" s="11" customFormat="1" x14ac:dyDescent="0.3">
      <c r="H195" s="39"/>
      <c r="I195" s="18"/>
      <c r="K195" s="6"/>
    </row>
    <row r="196" spans="8:11" s="11" customFormat="1" x14ac:dyDescent="0.3">
      <c r="H196" s="39"/>
      <c r="I196" s="18"/>
      <c r="K196" s="6"/>
    </row>
    <row r="197" spans="8:11" s="11" customFormat="1" x14ac:dyDescent="0.3">
      <c r="H197" s="39"/>
      <c r="I197" s="18"/>
      <c r="K197" s="6"/>
    </row>
    <row r="198" spans="8:11" s="11" customFormat="1" x14ac:dyDescent="0.3">
      <c r="H198" s="39"/>
      <c r="I198" s="18"/>
      <c r="K198" s="6"/>
    </row>
    <row r="199" spans="8:11" s="11" customFormat="1" x14ac:dyDescent="0.3">
      <c r="H199" s="39"/>
      <c r="I199" s="18"/>
      <c r="K199" s="6"/>
    </row>
    <row r="200" spans="8:11" s="11" customFormat="1" x14ac:dyDescent="0.3">
      <c r="H200" s="39"/>
      <c r="I200" s="18"/>
      <c r="K200" s="6"/>
    </row>
    <row r="201" spans="8:11" s="11" customFormat="1" x14ac:dyDescent="0.3">
      <c r="H201" s="39"/>
      <c r="I201" s="18"/>
      <c r="K201" s="6"/>
    </row>
    <row r="202" spans="8:11" s="11" customFormat="1" x14ac:dyDescent="0.3">
      <c r="H202" s="39"/>
      <c r="I202" s="18"/>
      <c r="K202" s="6"/>
    </row>
    <row r="203" spans="8:11" s="11" customFormat="1" x14ac:dyDescent="0.3">
      <c r="H203" s="39"/>
      <c r="I203" s="18"/>
      <c r="K203" s="6"/>
    </row>
    <row r="204" spans="8:11" s="11" customFormat="1" x14ac:dyDescent="0.3">
      <c r="H204" s="39"/>
      <c r="I204" s="18"/>
      <c r="K204" s="6"/>
    </row>
    <row r="205" spans="8:11" s="11" customFormat="1" x14ac:dyDescent="0.3">
      <c r="H205" s="39"/>
      <c r="I205" s="18"/>
      <c r="K205" s="6"/>
    </row>
    <row r="206" spans="8:11" s="11" customFormat="1" x14ac:dyDescent="0.3">
      <c r="H206" s="39"/>
      <c r="I206" s="18"/>
      <c r="K206" s="6"/>
    </row>
    <row r="207" spans="8:11" s="11" customFormat="1" x14ac:dyDescent="0.3">
      <c r="H207" s="39"/>
      <c r="I207" s="18"/>
      <c r="K207" s="6"/>
    </row>
    <row r="208" spans="8:11" s="11" customFormat="1" x14ac:dyDescent="0.3">
      <c r="H208" s="39"/>
      <c r="I208" s="18"/>
      <c r="K208" s="6"/>
    </row>
    <row r="209" spans="8:11" s="11" customFormat="1" x14ac:dyDescent="0.3">
      <c r="H209" s="39"/>
      <c r="I209" s="18"/>
      <c r="K209" s="6"/>
    </row>
    <row r="210" spans="8:11" s="11" customFormat="1" x14ac:dyDescent="0.3">
      <c r="H210" s="39"/>
      <c r="I210" s="18"/>
      <c r="K210" s="6"/>
    </row>
    <row r="211" spans="8:11" s="11" customFormat="1" x14ac:dyDescent="0.3">
      <c r="H211" s="39"/>
      <c r="I211" s="18"/>
      <c r="K211" s="6"/>
    </row>
    <row r="212" spans="8:11" s="11" customFormat="1" x14ac:dyDescent="0.3">
      <c r="H212" s="39"/>
      <c r="I212" s="18"/>
      <c r="K212" s="6"/>
    </row>
    <row r="213" spans="8:11" s="11" customFormat="1" x14ac:dyDescent="0.3">
      <c r="H213" s="39"/>
      <c r="I213" s="18"/>
      <c r="K213" s="6"/>
    </row>
    <row r="214" spans="8:11" s="11" customFormat="1" x14ac:dyDescent="0.3">
      <c r="H214" s="39"/>
      <c r="I214" s="18"/>
      <c r="K214" s="6"/>
    </row>
    <row r="215" spans="8:11" s="11" customFormat="1" x14ac:dyDescent="0.3">
      <c r="H215" s="39"/>
      <c r="I215" s="18"/>
      <c r="K215" s="6"/>
    </row>
    <row r="216" spans="8:11" s="11" customFormat="1" x14ac:dyDescent="0.3">
      <c r="H216" s="39"/>
      <c r="I216" s="18"/>
      <c r="K216" s="6"/>
    </row>
    <row r="217" spans="8:11" s="11" customFormat="1" x14ac:dyDescent="0.3">
      <c r="H217" s="39"/>
      <c r="I217" s="18"/>
      <c r="K217" s="6"/>
    </row>
    <row r="218" spans="8:11" s="11" customFormat="1" x14ac:dyDescent="0.3">
      <c r="H218" s="39"/>
      <c r="I218" s="18"/>
      <c r="K218" s="6"/>
    </row>
    <row r="219" spans="8:11" s="11" customFormat="1" x14ac:dyDescent="0.3">
      <c r="H219" s="39"/>
      <c r="I219" s="18"/>
      <c r="K219" s="6"/>
    </row>
    <row r="220" spans="8:11" s="11" customFormat="1" x14ac:dyDescent="0.3">
      <c r="H220" s="39"/>
      <c r="I220" s="18"/>
      <c r="K220" s="6"/>
    </row>
    <row r="221" spans="8:11" s="11" customFormat="1" x14ac:dyDescent="0.3">
      <c r="H221" s="39"/>
      <c r="I221" s="18"/>
      <c r="K221" s="6"/>
    </row>
    <row r="222" spans="8:11" s="11" customFormat="1" x14ac:dyDescent="0.3">
      <c r="H222" s="39"/>
      <c r="I222" s="18"/>
      <c r="K222" s="6"/>
    </row>
    <row r="223" spans="8:11" s="11" customFormat="1" x14ac:dyDescent="0.3">
      <c r="H223" s="39"/>
      <c r="I223" s="18"/>
      <c r="K223" s="6"/>
    </row>
    <row r="224" spans="8:11" s="11" customFormat="1" x14ac:dyDescent="0.3">
      <c r="H224" s="39"/>
      <c r="I224" s="18"/>
      <c r="K224" s="6"/>
    </row>
    <row r="225" spans="8:11" s="11" customFormat="1" x14ac:dyDescent="0.3">
      <c r="H225" s="39"/>
      <c r="I225" s="18"/>
      <c r="K225" s="6"/>
    </row>
    <row r="226" spans="8:11" s="11" customFormat="1" x14ac:dyDescent="0.3">
      <c r="H226" s="39"/>
      <c r="I226" s="18"/>
      <c r="K226" s="6"/>
    </row>
    <row r="227" spans="8:11" s="11" customFormat="1" x14ac:dyDescent="0.3">
      <c r="H227" s="39"/>
      <c r="I227" s="18"/>
      <c r="K227" s="6"/>
    </row>
    <row r="228" spans="8:11" s="11" customFormat="1" x14ac:dyDescent="0.3">
      <c r="H228" s="39"/>
      <c r="I228" s="18"/>
      <c r="K228" s="6"/>
    </row>
    <row r="229" spans="8:11" s="11" customFormat="1" x14ac:dyDescent="0.3">
      <c r="H229" s="39"/>
      <c r="I229" s="18"/>
      <c r="K229" s="6"/>
    </row>
    <row r="230" spans="8:11" s="11" customFormat="1" x14ac:dyDescent="0.3">
      <c r="H230" s="39"/>
      <c r="I230" s="18"/>
      <c r="K230" s="6"/>
    </row>
    <row r="231" spans="8:11" s="11" customFormat="1" x14ac:dyDescent="0.3">
      <c r="H231" s="39"/>
      <c r="I231" s="18"/>
      <c r="K231" s="6"/>
    </row>
    <row r="232" spans="8:11" s="11" customFormat="1" x14ac:dyDescent="0.3">
      <c r="H232" s="39"/>
      <c r="I232" s="18"/>
      <c r="K232" s="6"/>
    </row>
    <row r="233" spans="8:11" s="11" customFormat="1" x14ac:dyDescent="0.3">
      <c r="H233" s="39"/>
      <c r="I233" s="18"/>
      <c r="K233" s="6"/>
    </row>
    <row r="234" spans="8:11" s="11" customFormat="1" x14ac:dyDescent="0.3">
      <c r="H234" s="39"/>
      <c r="I234" s="18"/>
      <c r="K234" s="6"/>
    </row>
    <row r="235" spans="8:11" s="11" customFormat="1" x14ac:dyDescent="0.3">
      <c r="H235" s="39"/>
      <c r="I235" s="18"/>
      <c r="K235" s="6"/>
    </row>
    <row r="236" spans="8:11" s="11" customFormat="1" x14ac:dyDescent="0.3">
      <c r="H236" s="39"/>
      <c r="I236" s="18"/>
      <c r="K236" s="6"/>
    </row>
    <row r="237" spans="8:11" s="11" customFormat="1" x14ac:dyDescent="0.3">
      <c r="H237" s="39"/>
      <c r="I237" s="18"/>
      <c r="K237" s="6"/>
    </row>
    <row r="238" spans="8:11" s="11" customFormat="1" x14ac:dyDescent="0.3">
      <c r="H238" s="39"/>
      <c r="I238" s="18"/>
      <c r="K238" s="6"/>
    </row>
    <row r="239" spans="8:11" s="11" customFormat="1" x14ac:dyDescent="0.3">
      <c r="H239" s="39"/>
      <c r="I239" s="18"/>
      <c r="K239" s="6"/>
    </row>
    <row r="240" spans="8:11" s="11" customFormat="1" x14ac:dyDescent="0.3">
      <c r="H240" s="39"/>
      <c r="I240" s="18"/>
      <c r="K240" s="6"/>
    </row>
    <row r="241" spans="8:11" s="11" customFormat="1" x14ac:dyDescent="0.3">
      <c r="H241" s="39"/>
      <c r="I241" s="18"/>
      <c r="K241" s="6"/>
    </row>
    <row r="242" spans="8:11" s="11" customFormat="1" x14ac:dyDescent="0.3">
      <c r="H242" s="39"/>
      <c r="I242" s="18"/>
      <c r="K242" s="6"/>
    </row>
    <row r="243" spans="8:11" s="11" customFormat="1" x14ac:dyDescent="0.3">
      <c r="H243" s="39"/>
      <c r="I243" s="18"/>
      <c r="K243" s="6"/>
    </row>
    <row r="244" spans="8:11" s="11" customFormat="1" x14ac:dyDescent="0.3">
      <c r="H244" s="39"/>
      <c r="I244" s="18"/>
      <c r="K244" s="6"/>
    </row>
    <row r="245" spans="8:11" s="11" customFormat="1" x14ac:dyDescent="0.3">
      <c r="H245" s="39"/>
      <c r="I245" s="18"/>
      <c r="K245" s="6"/>
    </row>
    <row r="246" spans="8:11" s="11" customFormat="1" x14ac:dyDescent="0.3">
      <c r="H246" s="39"/>
      <c r="I246" s="18"/>
      <c r="K246" s="6"/>
    </row>
    <row r="247" spans="8:11" s="11" customFormat="1" x14ac:dyDescent="0.3">
      <c r="H247" s="39"/>
      <c r="I247" s="18"/>
      <c r="K247" s="6"/>
    </row>
    <row r="248" spans="8:11" s="11" customFormat="1" x14ac:dyDescent="0.3">
      <c r="H248" s="39"/>
      <c r="I248" s="18"/>
      <c r="K248" s="6"/>
    </row>
    <row r="249" spans="8:11" s="11" customFormat="1" x14ac:dyDescent="0.3">
      <c r="H249" s="39"/>
      <c r="I249" s="18"/>
      <c r="K249" s="6"/>
    </row>
    <row r="250" spans="8:11" s="11" customFormat="1" x14ac:dyDescent="0.3">
      <c r="H250" s="39"/>
      <c r="I250" s="18"/>
      <c r="K250" s="6"/>
    </row>
    <row r="251" spans="8:11" s="11" customFormat="1" x14ac:dyDescent="0.3">
      <c r="H251" s="39"/>
      <c r="I251" s="18"/>
      <c r="K251" s="6"/>
    </row>
    <row r="252" spans="8:11" s="11" customFormat="1" x14ac:dyDescent="0.3">
      <c r="H252" s="39"/>
      <c r="I252" s="18"/>
      <c r="K252" s="6"/>
    </row>
    <row r="253" spans="8:11" s="11" customFormat="1" x14ac:dyDescent="0.3">
      <c r="H253" s="39"/>
      <c r="I253" s="18"/>
      <c r="K253" s="6"/>
    </row>
    <row r="254" spans="8:11" s="11" customFormat="1" x14ac:dyDescent="0.3">
      <c r="H254" s="39"/>
      <c r="I254" s="18"/>
      <c r="K254" s="6"/>
    </row>
    <row r="255" spans="8:11" s="11" customFormat="1" x14ac:dyDescent="0.3">
      <c r="H255" s="39"/>
      <c r="I255" s="18"/>
      <c r="K255" s="6"/>
    </row>
    <row r="256" spans="8:11" s="11" customFormat="1" x14ac:dyDescent="0.3">
      <c r="H256" s="39"/>
      <c r="I256" s="18"/>
      <c r="K256" s="6"/>
    </row>
    <row r="257" spans="8:11" s="11" customFormat="1" x14ac:dyDescent="0.3">
      <c r="H257" s="39"/>
      <c r="I257" s="18"/>
      <c r="K257" s="6"/>
    </row>
    <row r="258" spans="8:11" s="11" customFormat="1" x14ac:dyDescent="0.3">
      <c r="H258" s="39"/>
      <c r="I258" s="18"/>
      <c r="K258" s="6"/>
    </row>
    <row r="259" spans="8:11" s="11" customFormat="1" x14ac:dyDescent="0.3">
      <c r="H259" s="39"/>
      <c r="I259" s="18"/>
      <c r="K259" s="6"/>
    </row>
    <row r="260" spans="8:11" s="11" customFormat="1" x14ac:dyDescent="0.3">
      <c r="H260" s="39"/>
      <c r="I260" s="18"/>
      <c r="K260" s="6"/>
    </row>
    <row r="261" spans="8:11" s="11" customFormat="1" x14ac:dyDescent="0.3">
      <c r="H261" s="39"/>
      <c r="I261" s="18"/>
      <c r="K261" s="6"/>
    </row>
    <row r="262" spans="8:11" s="11" customFormat="1" x14ac:dyDescent="0.3">
      <c r="H262" s="39"/>
      <c r="I262" s="18"/>
      <c r="K262" s="6"/>
    </row>
    <row r="263" spans="8:11" s="11" customFormat="1" x14ac:dyDescent="0.3">
      <c r="H263" s="39"/>
      <c r="I263" s="18"/>
      <c r="K263" s="6"/>
    </row>
    <row r="264" spans="8:11" s="11" customFormat="1" x14ac:dyDescent="0.3">
      <c r="H264" s="39"/>
      <c r="I264" s="18"/>
      <c r="K264" s="6"/>
    </row>
    <row r="265" spans="8:11" s="11" customFormat="1" x14ac:dyDescent="0.3">
      <c r="H265" s="39"/>
      <c r="I265" s="18"/>
      <c r="K265" s="6"/>
    </row>
    <row r="266" spans="8:11" s="11" customFormat="1" x14ac:dyDescent="0.3">
      <c r="H266" s="39"/>
      <c r="I266" s="18"/>
      <c r="K266" s="6"/>
    </row>
    <row r="267" spans="8:11" s="11" customFormat="1" x14ac:dyDescent="0.3">
      <c r="H267" s="39"/>
      <c r="I267" s="18"/>
      <c r="K267" s="6"/>
    </row>
    <row r="268" spans="8:11" s="11" customFormat="1" x14ac:dyDescent="0.3">
      <c r="H268" s="39"/>
      <c r="I268" s="18"/>
      <c r="K268" s="6"/>
    </row>
    <row r="269" spans="8:11" s="11" customFormat="1" x14ac:dyDescent="0.3">
      <c r="H269" s="39"/>
      <c r="I269" s="18"/>
      <c r="K269" s="6"/>
    </row>
    <row r="270" spans="8:11" s="11" customFormat="1" x14ac:dyDescent="0.3">
      <c r="H270" s="39"/>
      <c r="I270" s="18"/>
      <c r="K270" s="6"/>
    </row>
    <row r="271" spans="8:11" s="11" customFormat="1" x14ac:dyDescent="0.3">
      <c r="H271" s="39"/>
      <c r="I271" s="18"/>
      <c r="K271" s="6"/>
    </row>
    <row r="272" spans="8:11" s="11" customFormat="1" x14ac:dyDescent="0.3">
      <c r="H272" s="39"/>
      <c r="I272" s="18"/>
      <c r="K272" s="6"/>
    </row>
    <row r="273" spans="8:11" s="11" customFormat="1" x14ac:dyDescent="0.3">
      <c r="H273" s="39"/>
      <c r="I273" s="18"/>
      <c r="K273" s="6"/>
    </row>
    <row r="274" spans="8:11" s="11" customFormat="1" x14ac:dyDescent="0.3">
      <c r="H274" s="39"/>
      <c r="I274" s="18"/>
      <c r="K274" s="6"/>
    </row>
    <row r="275" spans="8:11" s="11" customFormat="1" x14ac:dyDescent="0.3">
      <c r="H275" s="39"/>
      <c r="I275" s="18"/>
      <c r="K275" s="6"/>
    </row>
    <row r="276" spans="8:11" s="11" customFormat="1" x14ac:dyDescent="0.3">
      <c r="H276" s="39"/>
      <c r="I276" s="18"/>
      <c r="K276" s="6"/>
    </row>
    <row r="277" spans="8:11" s="11" customFormat="1" x14ac:dyDescent="0.3">
      <c r="H277" s="39"/>
      <c r="I277" s="18"/>
      <c r="K277" s="6"/>
    </row>
    <row r="278" spans="8:11" s="11" customFormat="1" x14ac:dyDescent="0.3">
      <c r="H278" s="39"/>
      <c r="I278" s="18"/>
      <c r="K278" s="6"/>
    </row>
    <row r="279" spans="8:11" s="11" customFormat="1" x14ac:dyDescent="0.3">
      <c r="H279" s="39"/>
      <c r="I279" s="18"/>
      <c r="K279" s="6"/>
    </row>
    <row r="280" spans="8:11" s="11" customFormat="1" x14ac:dyDescent="0.3">
      <c r="H280" s="39"/>
      <c r="I280" s="18"/>
      <c r="K280" s="6"/>
    </row>
    <row r="281" spans="8:11" s="11" customFormat="1" x14ac:dyDescent="0.3">
      <c r="H281" s="39"/>
      <c r="I281" s="18"/>
      <c r="K281" s="6"/>
    </row>
    <row r="282" spans="8:11" s="11" customFormat="1" x14ac:dyDescent="0.3">
      <c r="H282" s="39"/>
      <c r="I282" s="18"/>
      <c r="K282" s="6"/>
    </row>
    <row r="283" spans="8:11" s="11" customFormat="1" x14ac:dyDescent="0.3">
      <c r="H283" s="39"/>
      <c r="I283" s="18"/>
      <c r="K283" s="6"/>
    </row>
    <row r="284" spans="8:11" s="11" customFormat="1" x14ac:dyDescent="0.3">
      <c r="H284" s="39"/>
      <c r="I284" s="18"/>
      <c r="K284" s="6"/>
    </row>
    <row r="285" spans="8:11" s="11" customFormat="1" x14ac:dyDescent="0.3">
      <c r="H285" s="39"/>
      <c r="I285" s="18"/>
      <c r="K285" s="6"/>
    </row>
    <row r="286" spans="8:11" s="11" customFormat="1" x14ac:dyDescent="0.3">
      <c r="H286" s="39"/>
      <c r="I286" s="18"/>
      <c r="K286" s="6"/>
    </row>
    <row r="287" spans="8:11" s="11" customFormat="1" x14ac:dyDescent="0.3">
      <c r="H287" s="39"/>
      <c r="I287" s="18"/>
      <c r="K287" s="6"/>
    </row>
    <row r="288" spans="8:11" s="11" customFormat="1" x14ac:dyDescent="0.3">
      <c r="H288" s="39"/>
      <c r="I288" s="18"/>
      <c r="K288" s="6"/>
    </row>
    <row r="289" spans="8:11" s="11" customFormat="1" x14ac:dyDescent="0.3">
      <c r="H289" s="39"/>
      <c r="I289" s="18"/>
      <c r="K289" s="6"/>
    </row>
    <row r="290" spans="8:11" s="11" customFormat="1" x14ac:dyDescent="0.3">
      <c r="H290" s="39"/>
      <c r="I290" s="18"/>
      <c r="K290" s="6"/>
    </row>
    <row r="291" spans="8:11" s="11" customFormat="1" x14ac:dyDescent="0.3">
      <c r="H291" s="39"/>
      <c r="I291" s="18"/>
      <c r="K291" s="6"/>
    </row>
    <row r="292" spans="8:11" s="11" customFormat="1" x14ac:dyDescent="0.3">
      <c r="H292" s="39"/>
      <c r="I292" s="18"/>
      <c r="K292" s="6"/>
    </row>
    <row r="293" spans="8:11" s="11" customFormat="1" x14ac:dyDescent="0.3">
      <c r="H293" s="39"/>
      <c r="I293" s="18"/>
      <c r="K293" s="6"/>
    </row>
    <row r="294" spans="8:11" s="11" customFormat="1" x14ac:dyDescent="0.3">
      <c r="H294" s="39"/>
      <c r="I294" s="18"/>
      <c r="K294" s="6"/>
    </row>
    <row r="295" spans="8:11" s="11" customFormat="1" x14ac:dyDescent="0.3">
      <c r="H295" s="39"/>
      <c r="I295" s="18"/>
      <c r="K295" s="6"/>
    </row>
    <row r="296" spans="8:11" s="11" customFormat="1" x14ac:dyDescent="0.3">
      <c r="H296" s="39"/>
      <c r="I296" s="18"/>
      <c r="K296" s="6"/>
    </row>
    <row r="297" spans="8:11" s="11" customFormat="1" x14ac:dyDescent="0.3">
      <c r="H297" s="39"/>
      <c r="I297" s="18"/>
      <c r="K297" s="6"/>
    </row>
    <row r="298" spans="8:11" s="11" customFormat="1" x14ac:dyDescent="0.3">
      <c r="H298" s="39"/>
      <c r="I298" s="18"/>
      <c r="K298" s="6"/>
    </row>
    <row r="299" spans="8:11" s="11" customFormat="1" x14ac:dyDescent="0.3">
      <c r="H299" s="39"/>
      <c r="I299" s="18"/>
      <c r="K299" s="6"/>
    </row>
    <row r="300" spans="8:11" s="11" customFormat="1" x14ac:dyDescent="0.3">
      <c r="H300" s="39"/>
      <c r="I300" s="18"/>
      <c r="K300" s="6"/>
    </row>
    <row r="301" spans="8:11" s="11" customFormat="1" x14ac:dyDescent="0.3">
      <c r="H301" s="39"/>
      <c r="I301" s="18"/>
      <c r="K301" s="6"/>
    </row>
    <row r="302" spans="8:11" s="11" customFormat="1" x14ac:dyDescent="0.3">
      <c r="H302" s="39"/>
      <c r="I302" s="18"/>
      <c r="K302" s="6"/>
    </row>
    <row r="303" spans="8:11" s="11" customFormat="1" x14ac:dyDescent="0.3">
      <c r="H303" s="39"/>
      <c r="I303" s="18"/>
      <c r="K303" s="6"/>
    </row>
    <row r="304" spans="8:11" s="11" customFormat="1" x14ac:dyDescent="0.3">
      <c r="H304" s="39"/>
      <c r="I304" s="18"/>
      <c r="K304" s="6"/>
    </row>
    <row r="305" spans="8:11" s="11" customFormat="1" x14ac:dyDescent="0.3">
      <c r="H305" s="39"/>
      <c r="I305" s="18"/>
      <c r="K305" s="6"/>
    </row>
    <row r="306" spans="8:11" s="11" customFormat="1" x14ac:dyDescent="0.3">
      <c r="H306" s="39"/>
      <c r="I306" s="18"/>
      <c r="K306" s="6"/>
    </row>
    <row r="307" spans="8:11" s="11" customFormat="1" x14ac:dyDescent="0.3">
      <c r="H307" s="39"/>
      <c r="I307" s="18"/>
      <c r="K307" s="6"/>
    </row>
    <row r="308" spans="8:11" s="11" customFormat="1" x14ac:dyDescent="0.3">
      <c r="H308" s="39"/>
      <c r="I308" s="18"/>
      <c r="K308" s="6"/>
    </row>
    <row r="309" spans="8:11" s="11" customFormat="1" x14ac:dyDescent="0.3">
      <c r="H309" s="39"/>
      <c r="I309" s="18"/>
      <c r="K309" s="6"/>
    </row>
    <row r="310" spans="8:11" s="11" customFormat="1" x14ac:dyDescent="0.3">
      <c r="H310" s="39"/>
      <c r="I310" s="18"/>
      <c r="K310" s="6"/>
    </row>
    <row r="311" spans="8:11" s="11" customFormat="1" x14ac:dyDescent="0.3">
      <c r="H311" s="39"/>
      <c r="I311" s="18"/>
      <c r="K311" s="6"/>
    </row>
    <row r="312" spans="8:11" s="11" customFormat="1" x14ac:dyDescent="0.3">
      <c r="H312" s="39"/>
      <c r="I312" s="18"/>
      <c r="K312" s="6"/>
    </row>
    <row r="313" spans="8:11" s="11" customFormat="1" x14ac:dyDescent="0.3">
      <c r="H313" s="39"/>
      <c r="I313" s="18"/>
      <c r="K313" s="6"/>
    </row>
    <row r="314" spans="8:11" s="11" customFormat="1" x14ac:dyDescent="0.3">
      <c r="H314" s="39"/>
      <c r="I314" s="18"/>
      <c r="K314" s="6"/>
    </row>
    <row r="315" spans="8:11" s="11" customFormat="1" x14ac:dyDescent="0.3">
      <c r="H315" s="39"/>
      <c r="I315" s="18"/>
      <c r="K315" s="6"/>
    </row>
    <row r="316" spans="8:11" s="11" customFormat="1" x14ac:dyDescent="0.3">
      <c r="H316" s="39"/>
      <c r="I316" s="18"/>
      <c r="K316" s="6"/>
    </row>
    <row r="317" spans="8:11" s="11" customFormat="1" x14ac:dyDescent="0.3">
      <c r="H317" s="39"/>
      <c r="I317" s="18"/>
      <c r="K317" s="6"/>
    </row>
    <row r="318" spans="8:11" s="11" customFormat="1" x14ac:dyDescent="0.3">
      <c r="H318" s="39"/>
      <c r="I318" s="18"/>
      <c r="K318" s="6"/>
    </row>
    <row r="319" spans="8:11" s="11" customFormat="1" x14ac:dyDescent="0.3">
      <c r="H319" s="39"/>
      <c r="I319" s="18"/>
      <c r="K319" s="6"/>
    </row>
    <row r="320" spans="8:11" s="11" customFormat="1" x14ac:dyDescent="0.3">
      <c r="H320" s="39"/>
      <c r="I320" s="18"/>
      <c r="K320" s="6"/>
    </row>
    <row r="321" spans="8:11" s="11" customFormat="1" x14ac:dyDescent="0.3">
      <c r="H321" s="39"/>
      <c r="I321" s="18"/>
      <c r="K321" s="6"/>
    </row>
    <row r="322" spans="8:11" s="11" customFormat="1" x14ac:dyDescent="0.3">
      <c r="H322" s="39"/>
      <c r="I322" s="18"/>
      <c r="K322" s="6"/>
    </row>
    <row r="323" spans="8:11" s="11" customFormat="1" x14ac:dyDescent="0.3">
      <c r="H323" s="39"/>
      <c r="I323" s="18"/>
      <c r="K323" s="6"/>
    </row>
    <row r="324" spans="8:11" s="11" customFormat="1" x14ac:dyDescent="0.3">
      <c r="H324" s="39"/>
      <c r="I324" s="18"/>
      <c r="K324" s="6"/>
    </row>
    <row r="325" spans="8:11" s="11" customFormat="1" x14ac:dyDescent="0.3">
      <c r="H325" s="39"/>
      <c r="I325" s="18"/>
      <c r="K325" s="6"/>
    </row>
    <row r="326" spans="8:11" s="11" customFormat="1" x14ac:dyDescent="0.3">
      <c r="H326" s="39"/>
      <c r="I326" s="18"/>
      <c r="K326" s="6"/>
    </row>
    <row r="327" spans="8:11" s="11" customFormat="1" x14ac:dyDescent="0.3">
      <c r="H327" s="39"/>
      <c r="I327" s="18"/>
      <c r="K327" s="6"/>
    </row>
    <row r="328" spans="8:11" s="11" customFormat="1" x14ac:dyDescent="0.3">
      <c r="H328" s="39"/>
      <c r="I328" s="18"/>
      <c r="K328" s="6"/>
    </row>
    <row r="329" spans="8:11" s="11" customFormat="1" x14ac:dyDescent="0.3">
      <c r="H329" s="39"/>
      <c r="I329" s="18"/>
      <c r="K329" s="6"/>
    </row>
    <row r="330" spans="8:11" s="11" customFormat="1" x14ac:dyDescent="0.3">
      <c r="H330" s="39"/>
      <c r="I330" s="18"/>
      <c r="K330" s="6"/>
    </row>
    <row r="331" spans="8:11" s="11" customFormat="1" x14ac:dyDescent="0.3">
      <c r="H331" s="39"/>
      <c r="I331" s="18"/>
      <c r="K331" s="6"/>
    </row>
    <row r="332" spans="8:11" s="11" customFormat="1" x14ac:dyDescent="0.3">
      <c r="H332" s="39"/>
      <c r="I332" s="18"/>
      <c r="K332" s="6"/>
    </row>
    <row r="333" spans="8:11" s="11" customFormat="1" x14ac:dyDescent="0.3">
      <c r="H333" s="39"/>
      <c r="I333" s="18"/>
      <c r="K333" s="6"/>
    </row>
    <row r="334" spans="8:11" s="11" customFormat="1" x14ac:dyDescent="0.3">
      <c r="H334" s="39"/>
      <c r="I334" s="18"/>
      <c r="K334" s="6"/>
    </row>
    <row r="335" spans="8:11" s="11" customFormat="1" x14ac:dyDescent="0.3">
      <c r="H335" s="39"/>
      <c r="I335" s="18"/>
      <c r="K335" s="6"/>
    </row>
    <row r="336" spans="8:11" s="11" customFormat="1" x14ac:dyDescent="0.3">
      <c r="H336" s="39"/>
      <c r="I336" s="18"/>
      <c r="K336" s="6"/>
    </row>
    <row r="337" spans="8:11" s="11" customFormat="1" x14ac:dyDescent="0.3">
      <c r="H337" s="39"/>
      <c r="I337" s="18"/>
      <c r="K337" s="6"/>
    </row>
    <row r="338" spans="8:11" s="11" customFormat="1" x14ac:dyDescent="0.3">
      <c r="H338" s="39"/>
      <c r="I338" s="18"/>
      <c r="K338" s="6"/>
    </row>
    <row r="339" spans="8:11" s="11" customFormat="1" x14ac:dyDescent="0.3">
      <c r="H339" s="39"/>
      <c r="I339" s="18"/>
      <c r="K339" s="6"/>
    </row>
    <row r="340" spans="8:11" s="11" customFormat="1" x14ac:dyDescent="0.3">
      <c r="H340" s="39"/>
      <c r="I340" s="18"/>
      <c r="K340" s="6"/>
    </row>
    <row r="341" spans="8:11" s="11" customFormat="1" x14ac:dyDescent="0.3">
      <c r="H341" s="39"/>
      <c r="I341" s="18"/>
      <c r="K341" s="6"/>
    </row>
    <row r="342" spans="8:11" s="11" customFormat="1" x14ac:dyDescent="0.3">
      <c r="H342" s="39"/>
      <c r="I342" s="18"/>
      <c r="K342" s="6"/>
    </row>
  </sheetData>
  <mergeCells count="4">
    <mergeCell ref="A1:F1"/>
    <mergeCell ref="L1:Q1"/>
    <mergeCell ref="O10:P10"/>
    <mergeCell ref="L11:M11"/>
  </mergeCells>
  <pageMargins left="0.25" right="0.25" top="0.75" bottom="0.75" header="0.3" footer="0.3"/>
  <pageSetup paperSize="9" scale="71" fitToHeight="0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17BE-EBFA-4F80-943E-9702739B4537}">
  <sheetPr>
    <pageSetUpPr fitToPage="1"/>
  </sheetPr>
  <dimension ref="A1:S352"/>
  <sheetViews>
    <sheetView rightToLeft="1" topLeftCell="A78" zoomScale="115" zoomScaleNormal="115" workbookViewId="0">
      <selection activeCell="I91" sqref="I91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7.88671875" style="2" bestFit="1" customWidth="1"/>
    <col min="4" max="4" width="9.109375" style="2" bestFit="1" customWidth="1"/>
    <col min="5" max="5" width="5.109375" style="2" bestFit="1" customWidth="1"/>
    <col min="6" max="6" width="10.44140625" style="2" bestFit="1" customWidth="1"/>
    <col min="7" max="7" width="2.44140625" style="2" customWidth="1"/>
    <col min="8" max="8" width="7.5546875" style="2" bestFit="1" customWidth="1"/>
    <col min="9" max="9" width="14.109375" style="39" bestFit="1" customWidth="1"/>
    <col min="10" max="10" width="12.109375" style="7" bestFit="1" customWidth="1"/>
    <col min="11" max="11" width="8.5546875" style="11" bestFit="1" customWidth="1"/>
    <col min="12" max="12" width="8.5546875" style="11" customWidth="1"/>
    <col min="13" max="13" width="5.21875" style="6" customWidth="1"/>
    <col min="14" max="14" width="9.44140625" style="2" bestFit="1" customWidth="1"/>
    <col min="15" max="15" width="5.109375" style="2" bestFit="1" customWidth="1"/>
    <col min="16" max="16" width="8.5546875" style="2" bestFit="1" customWidth="1"/>
    <col min="17" max="17" width="9.109375" style="2" bestFit="1" customWidth="1"/>
    <col min="18" max="18" width="5.109375" style="2" bestFit="1" customWidth="1"/>
    <col min="19" max="19" width="11.109375" style="2" bestFit="1" customWidth="1"/>
    <col min="20" max="16384" width="8.88671875" style="2"/>
  </cols>
  <sheetData>
    <row r="1" spans="1:19" x14ac:dyDescent="0.3">
      <c r="I1" s="39" t="s">
        <v>38</v>
      </c>
      <c r="J1" s="7">
        <f>SUM(J3:J11)</f>
        <v>340</v>
      </c>
      <c r="K1" s="7">
        <f>SUM(K3:K11)</f>
        <v>200</v>
      </c>
      <c r="L1" s="7">
        <f>SUM(L3:L11)</f>
        <v>203.77777777777777</v>
      </c>
    </row>
    <row r="2" spans="1:19" x14ac:dyDescent="0.3">
      <c r="H2" s="2" t="s">
        <v>426</v>
      </c>
      <c r="I2" s="40" t="s">
        <v>6</v>
      </c>
      <c r="J2" s="3" t="s">
        <v>5</v>
      </c>
      <c r="K2" s="12" t="s">
        <v>4</v>
      </c>
      <c r="L2" s="12" t="s">
        <v>415</v>
      </c>
    </row>
    <row r="3" spans="1:19" x14ac:dyDescent="0.3">
      <c r="H3" s="5" t="s">
        <v>434</v>
      </c>
      <c r="I3" s="41"/>
      <c r="J3" s="20">
        <v>400</v>
      </c>
      <c r="L3" s="44">
        <f t="shared" ref="L3:L11" si="0">K3+(J3/90)</f>
        <v>4.4444444444444446</v>
      </c>
    </row>
    <row r="4" spans="1:19" x14ac:dyDescent="0.3">
      <c r="H4" s="5" t="s">
        <v>434</v>
      </c>
      <c r="I4" s="41"/>
      <c r="J4" s="20">
        <v>300</v>
      </c>
      <c r="L4" s="44">
        <f t="shared" si="0"/>
        <v>3.3333333333333335</v>
      </c>
    </row>
    <row r="5" spans="1:19" x14ac:dyDescent="0.3">
      <c r="H5" s="5" t="s">
        <v>434</v>
      </c>
      <c r="I5" s="41"/>
      <c r="J5" s="20">
        <v>-360</v>
      </c>
      <c r="K5" s="11">
        <v>200</v>
      </c>
      <c r="L5" s="44">
        <f t="shared" si="0"/>
        <v>196</v>
      </c>
    </row>
    <row r="6" spans="1:19" x14ac:dyDescent="0.3">
      <c r="H6" s="5" t="s">
        <v>434</v>
      </c>
      <c r="I6" s="41"/>
      <c r="J6" s="20"/>
      <c r="L6" s="44">
        <f t="shared" si="0"/>
        <v>0</v>
      </c>
    </row>
    <row r="7" spans="1:19" x14ac:dyDescent="0.3">
      <c r="H7" s="5" t="s">
        <v>434</v>
      </c>
      <c r="I7" s="42"/>
      <c r="J7" s="20"/>
      <c r="L7" s="44">
        <f t="shared" si="0"/>
        <v>0</v>
      </c>
    </row>
    <row r="8" spans="1:19" x14ac:dyDescent="0.3">
      <c r="H8" s="5"/>
      <c r="I8" s="41"/>
      <c r="J8" s="20"/>
      <c r="L8" s="44">
        <f t="shared" si="0"/>
        <v>0</v>
      </c>
    </row>
    <row r="9" spans="1:19" x14ac:dyDescent="0.3">
      <c r="I9" s="41"/>
      <c r="J9" s="20"/>
      <c r="L9" s="44">
        <f t="shared" si="0"/>
        <v>0</v>
      </c>
    </row>
    <row r="10" spans="1:19" x14ac:dyDescent="0.3">
      <c r="I10" s="41"/>
      <c r="J10" s="20"/>
      <c r="L10" s="44">
        <f t="shared" si="0"/>
        <v>0</v>
      </c>
    </row>
    <row r="11" spans="1:19" x14ac:dyDescent="0.3">
      <c r="A11" s="65" t="s">
        <v>29</v>
      </c>
      <c r="B11" s="65"/>
      <c r="C11" s="65"/>
      <c r="D11" s="65"/>
      <c r="E11" s="65"/>
      <c r="F11" s="65"/>
      <c r="I11" s="41"/>
      <c r="J11" s="20"/>
      <c r="L11" s="44">
        <f t="shared" si="0"/>
        <v>0</v>
      </c>
      <c r="N11" s="65" t="s">
        <v>33</v>
      </c>
      <c r="O11" s="65"/>
      <c r="P11" s="65"/>
      <c r="Q11" s="65"/>
      <c r="R11" s="65"/>
      <c r="S11" s="65"/>
    </row>
    <row r="12" spans="1:19" x14ac:dyDescent="0.3">
      <c r="A12" s="1" t="s">
        <v>2</v>
      </c>
      <c r="B12" s="1" t="s">
        <v>0</v>
      </c>
      <c r="C12" s="1" t="s">
        <v>1</v>
      </c>
      <c r="D12" s="1" t="s">
        <v>3</v>
      </c>
      <c r="E12" s="1" t="s">
        <v>0</v>
      </c>
      <c r="F12" s="1" t="s">
        <v>1</v>
      </c>
      <c r="I12" s="40" t="s">
        <v>6</v>
      </c>
      <c r="J12" s="3" t="s">
        <v>5</v>
      </c>
      <c r="K12" s="12" t="s">
        <v>4</v>
      </c>
      <c r="L12" s="12" t="s">
        <v>415</v>
      </c>
      <c r="M12" s="4"/>
      <c r="N12" s="1" t="s">
        <v>2</v>
      </c>
      <c r="O12" s="1" t="s">
        <v>0</v>
      </c>
      <c r="P12" s="1" t="s">
        <v>1</v>
      </c>
      <c r="Q12" s="1" t="s">
        <v>3</v>
      </c>
      <c r="R12" s="1" t="s">
        <v>0</v>
      </c>
      <c r="S12" s="1" t="s">
        <v>1</v>
      </c>
    </row>
    <row r="13" spans="1:19" x14ac:dyDescent="0.3">
      <c r="A13" s="15">
        <v>1</v>
      </c>
      <c r="B13" s="2">
        <v>1</v>
      </c>
      <c r="C13" s="21">
        <f>A13*B13</f>
        <v>1</v>
      </c>
      <c r="D13" s="17">
        <v>5</v>
      </c>
      <c r="E13" s="2">
        <v>44</v>
      </c>
      <c r="F13" s="23">
        <f>D13*E13</f>
        <v>220</v>
      </c>
      <c r="G13" s="5"/>
      <c r="H13" s="5" t="s">
        <v>434</v>
      </c>
      <c r="I13" s="41" t="s">
        <v>386</v>
      </c>
      <c r="J13" s="20">
        <v>140</v>
      </c>
      <c r="L13" s="44">
        <f>Table1345678101112131415161718192021222324[[#This Row],[الدولار]]+(Table1345678101112131415161718192021222324[[#This Row],[اللبناني]]/90)</f>
        <v>1.5555555555555556</v>
      </c>
      <c r="N13" s="15">
        <v>1</v>
      </c>
      <c r="P13" s="21">
        <f>N13*O13</f>
        <v>0</v>
      </c>
      <c r="Q13" s="17">
        <v>5</v>
      </c>
      <c r="R13" s="2">
        <v>48</v>
      </c>
      <c r="S13" s="23">
        <f>Q13*R13</f>
        <v>240</v>
      </c>
    </row>
    <row r="14" spans="1:19" x14ac:dyDescent="0.3">
      <c r="A14" s="15">
        <v>5</v>
      </c>
      <c r="B14" s="2">
        <v>6</v>
      </c>
      <c r="C14" s="21">
        <f t="shared" ref="C14:C18" si="1">A14*B14</f>
        <v>30</v>
      </c>
      <c r="D14" s="17">
        <v>10</v>
      </c>
      <c r="E14" s="2">
        <v>28</v>
      </c>
      <c r="F14" s="23">
        <f t="shared" ref="F14:F17" si="2">D14*E14</f>
        <v>280</v>
      </c>
      <c r="G14" s="5"/>
      <c r="H14" s="5" t="s">
        <v>434</v>
      </c>
      <c r="I14" s="41" t="s">
        <v>387</v>
      </c>
      <c r="J14" s="20"/>
      <c r="K14" s="11">
        <v>10</v>
      </c>
      <c r="L14" s="44">
        <f>Table1345678101112131415161718192021222324[[#This Row],[الدولار]]+(Table1345678101112131415161718192021222324[[#This Row],[اللبناني]]/90)</f>
        <v>10</v>
      </c>
      <c r="N14" s="15">
        <v>5</v>
      </c>
      <c r="O14" s="2">
        <v>5</v>
      </c>
      <c r="P14" s="21">
        <f t="shared" ref="P14:P18" si="3">N14*O14</f>
        <v>25</v>
      </c>
      <c r="Q14" s="17">
        <v>10</v>
      </c>
      <c r="R14" s="2">
        <v>32</v>
      </c>
      <c r="S14" s="23">
        <f t="shared" ref="S14:S17" si="4">Q14*R14</f>
        <v>320</v>
      </c>
    </row>
    <row r="15" spans="1:19" x14ac:dyDescent="0.3">
      <c r="A15" s="15">
        <v>10</v>
      </c>
      <c r="B15" s="2">
        <v>59</v>
      </c>
      <c r="C15" s="21">
        <f t="shared" si="1"/>
        <v>590</v>
      </c>
      <c r="D15" s="17">
        <v>20</v>
      </c>
      <c r="E15" s="2">
        <v>14</v>
      </c>
      <c r="F15" s="23">
        <f t="shared" si="2"/>
        <v>280</v>
      </c>
      <c r="G15" s="5"/>
      <c r="H15" s="5" t="s">
        <v>434</v>
      </c>
      <c r="I15" s="41" t="s">
        <v>28</v>
      </c>
      <c r="J15" s="20">
        <v>-10</v>
      </c>
      <c r="L15" s="11">
        <f>Table1345678101112131415161718192021222324[[#This Row],[الدولار]]+(Table1345678101112131415161718192021222324[[#This Row],[اللبناني]]/90)</f>
        <v>-0.1111111111111111</v>
      </c>
      <c r="N15" s="15">
        <v>10</v>
      </c>
      <c r="O15" s="2">
        <v>61</v>
      </c>
      <c r="P15" s="21">
        <f t="shared" si="3"/>
        <v>610</v>
      </c>
      <c r="Q15" s="17">
        <v>20</v>
      </c>
      <c r="R15" s="2">
        <v>13</v>
      </c>
      <c r="S15" s="23">
        <f t="shared" si="4"/>
        <v>260</v>
      </c>
    </row>
    <row r="16" spans="1:19" x14ac:dyDescent="0.3">
      <c r="A16" s="15">
        <v>20</v>
      </c>
      <c r="B16" s="2">
        <v>5</v>
      </c>
      <c r="C16" s="21">
        <f t="shared" si="1"/>
        <v>100</v>
      </c>
      <c r="D16" s="17">
        <v>50</v>
      </c>
      <c r="F16" s="23">
        <f t="shared" si="2"/>
        <v>0</v>
      </c>
      <c r="G16" s="5"/>
      <c r="H16" s="5" t="s">
        <v>434</v>
      </c>
      <c r="I16" s="41" t="s">
        <v>49</v>
      </c>
      <c r="J16" s="20">
        <v>1080</v>
      </c>
      <c r="L16" s="11">
        <f>Table1345678101112131415161718192021222324[[#This Row],[الدولار]]+(Table1345678101112131415161718192021222324[[#This Row],[اللبناني]]/90)</f>
        <v>12</v>
      </c>
      <c r="N16" s="15">
        <v>20</v>
      </c>
      <c r="O16" s="2">
        <v>5</v>
      </c>
      <c r="P16" s="21">
        <f t="shared" si="3"/>
        <v>100</v>
      </c>
      <c r="Q16" s="17">
        <v>50</v>
      </c>
      <c r="S16" s="23">
        <f t="shared" si="4"/>
        <v>0</v>
      </c>
    </row>
    <row r="17" spans="1:19" x14ac:dyDescent="0.3">
      <c r="A17" s="15">
        <v>50</v>
      </c>
      <c r="C17" s="21">
        <f t="shared" si="1"/>
        <v>0</v>
      </c>
      <c r="D17" s="17">
        <v>100</v>
      </c>
      <c r="E17" s="2">
        <v>55</v>
      </c>
      <c r="F17" s="23">
        <f t="shared" si="2"/>
        <v>5500</v>
      </c>
      <c r="G17" s="5"/>
      <c r="H17" s="5" t="s">
        <v>434</v>
      </c>
      <c r="I17" s="42" t="s">
        <v>87</v>
      </c>
      <c r="J17" s="20">
        <v>-360</v>
      </c>
      <c r="K17" s="11">
        <v>85</v>
      </c>
      <c r="L17" s="11">
        <f>Table1345678101112131415161718192021222324[[#This Row],[الدولار]]+(Table1345678101112131415161718192021222324[[#This Row],[اللبناني]]/90)</f>
        <v>81</v>
      </c>
      <c r="N17" s="15">
        <v>50</v>
      </c>
      <c r="O17" s="2">
        <v>2</v>
      </c>
      <c r="P17" s="21">
        <f t="shared" si="3"/>
        <v>100</v>
      </c>
      <c r="Q17" s="17">
        <v>100</v>
      </c>
      <c r="R17" s="2">
        <v>37</v>
      </c>
      <c r="S17" s="23">
        <f t="shared" si="4"/>
        <v>3700</v>
      </c>
    </row>
    <row r="18" spans="1:19" x14ac:dyDescent="0.3">
      <c r="A18" s="15">
        <v>100</v>
      </c>
      <c r="B18" s="2">
        <v>3</v>
      </c>
      <c r="C18" s="21">
        <f t="shared" si="1"/>
        <v>300</v>
      </c>
      <c r="D18" s="1" t="s">
        <v>1</v>
      </c>
      <c r="E18" s="1"/>
      <c r="F18" s="19">
        <f>SUM(F13:F17)</f>
        <v>6280</v>
      </c>
      <c r="G18" s="5"/>
      <c r="H18" s="5" t="s">
        <v>434</v>
      </c>
      <c r="I18" s="41" t="s">
        <v>388</v>
      </c>
      <c r="J18" s="20">
        <v>-50</v>
      </c>
      <c r="L18" s="11">
        <f>Table1345678101112131415161718192021222324[[#This Row],[الدولار]]+(Table1345678101112131415161718192021222324[[#This Row],[اللبناني]]/90)</f>
        <v>-0.55555555555555558</v>
      </c>
      <c r="N18" s="15">
        <v>100</v>
      </c>
      <c r="O18" s="2">
        <v>4</v>
      </c>
      <c r="P18" s="21">
        <f t="shared" si="3"/>
        <v>400</v>
      </c>
      <c r="Q18" s="1" t="s">
        <v>1</v>
      </c>
      <c r="R18" s="1"/>
      <c r="S18" s="19">
        <f>SUM(S13:S17)</f>
        <v>4520</v>
      </c>
    </row>
    <row r="19" spans="1:19" x14ac:dyDescent="0.3">
      <c r="A19" s="1" t="s">
        <v>1</v>
      </c>
      <c r="B19" s="1"/>
      <c r="C19" s="22">
        <f>SUM(C13:C18)</f>
        <v>1021</v>
      </c>
      <c r="H19" s="2" t="s">
        <v>434</v>
      </c>
      <c r="I19" s="41" t="s">
        <v>389</v>
      </c>
      <c r="J19" s="20">
        <v>200</v>
      </c>
      <c r="L19" s="11">
        <f>Table1345678101112131415161718192021222324[[#This Row],[الدولار]]+(Table1345678101112131415161718192021222324[[#This Row],[اللبناني]]/90)</f>
        <v>2.2222222222222223</v>
      </c>
      <c r="N19" s="1" t="s">
        <v>1</v>
      </c>
      <c r="O19" s="1"/>
      <c r="P19" s="22">
        <f>SUM(P13:P18)</f>
        <v>1235</v>
      </c>
      <c r="S19" s="20"/>
    </row>
    <row r="20" spans="1:19" x14ac:dyDescent="0.3">
      <c r="H20" s="2" t="s">
        <v>434</v>
      </c>
      <c r="I20" s="41" t="s">
        <v>390</v>
      </c>
      <c r="J20" s="20">
        <v>100</v>
      </c>
      <c r="K20" s="11">
        <v>20</v>
      </c>
      <c r="L20" s="11">
        <f>Table1345678101112131415161718192021222324[[#This Row],[الدولار]]+(Table1345678101112131415161718192021222324[[#This Row],[اللبناني]]/90)</f>
        <v>21.111111111111111</v>
      </c>
      <c r="P20" s="27"/>
      <c r="Q20" s="66" t="s">
        <v>40</v>
      </c>
      <c r="R20" s="66"/>
      <c r="S20" s="24">
        <f>SUM(Table1345678101112131415161718192021222324[اللبناني])</f>
        <v>-3760</v>
      </c>
    </row>
    <row r="21" spans="1:19" x14ac:dyDescent="0.3">
      <c r="H21" s="2" t="s">
        <v>434</v>
      </c>
      <c r="I21" s="41" t="s">
        <v>391</v>
      </c>
      <c r="J21" s="20">
        <v>200</v>
      </c>
      <c r="L21" s="11">
        <f>Table1345678101112131415161718192021222324[[#This Row],[الدولار]]+(Table1345678101112131415161718192021222324[[#This Row],[اللبناني]]/90)</f>
        <v>2.2222222222222223</v>
      </c>
      <c r="N21" s="66" t="s">
        <v>39</v>
      </c>
      <c r="O21" s="66"/>
      <c r="P21" s="12">
        <f>SUM(Table1345678101112131415161718192021222324[الدولار])</f>
        <v>-370</v>
      </c>
      <c r="S21" s="20"/>
    </row>
    <row r="22" spans="1:19" x14ac:dyDescent="0.3">
      <c r="H22" s="2" t="s">
        <v>434</v>
      </c>
      <c r="I22" s="41" t="s">
        <v>392</v>
      </c>
      <c r="J22" s="20"/>
      <c r="K22" s="11">
        <v>25</v>
      </c>
      <c r="L22" s="11">
        <f>Table1345678101112131415161718192021222324[[#This Row],[الدولار]]+(Table1345678101112131415161718192021222324[[#This Row],[اللبناني]]/90)</f>
        <v>25</v>
      </c>
      <c r="P22" s="27"/>
      <c r="Q22" s="1" t="s">
        <v>27</v>
      </c>
      <c r="R22" s="1"/>
      <c r="S22" s="24">
        <f>S18-S20-F18</f>
        <v>2000</v>
      </c>
    </row>
    <row r="23" spans="1:19" x14ac:dyDescent="0.3">
      <c r="C23" s="14"/>
      <c r="D23" s="14"/>
      <c r="F23" s="14"/>
      <c r="H23" s="2" t="s">
        <v>434</v>
      </c>
      <c r="I23" s="41" t="s">
        <v>339</v>
      </c>
      <c r="J23" s="20">
        <v>-350</v>
      </c>
      <c r="K23" s="11">
        <v>5</v>
      </c>
      <c r="L23" s="11">
        <f>Table1345678101112131415161718192021222324[[#This Row],[الدولار]]+(Table1345678101112131415161718192021222324[[#This Row],[اللبناني]]/90)</f>
        <v>1.1111111111111112</v>
      </c>
      <c r="N23" s="1" t="s">
        <v>27</v>
      </c>
      <c r="O23" s="1"/>
      <c r="P23" s="12">
        <f>P19-P21-C19</f>
        <v>584</v>
      </c>
    </row>
    <row r="24" spans="1:19" x14ac:dyDescent="0.3">
      <c r="C24" s="14"/>
      <c r="D24" s="14"/>
      <c r="F24" s="14"/>
      <c r="H24" s="2" t="s">
        <v>434</v>
      </c>
      <c r="I24" s="43" t="s">
        <v>393</v>
      </c>
      <c r="J24" s="18"/>
      <c r="K24" s="11">
        <v>34</v>
      </c>
      <c r="L24" s="11">
        <f>Table1345678101112131415161718192021222324[[#This Row],[الدولار]]+(Table1345678101112131415161718192021222324[[#This Row],[اللبناني]]/90)</f>
        <v>34</v>
      </c>
    </row>
    <row r="25" spans="1:19" x14ac:dyDescent="0.3">
      <c r="C25" s="14"/>
      <c r="D25" s="14"/>
      <c r="F25" s="14"/>
      <c r="H25" s="2" t="s">
        <v>435</v>
      </c>
      <c r="I25" s="43" t="s">
        <v>70</v>
      </c>
      <c r="J25" s="18">
        <v>-300</v>
      </c>
      <c r="L25" s="11">
        <f>Table1345678101112131415161718192021222324[[#This Row],[الدولار]]+(Table1345678101112131415161718192021222324[[#This Row],[اللبناني]]/90)</f>
        <v>-3.3333333333333335</v>
      </c>
    </row>
    <row r="26" spans="1:19" x14ac:dyDescent="0.3">
      <c r="C26" s="14"/>
      <c r="D26" s="14"/>
      <c r="F26" s="14"/>
      <c r="H26" s="2" t="s">
        <v>434</v>
      </c>
      <c r="I26" s="41" t="s">
        <v>28</v>
      </c>
      <c r="J26" s="18">
        <v>-300</v>
      </c>
      <c r="K26" s="11">
        <v>5</v>
      </c>
      <c r="L26" s="11">
        <f>Table1345678101112131415161718192021222324[[#This Row],[الدولار]]+(Table1345678101112131415161718192021222324[[#This Row],[اللبناني]]/90)</f>
        <v>1.6666666666666665</v>
      </c>
    </row>
    <row r="27" spans="1:19" s="11" customFormat="1" x14ac:dyDescent="0.3">
      <c r="C27" s="14"/>
      <c r="D27" s="14"/>
      <c r="E27" s="2"/>
      <c r="F27" s="14"/>
      <c r="G27" s="2"/>
      <c r="H27" s="2" t="s">
        <v>434</v>
      </c>
      <c r="I27" s="43" t="s">
        <v>373</v>
      </c>
      <c r="J27" s="20">
        <v>350</v>
      </c>
      <c r="L27" s="11">
        <f>Table1345678101112131415161718192021222324[[#This Row],[الدولار]]+(Table1345678101112131415161718192021222324[[#This Row],[اللبناني]]/90)</f>
        <v>3.8888888888888888</v>
      </c>
      <c r="M27" s="6"/>
    </row>
    <row r="28" spans="1:19" s="11" customFormat="1" x14ac:dyDescent="0.3">
      <c r="C28" s="14"/>
      <c r="D28" s="2"/>
      <c r="E28" s="2"/>
      <c r="F28" s="14"/>
      <c r="G28" s="2"/>
      <c r="H28" s="2" t="s">
        <v>434</v>
      </c>
      <c r="I28" s="43" t="s">
        <v>54</v>
      </c>
      <c r="J28" s="20">
        <v>500</v>
      </c>
      <c r="L28" s="11">
        <f>Table1345678101112131415161718192021222324[[#This Row],[الدولار]]+(Table1345678101112131415161718192021222324[[#This Row],[اللبناني]]/90)</f>
        <v>5.5555555555555554</v>
      </c>
      <c r="M28" s="6"/>
    </row>
    <row r="29" spans="1:19" s="11" customFormat="1" x14ac:dyDescent="0.3">
      <c r="C29" s="14"/>
      <c r="D29" s="2"/>
      <c r="E29" s="2"/>
      <c r="F29" s="2"/>
      <c r="G29" s="2"/>
      <c r="H29" s="2" t="s">
        <v>434</v>
      </c>
      <c r="I29" s="43" t="s">
        <v>225</v>
      </c>
      <c r="J29" s="20">
        <v>-700</v>
      </c>
      <c r="K29" s="11">
        <v>10</v>
      </c>
      <c r="L29" s="11">
        <f>Table1345678101112131415161718192021222324[[#This Row],[الدولار]]+(Table1345678101112131415161718192021222324[[#This Row],[اللبناني]]/90)</f>
        <v>2.2222222222222223</v>
      </c>
      <c r="M29" s="6"/>
    </row>
    <row r="30" spans="1:19" s="11" customFormat="1" x14ac:dyDescent="0.3">
      <c r="C30" s="2"/>
      <c r="D30" s="2"/>
      <c r="E30" s="2"/>
      <c r="F30" s="6"/>
      <c r="G30" s="2"/>
      <c r="H30" s="2" t="s">
        <v>434</v>
      </c>
      <c r="I30" s="41" t="s">
        <v>394</v>
      </c>
      <c r="J30" s="20">
        <v>270</v>
      </c>
      <c r="L30" s="11">
        <f>Table1345678101112131415161718192021222324[[#This Row],[الدولار]]+(Table1345678101112131415161718192021222324[[#This Row],[اللبناني]]/90)</f>
        <v>3</v>
      </c>
      <c r="M30" s="6"/>
    </row>
    <row r="31" spans="1:19" s="11" customFormat="1" x14ac:dyDescent="0.3">
      <c r="C31" s="6"/>
      <c r="D31" s="2"/>
      <c r="E31" s="2"/>
      <c r="F31" s="2"/>
      <c r="G31" s="2"/>
      <c r="H31" s="2" t="s">
        <v>434</v>
      </c>
      <c r="I31" s="41" t="s">
        <v>395</v>
      </c>
      <c r="J31" s="20">
        <v>270</v>
      </c>
      <c r="L31" s="11">
        <f>Table1345678101112131415161718192021222324[[#This Row],[الدولار]]+(Table1345678101112131415161718192021222324[[#This Row],[اللبناني]]/90)</f>
        <v>3</v>
      </c>
      <c r="M31" s="6"/>
    </row>
    <row r="32" spans="1:19" s="11" customFormat="1" x14ac:dyDescent="0.3">
      <c r="C32" s="2"/>
      <c r="D32" s="2"/>
      <c r="E32" s="2"/>
      <c r="F32" s="6"/>
      <c r="G32" s="2"/>
      <c r="H32" s="2" t="s">
        <v>435</v>
      </c>
      <c r="I32" s="41" t="s">
        <v>104</v>
      </c>
      <c r="J32" s="20">
        <v>-300</v>
      </c>
      <c r="L32" s="11">
        <f>Table1345678101112131415161718192021222324[[#This Row],[الدولار]]+(Table1345678101112131415161718192021222324[[#This Row],[اللبناني]]/90)</f>
        <v>-3.3333333333333335</v>
      </c>
      <c r="M32" s="6"/>
    </row>
    <row r="33" spans="3:13" s="11" customFormat="1" x14ac:dyDescent="0.3">
      <c r="C33" s="6"/>
      <c r="D33" s="2"/>
      <c r="E33" s="2"/>
      <c r="F33" s="2"/>
      <c r="G33" s="2"/>
      <c r="H33" s="2" t="s">
        <v>434</v>
      </c>
      <c r="I33" s="41" t="s">
        <v>396</v>
      </c>
      <c r="J33" s="20">
        <v>-360</v>
      </c>
      <c r="K33" s="11">
        <v>10</v>
      </c>
      <c r="L33" s="11">
        <f>Table1345678101112131415161718192021222324[[#This Row],[الدولار]]+(Table1345678101112131415161718192021222324[[#This Row],[اللبناني]]/90)</f>
        <v>6</v>
      </c>
      <c r="M33" s="6"/>
    </row>
    <row r="34" spans="3:13" s="11" customFormat="1" x14ac:dyDescent="0.3">
      <c r="C34" s="2"/>
      <c r="D34" s="2"/>
      <c r="E34" s="2"/>
      <c r="F34" s="2"/>
      <c r="G34" s="2"/>
      <c r="H34" s="2" t="s">
        <v>434</v>
      </c>
      <c r="I34" s="41" t="s">
        <v>178</v>
      </c>
      <c r="J34" s="20">
        <v>70</v>
      </c>
      <c r="L34" s="11">
        <f>Table1345678101112131415161718192021222324[[#This Row],[الدولار]]+(Table1345678101112131415161718192021222324[[#This Row],[اللبناني]]/90)</f>
        <v>0.77777777777777779</v>
      </c>
      <c r="M34" s="6"/>
    </row>
    <row r="35" spans="3:13" s="11" customFormat="1" x14ac:dyDescent="0.3">
      <c r="C35" s="2"/>
      <c r="D35" s="2"/>
      <c r="E35" s="2"/>
      <c r="F35" s="2"/>
      <c r="G35" s="2"/>
      <c r="H35" s="2" t="s">
        <v>434</v>
      </c>
      <c r="I35" s="41" t="s">
        <v>397</v>
      </c>
      <c r="J35" s="20">
        <v>200</v>
      </c>
      <c r="L35" s="11">
        <f>Table1345678101112131415161718192021222324[[#This Row],[الدولار]]+(Table1345678101112131415161718192021222324[[#This Row],[اللبناني]]/90)</f>
        <v>2.2222222222222223</v>
      </c>
      <c r="M35" s="6"/>
    </row>
    <row r="36" spans="3:13" s="11" customFormat="1" x14ac:dyDescent="0.3">
      <c r="C36" s="2"/>
      <c r="D36" s="2"/>
      <c r="E36" s="2"/>
      <c r="F36" s="2"/>
      <c r="G36" s="2"/>
      <c r="H36" s="2" t="s">
        <v>434</v>
      </c>
      <c r="I36" s="41" t="s">
        <v>398</v>
      </c>
      <c r="J36" s="20">
        <v>45</v>
      </c>
      <c r="K36" s="11">
        <v>10</v>
      </c>
      <c r="L36" s="11">
        <f>Table1345678101112131415161718192021222324[[#This Row],[الدولار]]+(Table1345678101112131415161718192021222324[[#This Row],[اللبناني]]/90)</f>
        <v>10.5</v>
      </c>
      <c r="M36" s="6"/>
    </row>
    <row r="37" spans="3:13" s="11" customFormat="1" x14ac:dyDescent="0.3">
      <c r="C37" s="2"/>
      <c r="D37" s="2"/>
      <c r="E37" s="2"/>
      <c r="F37" s="2"/>
      <c r="G37" s="2"/>
      <c r="H37" s="2" t="s">
        <v>436</v>
      </c>
      <c r="I37" s="41" t="s">
        <v>399</v>
      </c>
      <c r="J37" s="18"/>
      <c r="K37" s="11">
        <v>-110</v>
      </c>
      <c r="L37" s="11">
        <f>Table1345678101112131415161718192021222324[[#This Row],[الدولار]]+(Table1345678101112131415161718192021222324[[#This Row],[اللبناني]]/90)</f>
        <v>-110</v>
      </c>
      <c r="M37" s="6"/>
    </row>
    <row r="38" spans="3:13" s="11" customFormat="1" x14ac:dyDescent="0.3">
      <c r="C38" s="2"/>
      <c r="D38" s="2"/>
      <c r="E38" s="2"/>
      <c r="F38" s="2"/>
      <c r="G38" s="2"/>
      <c r="H38" s="2" t="s">
        <v>434</v>
      </c>
      <c r="I38" s="39" t="s">
        <v>400</v>
      </c>
      <c r="J38" s="18"/>
      <c r="K38" s="11">
        <v>-55</v>
      </c>
      <c r="L38" s="11">
        <f>Table1345678101112131415161718192021222324[[#This Row],[الدولار]]+(Table1345678101112131415161718192021222324[[#This Row],[اللبناني]]/90)</f>
        <v>-55</v>
      </c>
      <c r="M38" s="6"/>
    </row>
    <row r="39" spans="3:13" s="11" customFormat="1" x14ac:dyDescent="0.3">
      <c r="C39" s="2"/>
      <c r="D39" s="2"/>
      <c r="E39" s="2"/>
      <c r="F39" s="2"/>
      <c r="G39" s="2"/>
      <c r="H39" s="2" t="s">
        <v>435</v>
      </c>
      <c r="I39" s="39" t="s">
        <v>9</v>
      </c>
      <c r="J39" s="18">
        <v>-2000</v>
      </c>
      <c r="L39" s="11">
        <f>Table1345678101112131415161718192021222324[[#This Row],[الدولار]]+(Table1345678101112131415161718192021222324[[#This Row],[اللبناني]]/90)</f>
        <v>-22.222222222222221</v>
      </c>
      <c r="M39" s="6"/>
    </row>
    <row r="40" spans="3:13" s="11" customFormat="1" x14ac:dyDescent="0.3">
      <c r="C40" s="2"/>
      <c r="D40" s="2"/>
      <c r="E40" s="2"/>
      <c r="F40" s="2"/>
      <c r="G40" s="2"/>
      <c r="H40" s="2" t="s">
        <v>434</v>
      </c>
      <c r="I40" s="39" t="s">
        <v>401</v>
      </c>
      <c r="J40" s="18">
        <v>100</v>
      </c>
      <c r="K40" s="11">
        <v>15</v>
      </c>
      <c r="L40" s="11">
        <f>Table1345678101112131415161718192021222324[[#This Row],[الدولار]]+(Table1345678101112131415161718192021222324[[#This Row],[اللبناني]]/90)</f>
        <v>16.111111111111111</v>
      </c>
      <c r="M40" s="6"/>
    </row>
    <row r="41" spans="3:13" s="11" customFormat="1" x14ac:dyDescent="0.3">
      <c r="C41" s="2"/>
      <c r="D41" s="2"/>
      <c r="E41" s="2"/>
      <c r="F41" s="2"/>
      <c r="G41" s="2"/>
      <c r="H41" s="2" t="s">
        <v>434</v>
      </c>
      <c r="I41" s="39" t="s">
        <v>402</v>
      </c>
      <c r="J41" s="18">
        <v>180</v>
      </c>
      <c r="L41" s="11">
        <f>Table1345678101112131415161718192021222324[[#This Row],[الدولار]]+(Table1345678101112131415161718192021222324[[#This Row],[اللبناني]]/90)</f>
        <v>2</v>
      </c>
      <c r="M41" s="6"/>
    </row>
    <row r="42" spans="3:13" s="11" customFormat="1" x14ac:dyDescent="0.3">
      <c r="C42" s="2"/>
      <c r="D42" s="2"/>
      <c r="E42" s="2"/>
      <c r="F42" s="2"/>
      <c r="G42" s="2"/>
      <c r="H42" s="2" t="s">
        <v>434</v>
      </c>
      <c r="I42" s="39" t="s">
        <v>72</v>
      </c>
      <c r="J42" s="18"/>
      <c r="K42" s="11">
        <v>10</v>
      </c>
      <c r="L42" s="11">
        <f>Table1345678101112131415161718192021222324[[#This Row],[الدولار]]+(Table1345678101112131415161718192021222324[[#This Row],[اللبناني]]/90)</f>
        <v>10</v>
      </c>
      <c r="M42" s="6"/>
    </row>
    <row r="43" spans="3:13" s="11" customFormat="1" x14ac:dyDescent="0.3">
      <c r="H43" s="11" t="s">
        <v>434</v>
      </c>
      <c r="I43" s="39" t="s">
        <v>403</v>
      </c>
      <c r="J43" s="18"/>
      <c r="K43" s="11">
        <v>59</v>
      </c>
      <c r="L43" s="11">
        <f>Table1345678101112131415161718192021222324[[#This Row],[الدولار]]+(Table1345678101112131415161718192021222324[[#This Row],[اللبناني]]/90)</f>
        <v>59</v>
      </c>
      <c r="M43" s="6"/>
    </row>
    <row r="44" spans="3:13" s="11" customFormat="1" x14ac:dyDescent="0.3">
      <c r="H44" s="11" t="s">
        <v>434</v>
      </c>
      <c r="I44" s="39" t="s">
        <v>404</v>
      </c>
      <c r="J44" s="18"/>
      <c r="K44" s="11">
        <v>10</v>
      </c>
      <c r="L44" s="11">
        <f>Table1345678101112131415161718192021222324[[#This Row],[الدولار]]+(Table1345678101112131415161718192021222324[[#This Row],[اللبناني]]/90)</f>
        <v>10</v>
      </c>
      <c r="M44" s="6"/>
    </row>
    <row r="45" spans="3:13" s="11" customFormat="1" x14ac:dyDescent="0.3">
      <c r="H45" s="11" t="s">
        <v>434</v>
      </c>
      <c r="I45" s="39" t="s">
        <v>405</v>
      </c>
      <c r="J45" s="18">
        <v>265</v>
      </c>
      <c r="L45" s="11">
        <f>Table1345678101112131415161718192021222324[[#This Row],[الدولار]]+(Table1345678101112131415161718192021222324[[#This Row],[اللبناني]]/90)</f>
        <v>2.9444444444444446</v>
      </c>
      <c r="M45" s="6"/>
    </row>
    <row r="46" spans="3:13" s="11" customFormat="1" x14ac:dyDescent="0.3">
      <c r="H46" s="11" t="s">
        <v>434</v>
      </c>
      <c r="I46" s="39" t="s">
        <v>106</v>
      </c>
      <c r="J46" s="18"/>
      <c r="K46" s="11">
        <v>50</v>
      </c>
      <c r="L46" s="11">
        <f>Table1345678101112131415161718192021222324[[#This Row],[الدولار]]+(Table1345678101112131415161718192021222324[[#This Row],[اللبناني]]/90)</f>
        <v>50</v>
      </c>
      <c r="M46" s="6"/>
    </row>
    <row r="47" spans="3:13" s="11" customFormat="1" x14ac:dyDescent="0.3">
      <c r="H47" s="11" t="s">
        <v>434</v>
      </c>
      <c r="I47" s="39" t="s">
        <v>406</v>
      </c>
      <c r="J47" s="18">
        <v>50</v>
      </c>
      <c r="K47" s="11">
        <v>10</v>
      </c>
      <c r="L47" s="11">
        <f>Table1345678101112131415161718192021222324[[#This Row],[الدولار]]+(Table1345678101112131415161718192021222324[[#This Row],[اللبناني]]/90)</f>
        <v>10.555555555555555</v>
      </c>
      <c r="M47" s="6"/>
    </row>
    <row r="48" spans="3:13" s="11" customFormat="1" x14ac:dyDescent="0.3">
      <c r="H48" s="11" t="s">
        <v>434</v>
      </c>
      <c r="I48" s="39" t="s">
        <v>407</v>
      </c>
      <c r="J48" s="18">
        <v>-350</v>
      </c>
      <c r="K48" s="11">
        <v>5</v>
      </c>
      <c r="L48" s="11">
        <f>Table1345678101112131415161718192021222324[[#This Row],[الدولار]]+(Table1345678101112131415161718192021222324[[#This Row],[اللبناني]]/90)</f>
        <v>1.1111111111111112</v>
      </c>
      <c r="M48" s="6"/>
    </row>
    <row r="49" spans="8:13" s="11" customFormat="1" x14ac:dyDescent="0.3">
      <c r="H49" s="11" t="s">
        <v>434</v>
      </c>
      <c r="I49" s="39" t="s">
        <v>408</v>
      </c>
      <c r="J49" s="18"/>
      <c r="K49" s="11">
        <v>10</v>
      </c>
      <c r="L49" s="11">
        <f>Table1345678101112131415161718192021222324[[#This Row],[الدولار]]+(Table1345678101112131415161718192021222324[[#This Row],[اللبناني]]/90)</f>
        <v>10</v>
      </c>
      <c r="M49" s="6"/>
    </row>
    <row r="50" spans="8:13" s="11" customFormat="1" x14ac:dyDescent="0.3">
      <c r="H50" s="11" t="s">
        <v>434</v>
      </c>
      <c r="I50" s="39" t="s">
        <v>409</v>
      </c>
      <c r="J50" s="18"/>
      <c r="K50" s="11">
        <v>-4</v>
      </c>
      <c r="L50" s="11">
        <f>Table1345678101112131415161718192021222324[[#This Row],[الدولار]]+(Table1345678101112131415161718192021222324[[#This Row],[اللبناني]]/90)</f>
        <v>-4</v>
      </c>
      <c r="M50" s="6"/>
    </row>
    <row r="51" spans="8:13" s="11" customFormat="1" x14ac:dyDescent="0.3">
      <c r="H51" s="11" t="s">
        <v>435</v>
      </c>
      <c r="I51" s="39" t="s">
        <v>410</v>
      </c>
      <c r="J51" s="18">
        <v>-500</v>
      </c>
      <c r="L51" s="11">
        <f>Table1345678101112131415161718192021222324[[#This Row],[الدولار]]+(Table1345678101112131415161718192021222324[[#This Row],[اللبناني]]/90)</f>
        <v>-5.5555555555555554</v>
      </c>
      <c r="M51" s="6"/>
    </row>
    <row r="52" spans="8:13" s="11" customFormat="1" x14ac:dyDescent="0.3">
      <c r="H52" s="11" t="s">
        <v>434</v>
      </c>
      <c r="I52" s="39" t="s">
        <v>220</v>
      </c>
      <c r="J52" s="18">
        <v>-200</v>
      </c>
      <c r="L52" s="11">
        <f>Table1345678101112131415161718192021222324[[#This Row],[الدولار]]+(Table1345678101112131415161718192021222324[[#This Row],[اللبناني]]/90)</f>
        <v>-2.2222222222222223</v>
      </c>
      <c r="M52" s="6"/>
    </row>
    <row r="53" spans="8:13" s="11" customFormat="1" x14ac:dyDescent="0.3">
      <c r="H53" s="11" t="s">
        <v>434</v>
      </c>
      <c r="I53" s="39"/>
      <c r="J53" s="18"/>
      <c r="K53" s="11">
        <v>11</v>
      </c>
      <c r="L53" s="11">
        <f>Table1345678101112131415161718192021222324[[#This Row],[الدولار]]+(Table1345678101112131415161718192021222324[[#This Row],[اللبناني]]/90)</f>
        <v>11</v>
      </c>
      <c r="M53" s="6"/>
    </row>
    <row r="54" spans="8:13" s="11" customFormat="1" x14ac:dyDescent="0.3">
      <c r="H54" s="11" t="s">
        <v>434</v>
      </c>
      <c r="I54" s="39"/>
      <c r="J54" s="18"/>
      <c r="K54" s="11">
        <v>5</v>
      </c>
      <c r="L54" s="11">
        <f>Table1345678101112131415161718192021222324[[#This Row],[الدولار]]+(Table1345678101112131415161718192021222324[[#This Row],[اللبناني]]/90)</f>
        <v>5</v>
      </c>
      <c r="M54" s="6"/>
    </row>
    <row r="55" spans="8:13" s="11" customFormat="1" x14ac:dyDescent="0.3">
      <c r="H55" s="11" t="s">
        <v>434</v>
      </c>
      <c r="I55" s="39"/>
      <c r="J55" s="18">
        <v>150</v>
      </c>
      <c r="L55" s="11">
        <f>Table1345678101112131415161718192021222324[[#This Row],[الدولار]]+(Table1345678101112131415161718192021222324[[#This Row],[اللبناني]]/90)</f>
        <v>1.6666666666666667</v>
      </c>
      <c r="M55" s="6"/>
    </row>
    <row r="56" spans="8:13" s="11" customFormat="1" x14ac:dyDescent="0.3">
      <c r="H56" s="11" t="s">
        <v>436</v>
      </c>
      <c r="I56" s="39"/>
      <c r="J56" s="18">
        <v>50</v>
      </c>
      <c r="L56" s="11">
        <f>Table1345678101112131415161718192021222324[[#This Row],[الدولار]]+(Table1345678101112131415161718192021222324[[#This Row],[اللبناني]]/90)</f>
        <v>0.55555555555555558</v>
      </c>
      <c r="M56" s="6"/>
    </row>
    <row r="57" spans="8:13" s="11" customFormat="1" x14ac:dyDescent="0.3">
      <c r="H57" s="11" t="s">
        <v>434</v>
      </c>
      <c r="I57" s="39"/>
      <c r="J57" s="18">
        <v>50</v>
      </c>
      <c r="L57" s="11">
        <f>Table1345678101112131415161718192021222324[[#This Row],[الدولار]]+(Table1345678101112131415161718192021222324[[#This Row],[اللبناني]]/90)</f>
        <v>0.55555555555555558</v>
      </c>
      <c r="M57" s="6"/>
    </row>
    <row r="58" spans="8:13" s="11" customFormat="1" x14ac:dyDescent="0.3">
      <c r="H58" s="11" t="s">
        <v>434</v>
      </c>
      <c r="I58" s="39"/>
      <c r="J58" s="18">
        <v>100</v>
      </c>
      <c r="L58" s="11">
        <f>Table1345678101112131415161718192021222324[[#This Row],[الدولار]]+(Table1345678101112131415161718192021222324[[#This Row],[اللبناني]]/90)</f>
        <v>1.1111111111111112</v>
      </c>
      <c r="M58" s="6"/>
    </row>
    <row r="59" spans="8:13" s="11" customFormat="1" x14ac:dyDescent="0.3">
      <c r="H59" s="11" t="s">
        <v>434</v>
      </c>
      <c r="I59" s="39"/>
      <c r="J59" s="18">
        <v>570</v>
      </c>
      <c r="L59" s="11">
        <f>Table1345678101112131415161718192021222324[[#This Row],[الدولار]]+(Table1345678101112131415161718192021222324[[#This Row],[اللبناني]]/90)</f>
        <v>6.333333333333333</v>
      </c>
      <c r="M59" s="6"/>
    </row>
    <row r="60" spans="8:13" s="11" customFormat="1" x14ac:dyDescent="0.3">
      <c r="H60" s="11" t="s">
        <v>434</v>
      </c>
      <c r="I60" s="39"/>
      <c r="J60" s="18"/>
      <c r="K60" s="11">
        <v>-5</v>
      </c>
      <c r="L60" s="11">
        <f>Table1345678101112131415161718192021222324[[#This Row],[الدولار]]+(Table1345678101112131415161718192021222324[[#This Row],[اللبناني]]/90)</f>
        <v>-5</v>
      </c>
      <c r="M60" s="6"/>
    </row>
    <row r="61" spans="8:13" s="11" customFormat="1" x14ac:dyDescent="0.3">
      <c r="H61" s="11" t="s">
        <v>436</v>
      </c>
      <c r="I61" s="39"/>
      <c r="J61" s="18"/>
      <c r="K61" s="11">
        <v>-15</v>
      </c>
      <c r="L61" s="11">
        <f>Table1345678101112131415161718192021222324[[#This Row],[الدولار]]+(Table1345678101112131415161718192021222324[[#This Row],[اللبناني]]/90)</f>
        <v>-15</v>
      </c>
      <c r="M61" s="6"/>
    </row>
    <row r="62" spans="8:13" s="11" customFormat="1" x14ac:dyDescent="0.3">
      <c r="H62" s="11" t="s">
        <v>434</v>
      </c>
      <c r="I62" s="39"/>
      <c r="J62" s="18"/>
      <c r="K62" s="11">
        <v>5</v>
      </c>
      <c r="L62" s="11">
        <f>Table1345678101112131415161718192021222324[[#This Row],[الدولار]]+(Table1345678101112131415161718192021222324[[#This Row],[اللبناني]]/90)</f>
        <v>5</v>
      </c>
      <c r="M62" s="6"/>
    </row>
    <row r="63" spans="8:13" s="11" customFormat="1" x14ac:dyDescent="0.3">
      <c r="H63" s="11" t="s">
        <v>434</v>
      </c>
      <c r="I63" s="39"/>
      <c r="J63" s="18">
        <v>-250</v>
      </c>
      <c r="L63" s="11">
        <f>Table1345678101112131415161718192021222324[[#This Row],[الدولار]]+(Table1345678101112131415161718192021222324[[#This Row],[اللبناني]]/90)</f>
        <v>-2.7777777777777777</v>
      </c>
      <c r="M63" s="6"/>
    </row>
    <row r="64" spans="8:13" s="11" customFormat="1" x14ac:dyDescent="0.3">
      <c r="H64" s="11" t="s">
        <v>434</v>
      </c>
      <c r="I64" s="39"/>
      <c r="J64" s="18">
        <v>100</v>
      </c>
      <c r="L64" s="11">
        <f>Table1345678101112131415161718192021222324[[#This Row],[الدولار]]+(Table1345678101112131415161718192021222324[[#This Row],[اللبناني]]/90)</f>
        <v>1.1111111111111112</v>
      </c>
      <c r="M64" s="6"/>
    </row>
    <row r="65" spans="8:13" s="11" customFormat="1" x14ac:dyDescent="0.3">
      <c r="H65" s="11" t="s">
        <v>434</v>
      </c>
      <c r="I65" s="39"/>
      <c r="J65" s="18"/>
      <c r="K65" s="11">
        <v>20</v>
      </c>
      <c r="L65" s="11">
        <f>Table1345678101112131415161718192021222324[[#This Row],[الدولار]]+(Table1345678101112131415161718192021222324[[#This Row],[اللبناني]]/90)</f>
        <v>20</v>
      </c>
      <c r="M65" s="6"/>
    </row>
    <row r="66" spans="8:13" s="11" customFormat="1" x14ac:dyDescent="0.3">
      <c r="H66" s="11" t="s">
        <v>434</v>
      </c>
      <c r="I66" s="39"/>
      <c r="J66" s="18"/>
      <c r="K66" s="11">
        <v>90</v>
      </c>
      <c r="L66" s="11">
        <f>Table1345678101112131415161718192021222324[[#This Row],[الدولار]]+(Table1345678101112131415161718192021222324[[#This Row],[اللبناني]]/90)</f>
        <v>90</v>
      </c>
      <c r="M66" s="6"/>
    </row>
    <row r="67" spans="8:13" s="11" customFormat="1" x14ac:dyDescent="0.3">
      <c r="H67" s="11" t="s">
        <v>434</v>
      </c>
      <c r="I67" s="39"/>
      <c r="J67" s="18">
        <v>850</v>
      </c>
      <c r="L67" s="11">
        <f>Table1345678101112131415161718192021222324[[#This Row],[الدولار]]+(Table1345678101112131415161718192021222324[[#This Row],[اللبناني]]/90)</f>
        <v>9.4444444444444446</v>
      </c>
      <c r="M67" s="6"/>
    </row>
    <row r="68" spans="8:13" s="11" customFormat="1" x14ac:dyDescent="0.3">
      <c r="H68" s="11" t="s">
        <v>434</v>
      </c>
      <c r="I68" s="39"/>
      <c r="J68" s="18">
        <v>-100</v>
      </c>
      <c r="K68" s="11">
        <v>10</v>
      </c>
      <c r="L68" s="11">
        <f>Table1345678101112131415161718192021222324[[#This Row],[الدولار]]+(Table1345678101112131415161718192021222324[[#This Row],[اللبناني]]/90)</f>
        <v>8.8888888888888893</v>
      </c>
      <c r="M68" s="6"/>
    </row>
    <row r="69" spans="8:13" s="11" customFormat="1" x14ac:dyDescent="0.3">
      <c r="H69" s="11" t="s">
        <v>434</v>
      </c>
      <c r="I69" s="39"/>
      <c r="J69" s="18">
        <v>-135</v>
      </c>
      <c r="K69" s="11">
        <v>5</v>
      </c>
      <c r="L69" s="11">
        <f>Table1345678101112131415161718192021222324[[#This Row],[الدولار]]+(Table1345678101112131415161718192021222324[[#This Row],[اللبناني]]/90)</f>
        <v>3.5</v>
      </c>
      <c r="M69" s="6"/>
    </row>
    <row r="70" spans="8:13" s="11" customFormat="1" x14ac:dyDescent="0.3">
      <c r="H70" s="11" t="s">
        <v>434</v>
      </c>
      <c r="I70" s="39"/>
      <c r="J70" s="18">
        <v>-270</v>
      </c>
      <c r="K70" s="11">
        <v>20</v>
      </c>
      <c r="L70" s="11">
        <f>Table1345678101112131415161718192021222324[[#This Row],[الدولار]]+(Table1345678101112131415161718192021222324[[#This Row],[اللبناني]]/90)</f>
        <v>17</v>
      </c>
      <c r="M70" s="6"/>
    </row>
    <row r="71" spans="8:13" s="11" customFormat="1" x14ac:dyDescent="0.3">
      <c r="H71" s="11" t="s">
        <v>434</v>
      </c>
      <c r="I71" s="39"/>
      <c r="J71" s="18"/>
      <c r="K71" s="11">
        <v>100</v>
      </c>
      <c r="L71" s="11">
        <f>Table1345678101112131415161718192021222324[[#This Row],[الدولار]]+(Table1345678101112131415161718192021222324[[#This Row],[اللبناني]]/90)</f>
        <v>100</v>
      </c>
      <c r="M71" s="6"/>
    </row>
    <row r="72" spans="8:13" s="11" customFormat="1" x14ac:dyDescent="0.3">
      <c r="H72" s="11" t="s">
        <v>434</v>
      </c>
      <c r="I72" s="39"/>
      <c r="J72" s="18">
        <v>200</v>
      </c>
      <c r="L72" s="11">
        <f>Table1345678101112131415161718192021222324[[#This Row],[الدولار]]+(Table1345678101112131415161718192021222324[[#This Row],[اللبناني]]/90)</f>
        <v>2.2222222222222223</v>
      </c>
      <c r="M72" s="6"/>
    </row>
    <row r="73" spans="8:13" s="11" customFormat="1" x14ac:dyDescent="0.3">
      <c r="H73" s="11" t="s">
        <v>434</v>
      </c>
      <c r="I73" s="39"/>
      <c r="J73" s="18"/>
      <c r="K73" s="11">
        <v>-15</v>
      </c>
      <c r="L73" s="11">
        <f>Table1345678101112131415161718192021222324[[#This Row],[الدولار]]+(Table1345678101112131415161718192021222324[[#This Row],[اللبناني]]/90)</f>
        <v>-15</v>
      </c>
      <c r="M73" s="6"/>
    </row>
    <row r="74" spans="8:13" s="11" customFormat="1" x14ac:dyDescent="0.3">
      <c r="H74" s="11" t="s">
        <v>434</v>
      </c>
      <c r="I74" s="39"/>
      <c r="J74" s="18">
        <v>130</v>
      </c>
      <c r="L74" s="11">
        <f>Table1345678101112131415161718192021222324[[#This Row],[الدولار]]+(Table1345678101112131415161718192021222324[[#This Row],[اللبناني]]/90)</f>
        <v>1.4444444444444444</v>
      </c>
      <c r="M74" s="6"/>
    </row>
    <row r="75" spans="8:13" s="11" customFormat="1" x14ac:dyDescent="0.3">
      <c r="H75" s="11" t="s">
        <v>434</v>
      </c>
      <c r="I75" s="39"/>
      <c r="J75" s="18">
        <v>150</v>
      </c>
      <c r="L75" s="11">
        <f>Table1345678101112131415161718192021222324[[#This Row],[الدولار]]+(Table1345678101112131415161718192021222324[[#This Row],[اللبناني]]/90)</f>
        <v>1.6666666666666667</v>
      </c>
      <c r="M75" s="6"/>
    </row>
    <row r="76" spans="8:13" s="11" customFormat="1" x14ac:dyDescent="0.3">
      <c r="H76" s="11" t="s">
        <v>434</v>
      </c>
      <c r="I76" s="39"/>
      <c r="J76" s="18">
        <v>800</v>
      </c>
      <c r="L76" s="11">
        <f>Table1345678101112131415161718192021222324[[#This Row],[الدولار]]+(Table1345678101112131415161718192021222324[[#This Row],[اللبناني]]/90)</f>
        <v>8.8888888888888893</v>
      </c>
      <c r="M76" s="6"/>
    </row>
    <row r="77" spans="8:13" s="11" customFormat="1" x14ac:dyDescent="0.3">
      <c r="H77" s="11" t="s">
        <v>434</v>
      </c>
      <c r="I77" s="39"/>
      <c r="J77" s="18"/>
      <c r="K77" s="11">
        <v>35</v>
      </c>
      <c r="L77" s="11">
        <f>Table1345678101112131415161718192021222324[[#This Row],[الدولار]]+(Table1345678101112131415161718192021222324[[#This Row],[اللبناني]]/90)</f>
        <v>35</v>
      </c>
      <c r="M77" s="6"/>
    </row>
    <row r="78" spans="8:13" s="11" customFormat="1" x14ac:dyDescent="0.3">
      <c r="H78" s="11" t="s">
        <v>434</v>
      </c>
      <c r="I78" s="39"/>
      <c r="J78" s="18">
        <v>-170</v>
      </c>
      <c r="L78" s="11">
        <f>Table1345678101112131415161718192021222324[[#This Row],[الدولار]]+(Table1345678101112131415161718192021222324[[#This Row],[اللبناني]]/90)</f>
        <v>-1.8888888888888888</v>
      </c>
      <c r="M78" s="6"/>
    </row>
    <row r="79" spans="8:13" s="11" customFormat="1" x14ac:dyDescent="0.3">
      <c r="H79" s="11" t="s">
        <v>436</v>
      </c>
      <c r="I79" s="39"/>
      <c r="J79" s="18"/>
      <c r="K79" s="11">
        <v>5</v>
      </c>
      <c r="L79" s="11">
        <f>Table1345678101112131415161718192021222324[[#This Row],[الدولار]]+(Table1345678101112131415161718192021222324[[#This Row],[اللبناني]]/90)</f>
        <v>5</v>
      </c>
      <c r="M79" s="6"/>
    </row>
    <row r="80" spans="8:13" s="11" customFormat="1" x14ac:dyDescent="0.3">
      <c r="H80" s="11" t="s">
        <v>434</v>
      </c>
      <c r="I80" s="39"/>
      <c r="J80" s="18"/>
      <c r="K80" s="11">
        <v>-25</v>
      </c>
      <c r="L80" s="11">
        <f>Table1345678101112131415161718192021222324[[#This Row],[الدولار]]+(Table1345678101112131415161718192021222324[[#This Row],[اللبناني]]/90)</f>
        <v>-25</v>
      </c>
      <c r="M80" s="6"/>
    </row>
    <row r="81" spans="8:13" s="11" customFormat="1" x14ac:dyDescent="0.3">
      <c r="H81" s="11" t="s">
        <v>434</v>
      </c>
      <c r="I81" s="39"/>
      <c r="J81" s="18"/>
      <c r="K81" s="11">
        <v>5</v>
      </c>
      <c r="L81" s="11">
        <f>Table1345678101112131415161718192021222324[[#This Row],[الدولار]]+(Table1345678101112131415161718192021222324[[#This Row],[اللبناني]]/90)</f>
        <v>5</v>
      </c>
      <c r="M81" s="6"/>
    </row>
    <row r="82" spans="8:13" s="11" customFormat="1" x14ac:dyDescent="0.3">
      <c r="H82" s="11" t="s">
        <v>434</v>
      </c>
      <c r="I82" s="39"/>
      <c r="J82" s="18">
        <v>-225</v>
      </c>
      <c r="L82" s="11">
        <f>Table1345678101112131415161718192021222324[[#This Row],[الدولار]]+(Table1345678101112131415161718192021222324[[#This Row],[اللبناني]]/90)</f>
        <v>-2.5</v>
      </c>
      <c r="M82" s="6"/>
    </row>
    <row r="83" spans="8:13" s="11" customFormat="1" x14ac:dyDescent="0.3">
      <c r="H83" s="11" t="s">
        <v>436</v>
      </c>
      <c r="I83" s="39"/>
      <c r="J83" s="18"/>
      <c r="K83" s="11">
        <v>-800</v>
      </c>
      <c r="L83" s="11">
        <f>Table1345678101112131415161718192021222324[[#This Row],[الدولار]]+(Table1345678101112131415161718192021222324[[#This Row],[اللبناني]]/90)</f>
        <v>-800</v>
      </c>
      <c r="M83" s="6"/>
    </row>
    <row r="84" spans="8:13" s="11" customFormat="1" x14ac:dyDescent="0.3">
      <c r="H84" s="11" t="s">
        <v>434</v>
      </c>
      <c r="I84" s="39"/>
      <c r="J84" s="18"/>
      <c r="K84" s="11">
        <v>5</v>
      </c>
      <c r="L84" s="11">
        <f>Table1345678101112131415161718192021222324[[#This Row],[الدولار]]+(Table1345678101112131415161718192021222324[[#This Row],[اللبناني]]/90)</f>
        <v>5</v>
      </c>
      <c r="M84" s="6"/>
    </row>
    <row r="85" spans="8:13" s="11" customFormat="1" x14ac:dyDescent="0.3">
      <c r="H85" s="11" t="s">
        <v>434</v>
      </c>
      <c r="I85" s="39"/>
      <c r="J85" s="18"/>
      <c r="K85" s="11">
        <v>-40</v>
      </c>
      <c r="L85" s="11">
        <f>Table1345678101112131415161718192021222324[[#This Row],[الدولار]]+(Table1345678101112131415161718192021222324[[#This Row],[اللبناني]]/90)</f>
        <v>-40</v>
      </c>
      <c r="M85" s="6"/>
    </row>
    <row r="86" spans="8:13" s="11" customFormat="1" x14ac:dyDescent="0.3">
      <c r="H86" s="11" t="s">
        <v>436</v>
      </c>
      <c r="I86" s="39"/>
      <c r="J86" s="18">
        <v>-4000</v>
      </c>
      <c r="L86" s="11">
        <f>Table1345678101112131415161718192021222324[[#This Row],[الدولار]]+(Table1345678101112131415161718192021222324[[#This Row],[اللبناني]]/90)</f>
        <v>-44.444444444444443</v>
      </c>
      <c r="M86" s="6"/>
    </row>
    <row r="87" spans="8:13" s="11" customFormat="1" x14ac:dyDescent="0.3">
      <c r="H87" s="11" t="s">
        <v>436</v>
      </c>
      <c r="I87" s="39" t="s">
        <v>22</v>
      </c>
      <c r="J87" s="18"/>
      <c r="K87" s="11">
        <v>250</v>
      </c>
      <c r="L87" s="11">
        <f>Table1345678101112131415161718192021222324[[#This Row],[الدولار]]+(Table1345678101112131415161718192021222324[[#This Row],[اللبناني]]/90)</f>
        <v>250</v>
      </c>
      <c r="M87" s="6"/>
    </row>
    <row r="88" spans="8:13" s="11" customFormat="1" x14ac:dyDescent="0.3">
      <c r="H88" s="11" t="s">
        <v>435</v>
      </c>
      <c r="I88" s="39" t="s">
        <v>446</v>
      </c>
      <c r="J88" s="18"/>
      <c r="K88" s="11">
        <v>-250</v>
      </c>
      <c r="L88" s="11">
        <f>Table1345678101112131415161718192021222324[[#This Row],[الدولار]]+(Table1345678101112131415161718192021222324[[#This Row],[اللبناني]]/90)</f>
        <v>-250</v>
      </c>
      <c r="M88" s="6"/>
    </row>
    <row r="89" spans="8:13" s="11" customFormat="1" x14ac:dyDescent="0.3">
      <c r="H89" s="11" t="s">
        <v>435</v>
      </c>
      <c r="I89" s="39" t="s">
        <v>492</v>
      </c>
      <c r="J89" s="18"/>
      <c r="K89" s="11">
        <v>-600</v>
      </c>
      <c r="L89" s="11">
        <f>Table1345678101112131415161718192021222324[[#This Row],[الدولار]]+(Table1345678101112131415161718192021222324[[#This Row],[اللبناني]]/90)</f>
        <v>-600</v>
      </c>
      <c r="M89" s="6"/>
    </row>
    <row r="90" spans="8:13" s="11" customFormat="1" x14ac:dyDescent="0.3">
      <c r="I90" s="39" t="s">
        <v>22</v>
      </c>
      <c r="J90" s="18"/>
      <c r="K90" s="11">
        <v>600</v>
      </c>
      <c r="L90" s="11">
        <f>Table1345678101112131415161718192021222324[[#This Row],[الدولار]]+(Table1345678101112131415161718192021222324[[#This Row],[اللبناني]]/90)</f>
        <v>600</v>
      </c>
      <c r="M90" s="6"/>
    </row>
    <row r="91" spans="8:13" s="11" customFormat="1" x14ac:dyDescent="0.3">
      <c r="H91" s="11" t="s">
        <v>435</v>
      </c>
      <c r="I91" s="39" t="s">
        <v>493</v>
      </c>
      <c r="J91" s="18"/>
      <c r="K91" s="11">
        <v>-600</v>
      </c>
      <c r="L91" s="11">
        <f>Table1345678101112131415161718192021222324[[#This Row],[الدولار]]+(Table1345678101112131415161718192021222324[[#This Row],[اللبناني]]/90)</f>
        <v>-600</v>
      </c>
      <c r="M91" s="6"/>
    </row>
    <row r="92" spans="8:13" s="11" customFormat="1" x14ac:dyDescent="0.3">
      <c r="I92" s="39" t="s">
        <v>22</v>
      </c>
      <c r="J92" s="18"/>
      <c r="K92" s="11">
        <v>600</v>
      </c>
      <c r="L92" s="11">
        <f>Table1345678101112131415161718192021222324[[#This Row],[الدولار]]+(Table1345678101112131415161718192021222324[[#This Row],[اللبناني]]/90)</f>
        <v>600</v>
      </c>
      <c r="M92" s="6"/>
    </row>
    <row r="93" spans="8:13" s="11" customFormat="1" x14ac:dyDescent="0.3">
      <c r="I93" s="39"/>
      <c r="J93" s="18"/>
      <c r="L93" s="11">
        <f>Table1345678101112131415161718192021222324[[#This Row],[الدولار]]+(Table1345678101112131415161718192021222324[[#This Row],[اللبناني]]/90)</f>
        <v>0</v>
      </c>
      <c r="M93" s="6"/>
    </row>
    <row r="94" spans="8:13" s="11" customFormat="1" x14ac:dyDescent="0.3">
      <c r="I94" s="39"/>
      <c r="J94" s="18"/>
      <c r="L94" s="11">
        <f>Table1345678101112131415161718192021222324[[#This Row],[الدولار]]+(Table1345678101112131415161718192021222324[[#This Row],[اللبناني]]/90)</f>
        <v>0</v>
      </c>
      <c r="M94" s="6"/>
    </row>
    <row r="95" spans="8:13" s="11" customFormat="1" x14ac:dyDescent="0.3">
      <c r="I95" s="39"/>
      <c r="J95" s="18"/>
      <c r="L95" s="11">
        <f>Table1345678101112131415161718192021222324[[#This Row],[الدولار]]+(Table1345678101112131415161718192021222324[[#This Row],[اللبناني]]/90)</f>
        <v>0</v>
      </c>
      <c r="M95" s="6"/>
    </row>
    <row r="96" spans="8:13" s="11" customFormat="1" x14ac:dyDescent="0.3">
      <c r="I96" s="39"/>
      <c r="J96" s="18"/>
      <c r="L96" s="11">
        <f>Table1345678101112131415161718192021222324[[#This Row],[الدولار]]+(Table1345678101112131415161718192021222324[[#This Row],[اللبناني]]/90)</f>
        <v>0</v>
      </c>
      <c r="M96" s="6"/>
    </row>
    <row r="97" spans="9:13" s="11" customFormat="1" x14ac:dyDescent="0.3">
      <c r="I97" s="39"/>
      <c r="J97" s="18"/>
      <c r="L97" s="11">
        <f>Table1345678101112131415161718192021222324[[#This Row],[الدولار]]+(Table1345678101112131415161718192021222324[[#This Row],[اللبناني]]/90)</f>
        <v>0</v>
      </c>
      <c r="M97" s="6"/>
    </row>
    <row r="98" spans="9:13" s="11" customFormat="1" x14ac:dyDescent="0.3">
      <c r="I98" s="39"/>
      <c r="J98" s="18"/>
      <c r="L98" s="11">
        <f>Table1345678101112131415161718192021222324[[#This Row],[الدولار]]+(Table1345678101112131415161718192021222324[[#This Row],[اللبناني]]/90)</f>
        <v>0</v>
      </c>
      <c r="M98" s="6"/>
    </row>
    <row r="99" spans="9:13" s="11" customFormat="1" x14ac:dyDescent="0.3">
      <c r="I99" s="39"/>
      <c r="J99" s="18"/>
      <c r="L99" s="11">
        <f>Table1345678101112131415161718192021222324[[#This Row],[الدولار]]+(Table1345678101112131415161718192021222324[[#This Row],[اللبناني]]/90)</f>
        <v>0</v>
      </c>
      <c r="M99" s="6"/>
    </row>
    <row r="100" spans="9:13" s="11" customFormat="1" x14ac:dyDescent="0.3">
      <c r="I100" s="39"/>
      <c r="J100" s="18"/>
      <c r="L100" s="11">
        <f>Table1345678101112131415161718192021222324[[#This Row],[الدولار]]+(Table1345678101112131415161718192021222324[[#This Row],[اللبناني]]/90)</f>
        <v>0</v>
      </c>
      <c r="M100" s="6"/>
    </row>
    <row r="101" spans="9:13" s="11" customFormat="1" x14ac:dyDescent="0.3">
      <c r="I101" s="39"/>
      <c r="J101" s="18"/>
      <c r="L101" s="11">
        <f>Table1345678101112131415161718192021222324[[#This Row],[الدولار]]+(Table1345678101112131415161718192021222324[[#This Row],[اللبناني]]/90)</f>
        <v>0</v>
      </c>
      <c r="M101" s="6"/>
    </row>
    <row r="102" spans="9:13" s="11" customFormat="1" x14ac:dyDescent="0.3">
      <c r="I102" s="39"/>
      <c r="J102" s="18"/>
      <c r="L102" s="11">
        <f>Table1345678101112131415161718192021222324[[#This Row],[الدولار]]+(Table1345678101112131415161718192021222324[[#This Row],[اللبناني]]/90)</f>
        <v>0</v>
      </c>
      <c r="M102" s="6"/>
    </row>
    <row r="103" spans="9:13" s="11" customFormat="1" x14ac:dyDescent="0.3">
      <c r="I103" s="39"/>
      <c r="J103" s="18"/>
      <c r="L103" s="11">
        <f>Table1345678101112131415161718192021222324[[#This Row],[الدولار]]+(Table1345678101112131415161718192021222324[[#This Row],[اللبناني]]/90)</f>
        <v>0</v>
      </c>
      <c r="M103" s="6"/>
    </row>
    <row r="104" spans="9:13" s="11" customFormat="1" x14ac:dyDescent="0.3">
      <c r="I104" s="39"/>
      <c r="J104" s="18"/>
      <c r="L104" s="11">
        <f>Table1345678101112131415161718192021222324[[#This Row],[الدولار]]+(Table1345678101112131415161718192021222324[[#This Row],[اللبناني]]/90)</f>
        <v>0</v>
      </c>
      <c r="M104" s="6"/>
    </row>
    <row r="105" spans="9:13" s="11" customFormat="1" x14ac:dyDescent="0.3">
      <c r="I105" s="39"/>
      <c r="J105" s="18"/>
      <c r="L105" s="11">
        <f>Table1345678101112131415161718192021222324[[#This Row],[الدولار]]+(Table1345678101112131415161718192021222324[[#This Row],[اللبناني]]/90)</f>
        <v>0</v>
      </c>
      <c r="M105" s="6"/>
    </row>
    <row r="106" spans="9:13" s="11" customFormat="1" x14ac:dyDescent="0.3">
      <c r="I106" s="39"/>
      <c r="J106" s="18"/>
      <c r="L106" s="11">
        <f>Table1345678101112131415161718192021222324[[#This Row],[الدولار]]+(Table1345678101112131415161718192021222324[[#This Row],[اللبناني]]/90)</f>
        <v>0</v>
      </c>
      <c r="M106" s="6"/>
    </row>
    <row r="107" spans="9:13" s="11" customFormat="1" x14ac:dyDescent="0.3">
      <c r="I107" s="39"/>
      <c r="J107" s="18"/>
      <c r="L107" s="11">
        <f>Table1345678101112131415161718192021222324[[#This Row],[الدولار]]+(Table1345678101112131415161718192021222324[[#This Row],[اللبناني]]/90)</f>
        <v>0</v>
      </c>
      <c r="M107" s="6"/>
    </row>
    <row r="108" spans="9:13" s="11" customFormat="1" x14ac:dyDescent="0.3">
      <c r="I108" s="39"/>
      <c r="J108" s="18"/>
      <c r="L108" s="11">
        <f>Table1345678101112131415161718192021222324[[#This Row],[الدولار]]+(Table1345678101112131415161718192021222324[[#This Row],[اللبناني]]/90)</f>
        <v>0</v>
      </c>
      <c r="M108" s="6"/>
    </row>
    <row r="109" spans="9:13" s="11" customFormat="1" x14ac:dyDescent="0.3">
      <c r="I109" s="39"/>
      <c r="J109" s="18"/>
      <c r="L109" s="11">
        <f>Table1345678101112131415161718192021222324[[#This Row],[الدولار]]+(Table1345678101112131415161718192021222324[[#This Row],[اللبناني]]/90)</f>
        <v>0</v>
      </c>
      <c r="M109" s="6"/>
    </row>
    <row r="110" spans="9:13" s="11" customFormat="1" x14ac:dyDescent="0.3">
      <c r="I110" s="39"/>
      <c r="J110" s="18"/>
      <c r="L110" s="11">
        <f>Table1345678101112131415161718192021222324[[#This Row],[الدولار]]+(Table1345678101112131415161718192021222324[[#This Row],[اللبناني]]/90)</f>
        <v>0</v>
      </c>
      <c r="M110" s="6"/>
    </row>
    <row r="111" spans="9:13" s="11" customFormat="1" x14ac:dyDescent="0.3">
      <c r="I111" s="39"/>
      <c r="J111" s="18"/>
      <c r="L111" s="11">
        <f>Table1345678101112131415161718192021222324[[#This Row],[الدولار]]+(Table1345678101112131415161718192021222324[[#This Row],[اللبناني]]/90)</f>
        <v>0</v>
      </c>
      <c r="M111" s="6"/>
    </row>
    <row r="112" spans="9:13" s="11" customFormat="1" x14ac:dyDescent="0.3">
      <c r="I112" s="39"/>
      <c r="J112" s="18"/>
      <c r="L112" s="11">
        <f>Table1345678101112131415161718192021222324[[#This Row],[الدولار]]+(Table1345678101112131415161718192021222324[[#This Row],[اللبناني]]/90)</f>
        <v>0</v>
      </c>
      <c r="M112" s="6"/>
    </row>
    <row r="113" spans="9:13" s="11" customFormat="1" x14ac:dyDescent="0.3">
      <c r="I113" s="39"/>
      <c r="J113" s="18"/>
      <c r="L113" s="11">
        <f>Table1345678101112131415161718192021222324[[#This Row],[الدولار]]+(Table1345678101112131415161718192021222324[[#This Row],[اللبناني]]/90)</f>
        <v>0</v>
      </c>
      <c r="M113" s="6"/>
    </row>
    <row r="114" spans="9:13" s="11" customFormat="1" x14ac:dyDescent="0.3">
      <c r="I114" s="39"/>
      <c r="J114" s="18"/>
      <c r="L114" s="11">
        <f>Table1345678101112131415161718192021222324[[#This Row],[الدولار]]+(Table1345678101112131415161718192021222324[[#This Row],[اللبناني]]/90)</f>
        <v>0</v>
      </c>
      <c r="M114" s="6"/>
    </row>
    <row r="115" spans="9:13" s="11" customFormat="1" x14ac:dyDescent="0.3">
      <c r="I115" s="39"/>
      <c r="J115" s="18"/>
      <c r="L115" s="11">
        <f>Table1345678101112131415161718192021222324[[#This Row],[الدولار]]+(Table1345678101112131415161718192021222324[[#This Row],[اللبناني]]/90)</f>
        <v>0</v>
      </c>
      <c r="M115" s="6"/>
    </row>
    <row r="116" spans="9:13" s="11" customFormat="1" x14ac:dyDescent="0.3">
      <c r="I116" s="39"/>
      <c r="J116" s="18"/>
      <c r="L116" s="11">
        <f>Table1345678101112131415161718192021222324[[#This Row],[الدولار]]+(Table1345678101112131415161718192021222324[[#This Row],[اللبناني]]/90)</f>
        <v>0</v>
      </c>
      <c r="M116" s="6"/>
    </row>
    <row r="117" spans="9:13" s="11" customFormat="1" x14ac:dyDescent="0.3">
      <c r="I117" s="39"/>
      <c r="J117" s="18"/>
      <c r="L117" s="11">
        <f>Table1345678101112131415161718192021222324[[#This Row],[الدولار]]+(Table1345678101112131415161718192021222324[[#This Row],[اللبناني]]/90)</f>
        <v>0</v>
      </c>
      <c r="M117" s="6"/>
    </row>
    <row r="118" spans="9:13" s="11" customFormat="1" x14ac:dyDescent="0.3">
      <c r="I118" s="39"/>
      <c r="J118" s="18"/>
      <c r="L118" s="11">
        <f>Table1345678101112131415161718192021222324[[#This Row],[الدولار]]+(Table1345678101112131415161718192021222324[[#This Row],[اللبناني]]/90)</f>
        <v>0</v>
      </c>
      <c r="M118" s="6"/>
    </row>
    <row r="119" spans="9:13" s="11" customFormat="1" x14ac:dyDescent="0.3">
      <c r="I119" s="39"/>
      <c r="J119" s="18"/>
      <c r="L119" s="11">
        <f>Table1345678101112131415161718192021222324[[#This Row],[الدولار]]+(Table1345678101112131415161718192021222324[[#This Row],[اللبناني]]/90)</f>
        <v>0</v>
      </c>
      <c r="M119" s="6"/>
    </row>
    <row r="120" spans="9:13" s="11" customFormat="1" x14ac:dyDescent="0.3">
      <c r="I120" s="39"/>
      <c r="J120" s="18"/>
      <c r="L120" s="11">
        <f>Table1345678101112131415161718192021222324[[#This Row],[الدولار]]+(Table1345678101112131415161718192021222324[[#This Row],[اللبناني]]/90)</f>
        <v>0</v>
      </c>
      <c r="M120" s="6"/>
    </row>
    <row r="121" spans="9:13" s="11" customFormat="1" x14ac:dyDescent="0.3">
      <c r="I121" s="39"/>
      <c r="J121" s="18"/>
      <c r="L121" s="11">
        <f>Table1345678101112131415161718192021222324[[#This Row],[الدولار]]+(Table1345678101112131415161718192021222324[[#This Row],[اللبناني]]/90)</f>
        <v>0</v>
      </c>
      <c r="M121" s="6"/>
    </row>
    <row r="122" spans="9:13" s="11" customFormat="1" x14ac:dyDescent="0.3">
      <c r="I122" s="39"/>
      <c r="J122" s="18"/>
      <c r="L122" s="11">
        <f>Table1345678101112131415161718192021222324[[#This Row],[الدولار]]+(Table1345678101112131415161718192021222324[[#This Row],[اللبناني]]/90)</f>
        <v>0</v>
      </c>
      <c r="M122" s="6"/>
    </row>
    <row r="123" spans="9:13" s="11" customFormat="1" x14ac:dyDescent="0.3">
      <c r="I123" s="39"/>
      <c r="J123" s="18"/>
      <c r="L123" s="11">
        <f>Table1345678101112131415161718192021222324[[#This Row],[الدولار]]+(Table1345678101112131415161718192021222324[[#This Row],[اللبناني]]/90)</f>
        <v>0</v>
      </c>
      <c r="M123" s="6"/>
    </row>
    <row r="124" spans="9:13" s="11" customFormat="1" x14ac:dyDescent="0.3">
      <c r="I124" s="39"/>
      <c r="J124" s="18"/>
      <c r="L124" s="11">
        <f>Table1345678101112131415161718192021222324[[#This Row],[الدولار]]+(Table1345678101112131415161718192021222324[[#This Row],[اللبناني]]/90)</f>
        <v>0</v>
      </c>
      <c r="M124" s="6"/>
    </row>
    <row r="125" spans="9:13" s="11" customFormat="1" x14ac:dyDescent="0.3">
      <c r="I125" s="39"/>
      <c r="J125" s="18"/>
      <c r="L125" s="11">
        <f>Table1345678101112131415161718192021222324[[#This Row],[الدولار]]+(Table1345678101112131415161718192021222324[[#This Row],[اللبناني]]/90)</f>
        <v>0</v>
      </c>
      <c r="M125" s="6"/>
    </row>
    <row r="126" spans="9:13" s="11" customFormat="1" x14ac:dyDescent="0.3">
      <c r="I126" s="39"/>
      <c r="J126" s="18"/>
      <c r="L126" s="11">
        <f>Table1345678101112131415161718192021222324[[#This Row],[الدولار]]+(Table1345678101112131415161718192021222324[[#This Row],[اللبناني]]/90)</f>
        <v>0</v>
      </c>
      <c r="M126" s="6"/>
    </row>
    <row r="127" spans="9:13" s="11" customFormat="1" x14ac:dyDescent="0.3">
      <c r="I127" s="39"/>
      <c r="J127" s="18"/>
      <c r="L127" s="11">
        <f>Table1345678101112131415161718192021222324[[#This Row],[الدولار]]+(Table1345678101112131415161718192021222324[[#This Row],[اللبناني]]/90)</f>
        <v>0</v>
      </c>
      <c r="M127" s="6"/>
    </row>
    <row r="128" spans="9:13" s="11" customFormat="1" x14ac:dyDescent="0.3">
      <c r="I128" s="39"/>
      <c r="J128" s="18"/>
      <c r="L128" s="11">
        <f>Table1345678101112131415161718192021222324[[#This Row],[الدولار]]+(Table1345678101112131415161718192021222324[[#This Row],[اللبناني]]/90)</f>
        <v>0</v>
      </c>
      <c r="M128" s="6"/>
    </row>
    <row r="129" spans="9:13" s="11" customFormat="1" x14ac:dyDescent="0.3">
      <c r="I129" s="39"/>
      <c r="J129" s="18"/>
      <c r="L129" s="11">
        <f>Table1345678101112131415161718192021222324[[#This Row],[الدولار]]+(Table1345678101112131415161718192021222324[[#This Row],[اللبناني]]/90)</f>
        <v>0</v>
      </c>
      <c r="M129" s="6"/>
    </row>
    <row r="130" spans="9:13" s="11" customFormat="1" x14ac:dyDescent="0.3">
      <c r="I130" s="39"/>
      <c r="J130" s="18"/>
      <c r="L130" s="11">
        <f>Table1345678101112131415161718192021222324[[#This Row],[الدولار]]+(Table1345678101112131415161718192021222324[[#This Row],[اللبناني]]/90)</f>
        <v>0</v>
      </c>
      <c r="M130" s="6"/>
    </row>
    <row r="131" spans="9:13" s="11" customFormat="1" x14ac:dyDescent="0.3">
      <c r="I131" s="39"/>
      <c r="J131" s="18"/>
      <c r="L131" s="11">
        <f>Table1345678101112131415161718192021222324[[#This Row],[الدولار]]+(Table1345678101112131415161718192021222324[[#This Row],[اللبناني]]/90)</f>
        <v>0</v>
      </c>
      <c r="M131" s="6"/>
    </row>
    <row r="132" spans="9:13" s="11" customFormat="1" x14ac:dyDescent="0.3">
      <c r="I132" s="39"/>
      <c r="J132" s="18"/>
      <c r="L132" s="11">
        <f>Table1345678101112131415161718192021222324[[#This Row],[الدولار]]+(Table1345678101112131415161718192021222324[[#This Row],[اللبناني]]/90)</f>
        <v>0</v>
      </c>
      <c r="M132" s="6"/>
    </row>
    <row r="133" spans="9:13" s="11" customFormat="1" x14ac:dyDescent="0.3">
      <c r="I133" s="39"/>
      <c r="J133" s="18"/>
      <c r="L133" s="11">
        <f>Table1345678101112131415161718192021222324[[#This Row],[الدولار]]+(Table1345678101112131415161718192021222324[[#This Row],[اللبناني]]/90)</f>
        <v>0</v>
      </c>
      <c r="M133" s="6"/>
    </row>
    <row r="134" spans="9:13" s="11" customFormat="1" x14ac:dyDescent="0.3">
      <c r="I134" s="39"/>
      <c r="J134" s="18"/>
      <c r="L134" s="11">
        <f>Table1345678101112131415161718192021222324[[#This Row],[الدولار]]+(Table1345678101112131415161718192021222324[[#This Row],[اللبناني]]/90)</f>
        <v>0</v>
      </c>
      <c r="M134" s="6"/>
    </row>
    <row r="135" spans="9:13" s="11" customFormat="1" x14ac:dyDescent="0.3">
      <c r="I135" s="39"/>
      <c r="J135" s="18"/>
      <c r="L135" s="11">
        <f>Table1345678101112131415161718192021222324[[#This Row],[الدولار]]+(Table1345678101112131415161718192021222324[[#This Row],[اللبناني]]/90)</f>
        <v>0</v>
      </c>
      <c r="M135" s="6"/>
    </row>
    <row r="136" spans="9:13" s="11" customFormat="1" x14ac:dyDescent="0.3">
      <c r="I136" s="39"/>
      <c r="J136" s="18"/>
      <c r="L136" s="11">
        <f>Table1345678101112131415161718192021222324[[#This Row],[الدولار]]+(Table1345678101112131415161718192021222324[[#This Row],[اللبناني]]/90)</f>
        <v>0</v>
      </c>
      <c r="M136" s="6"/>
    </row>
    <row r="137" spans="9:13" s="11" customFormat="1" x14ac:dyDescent="0.3">
      <c r="I137" s="39"/>
      <c r="J137" s="18"/>
      <c r="L137" s="11">
        <f>Table1345678101112131415161718192021222324[[#This Row],[الدولار]]+(Table1345678101112131415161718192021222324[[#This Row],[اللبناني]]/90)</f>
        <v>0</v>
      </c>
      <c r="M137" s="6"/>
    </row>
    <row r="138" spans="9:13" s="11" customFormat="1" x14ac:dyDescent="0.3">
      <c r="I138" s="39"/>
      <c r="J138" s="18"/>
      <c r="L138" s="11">
        <f>Table1345678101112131415161718192021222324[[#This Row],[الدولار]]+(Table1345678101112131415161718192021222324[[#This Row],[اللبناني]]/90)</f>
        <v>0</v>
      </c>
      <c r="M138" s="6"/>
    </row>
    <row r="139" spans="9:13" s="11" customFormat="1" x14ac:dyDescent="0.3">
      <c r="I139" s="39"/>
      <c r="J139" s="18"/>
      <c r="L139" s="11">
        <f>Table1345678101112131415161718192021222324[[#This Row],[الدولار]]+(Table1345678101112131415161718192021222324[[#This Row],[اللبناني]]/90)</f>
        <v>0</v>
      </c>
      <c r="M139" s="6"/>
    </row>
    <row r="140" spans="9:13" s="11" customFormat="1" x14ac:dyDescent="0.3">
      <c r="I140" s="39"/>
      <c r="J140" s="18"/>
      <c r="L140" s="11">
        <f>Table1345678101112131415161718192021222324[[#This Row],[الدولار]]+(Table1345678101112131415161718192021222324[[#This Row],[اللبناني]]/90)</f>
        <v>0</v>
      </c>
      <c r="M140" s="6"/>
    </row>
    <row r="141" spans="9:13" s="11" customFormat="1" x14ac:dyDescent="0.3">
      <c r="I141" s="39"/>
      <c r="J141" s="18"/>
      <c r="L141" s="11">
        <f>Table1345678101112131415161718192021222324[[#This Row],[الدولار]]+(Table1345678101112131415161718192021222324[[#This Row],[اللبناني]]/90)</f>
        <v>0</v>
      </c>
      <c r="M141" s="6"/>
    </row>
    <row r="142" spans="9:13" s="11" customFormat="1" x14ac:dyDescent="0.3">
      <c r="I142" s="39"/>
      <c r="J142" s="18"/>
      <c r="L142" s="11">
        <f>Table1345678101112131415161718192021222324[[#This Row],[الدولار]]+(Table1345678101112131415161718192021222324[[#This Row],[اللبناني]]/90)</f>
        <v>0</v>
      </c>
      <c r="M142" s="6"/>
    </row>
    <row r="143" spans="9:13" s="11" customFormat="1" x14ac:dyDescent="0.3">
      <c r="I143" s="39"/>
      <c r="J143" s="18"/>
      <c r="L143" s="11">
        <f>Table1345678101112131415161718192021222324[[#This Row],[الدولار]]+(Table1345678101112131415161718192021222324[[#This Row],[اللبناني]]/90)</f>
        <v>0</v>
      </c>
      <c r="M143" s="6"/>
    </row>
    <row r="144" spans="9:13" s="11" customFormat="1" x14ac:dyDescent="0.3">
      <c r="I144" s="39"/>
      <c r="J144" s="18"/>
      <c r="L144" s="11">
        <f>Table1345678101112131415161718192021222324[[#This Row],[الدولار]]+(Table1345678101112131415161718192021222324[[#This Row],[اللبناني]]/90)</f>
        <v>0</v>
      </c>
      <c r="M144" s="6"/>
    </row>
    <row r="145" spans="9:13" s="11" customFormat="1" x14ac:dyDescent="0.3">
      <c r="I145" s="39"/>
      <c r="J145" s="18"/>
      <c r="L145" s="11">
        <f>Table1345678101112131415161718192021222324[[#This Row],[الدولار]]+(Table1345678101112131415161718192021222324[[#This Row],[اللبناني]]/90)</f>
        <v>0</v>
      </c>
      <c r="M145" s="6"/>
    </row>
    <row r="146" spans="9:13" s="11" customFormat="1" x14ac:dyDescent="0.3">
      <c r="I146" s="39"/>
      <c r="J146" s="18"/>
      <c r="L146" s="11">
        <f>Table1345678101112131415161718192021222324[[#This Row],[الدولار]]+(Table1345678101112131415161718192021222324[[#This Row],[اللبناني]]/90)</f>
        <v>0</v>
      </c>
      <c r="M146" s="6"/>
    </row>
    <row r="147" spans="9:13" s="11" customFormat="1" x14ac:dyDescent="0.3">
      <c r="I147" s="39"/>
      <c r="J147" s="18"/>
      <c r="L147" s="11">
        <f>Table1345678101112131415161718192021222324[[#This Row],[الدولار]]+(Table1345678101112131415161718192021222324[[#This Row],[اللبناني]]/90)</f>
        <v>0</v>
      </c>
      <c r="M147" s="6"/>
    </row>
    <row r="148" spans="9:13" s="11" customFormat="1" x14ac:dyDescent="0.3">
      <c r="I148" s="39"/>
      <c r="J148" s="18"/>
      <c r="L148" s="11">
        <f>Table1345678101112131415161718192021222324[[#This Row],[الدولار]]+(Table1345678101112131415161718192021222324[[#This Row],[اللبناني]]/90)</f>
        <v>0</v>
      </c>
      <c r="M148" s="6"/>
    </row>
    <row r="149" spans="9:13" s="11" customFormat="1" x14ac:dyDescent="0.3">
      <c r="I149" s="39"/>
      <c r="J149" s="18"/>
      <c r="L149" s="11">
        <f>Table1345678101112131415161718192021222324[[#This Row],[الدولار]]+(Table1345678101112131415161718192021222324[[#This Row],[اللبناني]]/90)</f>
        <v>0</v>
      </c>
      <c r="M149" s="6"/>
    </row>
    <row r="150" spans="9:13" s="11" customFormat="1" x14ac:dyDescent="0.3">
      <c r="I150" s="39"/>
      <c r="J150" s="18"/>
      <c r="L150" s="11">
        <f>Table1345678101112131415161718192021222324[[#This Row],[الدولار]]+(Table1345678101112131415161718192021222324[[#This Row],[اللبناني]]/90)</f>
        <v>0</v>
      </c>
      <c r="M150" s="6"/>
    </row>
    <row r="151" spans="9:13" s="11" customFormat="1" x14ac:dyDescent="0.3">
      <c r="I151" s="39"/>
      <c r="J151" s="18"/>
      <c r="L151" s="11">
        <f>Table1345678101112131415161718192021222324[[#This Row],[الدولار]]+(Table1345678101112131415161718192021222324[[#This Row],[اللبناني]]/90)</f>
        <v>0</v>
      </c>
      <c r="M151" s="6"/>
    </row>
    <row r="152" spans="9:13" s="11" customFormat="1" x14ac:dyDescent="0.3">
      <c r="I152" s="39"/>
      <c r="J152" s="18"/>
      <c r="L152" s="11">
        <f>Table1345678101112131415161718192021222324[[#This Row],[الدولار]]+(Table1345678101112131415161718192021222324[[#This Row],[اللبناني]]/90)</f>
        <v>0</v>
      </c>
      <c r="M152" s="6"/>
    </row>
    <row r="153" spans="9:13" s="11" customFormat="1" x14ac:dyDescent="0.3">
      <c r="I153" s="39"/>
      <c r="J153" s="18"/>
      <c r="L153" s="11">
        <f>Table1345678101112131415161718192021222324[[#This Row],[الدولار]]+(Table1345678101112131415161718192021222324[[#This Row],[اللبناني]]/90)</f>
        <v>0</v>
      </c>
      <c r="M153" s="6"/>
    </row>
    <row r="154" spans="9:13" s="11" customFormat="1" x14ac:dyDescent="0.3">
      <c r="I154" s="39"/>
      <c r="J154" s="18"/>
      <c r="L154" s="11">
        <f>Table1345678101112131415161718192021222324[[#This Row],[الدولار]]+(Table1345678101112131415161718192021222324[[#This Row],[اللبناني]]/90)</f>
        <v>0</v>
      </c>
      <c r="M154" s="6"/>
    </row>
    <row r="155" spans="9:13" s="11" customFormat="1" x14ac:dyDescent="0.3">
      <c r="I155" s="39"/>
      <c r="J155" s="18"/>
      <c r="L155" s="11">
        <f>Table1345678101112131415161718192021222324[[#This Row],[الدولار]]+(Table1345678101112131415161718192021222324[[#This Row],[اللبناني]]/90)</f>
        <v>0</v>
      </c>
      <c r="M155" s="6"/>
    </row>
    <row r="156" spans="9:13" s="11" customFormat="1" x14ac:dyDescent="0.3">
      <c r="I156" s="39"/>
      <c r="J156" s="18"/>
      <c r="L156" s="11">
        <f>Table1345678101112131415161718192021222324[[#This Row],[الدولار]]+(Table1345678101112131415161718192021222324[[#This Row],[اللبناني]]/90)</f>
        <v>0</v>
      </c>
      <c r="M156" s="6"/>
    </row>
    <row r="157" spans="9:13" s="11" customFormat="1" x14ac:dyDescent="0.3">
      <c r="I157" s="39"/>
      <c r="J157" s="18"/>
      <c r="L157" s="11">
        <f>Table1345678101112131415161718192021222324[[#This Row],[الدولار]]+(Table1345678101112131415161718192021222324[[#This Row],[اللبناني]]/90)</f>
        <v>0</v>
      </c>
      <c r="M157" s="6"/>
    </row>
    <row r="158" spans="9:13" s="11" customFormat="1" x14ac:dyDescent="0.3">
      <c r="I158" s="39"/>
      <c r="J158" s="18"/>
      <c r="L158" s="11">
        <f>Table1345678101112131415161718192021222324[[#This Row],[الدولار]]+(Table1345678101112131415161718192021222324[[#This Row],[اللبناني]]/90)</f>
        <v>0</v>
      </c>
      <c r="M158" s="6"/>
    </row>
    <row r="159" spans="9:13" s="11" customFormat="1" x14ac:dyDescent="0.3">
      <c r="I159" s="39"/>
      <c r="J159" s="18"/>
      <c r="L159" s="11">
        <f>Table1345678101112131415161718192021222324[[#This Row],[الدولار]]+(Table1345678101112131415161718192021222324[[#This Row],[اللبناني]]/90)</f>
        <v>0</v>
      </c>
      <c r="M159" s="6"/>
    </row>
    <row r="160" spans="9:13" s="11" customFormat="1" x14ac:dyDescent="0.3">
      <c r="I160" s="39"/>
      <c r="J160" s="18"/>
      <c r="L160" s="11">
        <f>Table1345678101112131415161718192021222324[[#This Row],[الدولار]]+(Table1345678101112131415161718192021222324[[#This Row],[اللبناني]]/90)</f>
        <v>0</v>
      </c>
      <c r="M160" s="6"/>
    </row>
    <row r="161" spans="9:13" s="11" customFormat="1" x14ac:dyDescent="0.3">
      <c r="I161" s="39"/>
      <c r="J161" s="18"/>
      <c r="L161" s="11">
        <f>Table1345678101112131415161718192021222324[[#This Row],[الدولار]]+(Table1345678101112131415161718192021222324[[#This Row],[اللبناني]]/90)</f>
        <v>0</v>
      </c>
      <c r="M161" s="6"/>
    </row>
    <row r="162" spans="9:13" s="11" customFormat="1" x14ac:dyDescent="0.3">
      <c r="I162" s="39"/>
      <c r="J162" s="18"/>
      <c r="L162" s="11">
        <f>Table1345678101112131415161718192021222324[[#This Row],[الدولار]]+(Table1345678101112131415161718192021222324[[#This Row],[اللبناني]]/90)</f>
        <v>0</v>
      </c>
      <c r="M162" s="6"/>
    </row>
    <row r="163" spans="9:13" s="11" customFormat="1" x14ac:dyDescent="0.3">
      <c r="I163" s="39"/>
      <c r="J163" s="18"/>
      <c r="L163" s="11">
        <f>Table1345678101112131415161718192021222324[[#This Row],[الدولار]]+(Table1345678101112131415161718192021222324[[#This Row],[اللبناني]]/90)</f>
        <v>0</v>
      </c>
      <c r="M163" s="6"/>
    </row>
    <row r="164" spans="9:13" s="11" customFormat="1" x14ac:dyDescent="0.3">
      <c r="I164" s="39"/>
      <c r="J164" s="18"/>
      <c r="L164" s="11">
        <f>Table1345678101112131415161718192021222324[[#This Row],[الدولار]]+(Table1345678101112131415161718192021222324[[#This Row],[اللبناني]]/90)</f>
        <v>0</v>
      </c>
      <c r="M164" s="6"/>
    </row>
    <row r="165" spans="9:13" s="11" customFormat="1" x14ac:dyDescent="0.3">
      <c r="I165" s="39"/>
      <c r="J165" s="18"/>
      <c r="L165" s="11">
        <f>Table1345678101112131415161718192021222324[[#This Row],[الدولار]]+(Table1345678101112131415161718192021222324[[#This Row],[اللبناني]]/90)</f>
        <v>0</v>
      </c>
      <c r="M165" s="6"/>
    </row>
    <row r="166" spans="9:13" s="11" customFormat="1" x14ac:dyDescent="0.3">
      <c r="I166" s="39"/>
      <c r="J166" s="18"/>
      <c r="L166" s="11">
        <f>Table1345678101112131415161718192021222324[[#This Row],[الدولار]]+(Table1345678101112131415161718192021222324[[#This Row],[اللبناني]]/90)</f>
        <v>0</v>
      </c>
      <c r="M166" s="6"/>
    </row>
    <row r="167" spans="9:13" s="11" customFormat="1" x14ac:dyDescent="0.3">
      <c r="I167" s="39"/>
      <c r="J167" s="18"/>
      <c r="L167" s="11">
        <f>Table1345678101112131415161718192021222324[[#This Row],[الدولار]]+(Table1345678101112131415161718192021222324[[#This Row],[اللبناني]]/90)</f>
        <v>0</v>
      </c>
      <c r="M167" s="6"/>
    </row>
    <row r="168" spans="9:13" s="11" customFormat="1" x14ac:dyDescent="0.3">
      <c r="I168" s="39"/>
      <c r="J168" s="18"/>
      <c r="L168" s="11">
        <f>Table1345678101112131415161718192021222324[[#This Row],[الدولار]]+(Table1345678101112131415161718192021222324[[#This Row],[اللبناني]]/90)</f>
        <v>0</v>
      </c>
      <c r="M168" s="6"/>
    </row>
    <row r="169" spans="9:13" s="11" customFormat="1" x14ac:dyDescent="0.3">
      <c r="I169" s="39"/>
      <c r="J169" s="18"/>
      <c r="L169" s="11">
        <f>Table1345678101112131415161718192021222324[[#This Row],[الدولار]]+(Table1345678101112131415161718192021222324[[#This Row],[اللبناني]]/90)</f>
        <v>0</v>
      </c>
      <c r="M169" s="6"/>
    </row>
    <row r="170" spans="9:13" s="11" customFormat="1" x14ac:dyDescent="0.3">
      <c r="I170" s="39"/>
      <c r="J170" s="18"/>
      <c r="L170" s="11">
        <f>Table1345678101112131415161718192021222324[[#This Row],[الدولار]]+(Table1345678101112131415161718192021222324[[#This Row],[اللبناني]]/90)</f>
        <v>0</v>
      </c>
      <c r="M170" s="6"/>
    </row>
    <row r="171" spans="9:13" s="11" customFormat="1" x14ac:dyDescent="0.3">
      <c r="I171" s="39"/>
      <c r="J171" s="18"/>
      <c r="L171" s="11">
        <f>Table1345678101112131415161718192021222324[[#This Row],[الدولار]]+(Table1345678101112131415161718192021222324[[#This Row],[اللبناني]]/90)</f>
        <v>0</v>
      </c>
      <c r="M171" s="6"/>
    </row>
    <row r="172" spans="9:13" s="11" customFormat="1" x14ac:dyDescent="0.3">
      <c r="I172" s="39"/>
      <c r="J172" s="18"/>
      <c r="L172" s="11">
        <f>Table1345678101112131415161718192021222324[[#This Row],[الدولار]]+(Table1345678101112131415161718192021222324[[#This Row],[اللبناني]]/90)</f>
        <v>0</v>
      </c>
      <c r="M172" s="6"/>
    </row>
    <row r="173" spans="9:13" s="11" customFormat="1" x14ac:dyDescent="0.3">
      <c r="I173" s="39"/>
      <c r="J173" s="18"/>
      <c r="L173" s="11">
        <f>Table1345678101112131415161718192021222324[[#This Row],[الدولار]]+(Table1345678101112131415161718192021222324[[#This Row],[اللبناني]]/90)</f>
        <v>0</v>
      </c>
      <c r="M173" s="6"/>
    </row>
    <row r="174" spans="9:13" s="11" customFormat="1" x14ac:dyDescent="0.3">
      <c r="I174" s="39"/>
      <c r="J174" s="18"/>
      <c r="L174" s="11">
        <f>Table1345678101112131415161718192021222324[[#This Row],[الدولار]]+(Table1345678101112131415161718192021222324[[#This Row],[اللبناني]]/90)</f>
        <v>0</v>
      </c>
      <c r="M174" s="6"/>
    </row>
    <row r="175" spans="9:13" s="11" customFormat="1" x14ac:dyDescent="0.3">
      <c r="I175" s="39"/>
      <c r="J175" s="18"/>
      <c r="L175" s="11">
        <f>Table1345678101112131415161718192021222324[[#This Row],[الدولار]]+(Table1345678101112131415161718192021222324[[#This Row],[اللبناني]]/90)</f>
        <v>0</v>
      </c>
      <c r="M175" s="6"/>
    </row>
    <row r="176" spans="9:13" s="11" customFormat="1" x14ac:dyDescent="0.3">
      <c r="I176" s="39"/>
      <c r="J176" s="18"/>
      <c r="L176" s="11">
        <f>Table1345678101112131415161718192021222324[[#This Row],[الدولار]]+(Table1345678101112131415161718192021222324[[#This Row],[اللبناني]]/90)</f>
        <v>0</v>
      </c>
      <c r="M176" s="6"/>
    </row>
    <row r="177" spans="9:13" s="11" customFormat="1" x14ac:dyDescent="0.3">
      <c r="I177" s="39"/>
      <c r="J177" s="18"/>
      <c r="L177" s="11">
        <f>Table1345678101112131415161718192021222324[[#This Row],[الدولار]]+(Table1345678101112131415161718192021222324[[#This Row],[اللبناني]]/90)</f>
        <v>0</v>
      </c>
      <c r="M177" s="6"/>
    </row>
    <row r="178" spans="9:13" s="11" customFormat="1" x14ac:dyDescent="0.3">
      <c r="I178" s="39"/>
      <c r="J178" s="18"/>
      <c r="L178" s="11">
        <f>Table1345678101112131415161718192021222324[[#This Row],[الدولار]]+(Table1345678101112131415161718192021222324[[#This Row],[اللبناني]]/90)</f>
        <v>0</v>
      </c>
      <c r="M178" s="6"/>
    </row>
    <row r="179" spans="9:13" s="11" customFormat="1" x14ac:dyDescent="0.3">
      <c r="I179" s="39"/>
      <c r="J179" s="18"/>
      <c r="L179" s="11">
        <f>Table1345678101112131415161718192021222324[[#This Row],[الدولار]]+(Table1345678101112131415161718192021222324[[#This Row],[اللبناني]]/90)</f>
        <v>0</v>
      </c>
      <c r="M179" s="6"/>
    </row>
    <row r="180" spans="9:13" s="11" customFormat="1" x14ac:dyDescent="0.3">
      <c r="I180" s="39"/>
      <c r="J180" s="18"/>
      <c r="L180" s="11">
        <f>Table1345678101112131415161718192021222324[[#This Row],[الدولار]]+(Table1345678101112131415161718192021222324[[#This Row],[اللبناني]]/90)</f>
        <v>0</v>
      </c>
      <c r="M180" s="6"/>
    </row>
    <row r="181" spans="9:13" s="11" customFormat="1" x14ac:dyDescent="0.3">
      <c r="I181" s="39"/>
      <c r="J181" s="18"/>
      <c r="L181" s="11">
        <f>Table1345678101112131415161718192021222324[[#This Row],[الدولار]]+(Table1345678101112131415161718192021222324[[#This Row],[اللبناني]]/90)</f>
        <v>0</v>
      </c>
      <c r="M181" s="6"/>
    </row>
    <row r="182" spans="9:13" s="11" customFormat="1" x14ac:dyDescent="0.3">
      <c r="I182" s="39"/>
      <c r="J182" s="18"/>
      <c r="L182" s="11">
        <f>Table1345678101112131415161718192021222324[[#This Row],[الدولار]]+(Table1345678101112131415161718192021222324[[#This Row],[اللبناني]]/90)</f>
        <v>0</v>
      </c>
      <c r="M182" s="6"/>
    </row>
    <row r="183" spans="9:13" s="11" customFormat="1" x14ac:dyDescent="0.3">
      <c r="I183" s="39"/>
      <c r="J183" s="18"/>
      <c r="L183" s="11">
        <f>Table1345678101112131415161718192021222324[[#This Row],[الدولار]]+(Table1345678101112131415161718192021222324[[#This Row],[اللبناني]]/90)</f>
        <v>0</v>
      </c>
      <c r="M183" s="6"/>
    </row>
    <row r="184" spans="9:13" s="11" customFormat="1" x14ac:dyDescent="0.3">
      <c r="I184" s="39"/>
      <c r="J184" s="18"/>
      <c r="L184" s="11">
        <f>Table1345678101112131415161718192021222324[[#This Row],[الدولار]]+(Table1345678101112131415161718192021222324[[#This Row],[اللبناني]]/90)</f>
        <v>0</v>
      </c>
      <c r="M184" s="6"/>
    </row>
    <row r="185" spans="9:13" s="11" customFormat="1" x14ac:dyDescent="0.3">
      <c r="I185" s="39"/>
      <c r="J185" s="18"/>
      <c r="L185" s="11">
        <f>Table1345678101112131415161718192021222324[[#This Row],[الدولار]]+(Table1345678101112131415161718192021222324[[#This Row],[اللبناني]]/90)</f>
        <v>0</v>
      </c>
      <c r="M185" s="6"/>
    </row>
    <row r="186" spans="9:13" s="11" customFormat="1" x14ac:dyDescent="0.3">
      <c r="I186" s="39"/>
      <c r="J186" s="18"/>
      <c r="L186" s="11">
        <f>Table1345678101112131415161718192021222324[[#This Row],[الدولار]]+(Table1345678101112131415161718192021222324[[#This Row],[اللبناني]]/90)</f>
        <v>0</v>
      </c>
      <c r="M186" s="6"/>
    </row>
    <row r="187" spans="9:13" s="11" customFormat="1" x14ac:dyDescent="0.3">
      <c r="I187" s="39"/>
      <c r="J187" s="18"/>
      <c r="L187" s="11">
        <f>Table1345678101112131415161718192021222324[[#This Row],[الدولار]]+(Table1345678101112131415161718192021222324[[#This Row],[اللبناني]]/90)</f>
        <v>0</v>
      </c>
      <c r="M187" s="6"/>
    </row>
    <row r="188" spans="9:13" s="11" customFormat="1" x14ac:dyDescent="0.3">
      <c r="I188" s="39"/>
      <c r="J188" s="18"/>
      <c r="L188" s="11">
        <f>Table1345678101112131415161718192021222324[[#This Row],[الدولار]]+(Table1345678101112131415161718192021222324[[#This Row],[اللبناني]]/90)</f>
        <v>0</v>
      </c>
      <c r="M188" s="6"/>
    </row>
    <row r="189" spans="9:13" s="11" customFormat="1" x14ac:dyDescent="0.3">
      <c r="I189" s="39"/>
      <c r="J189" s="18"/>
      <c r="L189" s="11">
        <f>Table1345678101112131415161718192021222324[[#This Row],[الدولار]]+(Table1345678101112131415161718192021222324[[#This Row],[اللبناني]]/90)</f>
        <v>0</v>
      </c>
      <c r="M189" s="6"/>
    </row>
    <row r="190" spans="9:13" s="11" customFormat="1" x14ac:dyDescent="0.3">
      <c r="I190" s="39"/>
      <c r="J190" s="18"/>
      <c r="L190" s="11">
        <f>Table1345678101112131415161718192021222324[[#This Row],[الدولار]]+(Table1345678101112131415161718192021222324[[#This Row],[اللبناني]]/90)</f>
        <v>0</v>
      </c>
      <c r="M190" s="6"/>
    </row>
    <row r="191" spans="9:13" s="11" customFormat="1" x14ac:dyDescent="0.3">
      <c r="I191" s="39"/>
      <c r="J191" s="18"/>
      <c r="L191" s="11">
        <f>Table1345678101112131415161718192021222324[[#This Row],[الدولار]]+(Table1345678101112131415161718192021222324[[#This Row],[اللبناني]]/90)</f>
        <v>0</v>
      </c>
      <c r="M191" s="6"/>
    </row>
    <row r="192" spans="9:13" s="11" customFormat="1" x14ac:dyDescent="0.3">
      <c r="I192" s="39"/>
      <c r="J192" s="18"/>
      <c r="L192" s="11">
        <f>Table1345678101112131415161718192021222324[[#This Row],[الدولار]]+(Table1345678101112131415161718192021222324[[#This Row],[اللبناني]]/90)</f>
        <v>0</v>
      </c>
      <c r="M192" s="6"/>
    </row>
    <row r="193" spans="9:13" s="11" customFormat="1" x14ac:dyDescent="0.3">
      <c r="I193" s="39"/>
      <c r="J193" s="18"/>
      <c r="L193" s="11">
        <f>Table1345678101112131415161718192021222324[[#This Row],[الدولار]]+(Table1345678101112131415161718192021222324[[#This Row],[اللبناني]]/90)</f>
        <v>0</v>
      </c>
      <c r="M193" s="6"/>
    </row>
    <row r="194" spans="9:13" s="11" customFormat="1" x14ac:dyDescent="0.3">
      <c r="I194" s="39"/>
      <c r="J194" s="18"/>
      <c r="L194" s="11">
        <f>Table1345678101112131415161718192021222324[[#This Row],[الدولار]]+(Table1345678101112131415161718192021222324[[#This Row],[اللبناني]]/90)</f>
        <v>0</v>
      </c>
      <c r="M194" s="6"/>
    </row>
    <row r="195" spans="9:13" s="11" customFormat="1" x14ac:dyDescent="0.3">
      <c r="I195" s="39"/>
      <c r="J195" s="18"/>
      <c r="L195" s="11">
        <f>Table1345678101112131415161718192021222324[[#This Row],[الدولار]]+(Table1345678101112131415161718192021222324[[#This Row],[اللبناني]]/90)</f>
        <v>0</v>
      </c>
      <c r="M195" s="6"/>
    </row>
    <row r="196" spans="9:13" s="11" customFormat="1" x14ac:dyDescent="0.3">
      <c r="I196" s="39"/>
      <c r="J196" s="18"/>
      <c r="L196" s="11">
        <f>Table1345678101112131415161718192021222324[[#This Row],[الدولار]]+(Table1345678101112131415161718192021222324[[#This Row],[اللبناني]]/90)</f>
        <v>0</v>
      </c>
      <c r="M196" s="6"/>
    </row>
    <row r="197" spans="9:13" s="11" customFormat="1" x14ac:dyDescent="0.3">
      <c r="I197" s="39"/>
      <c r="J197" s="18"/>
      <c r="L197" s="11">
        <f>Table1345678101112131415161718192021222324[[#This Row],[الدولار]]+(Table1345678101112131415161718192021222324[[#This Row],[اللبناني]]/90)</f>
        <v>0</v>
      </c>
      <c r="M197" s="6"/>
    </row>
    <row r="198" spans="9:13" s="11" customFormat="1" x14ac:dyDescent="0.3">
      <c r="I198" s="39"/>
      <c r="J198" s="18"/>
      <c r="L198" s="11">
        <f>Table1345678101112131415161718192021222324[[#This Row],[الدولار]]+(Table1345678101112131415161718192021222324[[#This Row],[اللبناني]]/90)</f>
        <v>0</v>
      </c>
      <c r="M198" s="6"/>
    </row>
    <row r="199" spans="9:13" s="11" customFormat="1" x14ac:dyDescent="0.3">
      <c r="I199" s="39"/>
      <c r="J199" s="18"/>
      <c r="L199" s="11">
        <f>Table1345678101112131415161718192021222324[[#This Row],[الدولار]]+(Table1345678101112131415161718192021222324[[#This Row],[اللبناني]]/90)</f>
        <v>0</v>
      </c>
      <c r="M199" s="6"/>
    </row>
    <row r="200" spans="9:13" s="11" customFormat="1" x14ac:dyDescent="0.3">
      <c r="I200" s="39"/>
      <c r="J200" s="18"/>
      <c r="L200" s="11">
        <f>Table1345678101112131415161718192021222324[[#This Row],[الدولار]]+(Table1345678101112131415161718192021222324[[#This Row],[اللبناني]]/90)</f>
        <v>0</v>
      </c>
      <c r="M200" s="6"/>
    </row>
    <row r="201" spans="9:13" s="11" customFormat="1" x14ac:dyDescent="0.3">
      <c r="I201" s="39"/>
      <c r="J201" s="18"/>
      <c r="L201" s="11">
        <f>Table1345678101112131415161718192021222324[[#This Row],[الدولار]]+(Table1345678101112131415161718192021222324[[#This Row],[اللبناني]]/90)</f>
        <v>0</v>
      </c>
      <c r="M201" s="6"/>
    </row>
    <row r="202" spans="9:13" s="11" customFormat="1" x14ac:dyDescent="0.3">
      <c r="I202" s="39"/>
      <c r="J202" s="18"/>
      <c r="L202" s="11">
        <f>Table1345678101112131415161718192021222324[[#This Row],[الدولار]]+(Table1345678101112131415161718192021222324[[#This Row],[اللبناني]]/90)</f>
        <v>0</v>
      </c>
      <c r="M202" s="6"/>
    </row>
    <row r="203" spans="9:13" s="11" customFormat="1" x14ac:dyDescent="0.3">
      <c r="I203" s="39"/>
      <c r="J203" s="18"/>
      <c r="L203" s="11">
        <f>Table1345678101112131415161718192021222324[[#This Row],[الدولار]]+(Table1345678101112131415161718192021222324[[#This Row],[اللبناني]]/90)</f>
        <v>0</v>
      </c>
      <c r="M203" s="6"/>
    </row>
    <row r="204" spans="9:13" s="11" customFormat="1" x14ac:dyDescent="0.3">
      <c r="I204" s="39"/>
      <c r="J204" s="18"/>
      <c r="L204" s="11">
        <f>Table1345678101112131415161718192021222324[[#This Row],[الدولار]]+(Table1345678101112131415161718192021222324[[#This Row],[اللبناني]]/90)</f>
        <v>0</v>
      </c>
      <c r="M204" s="6"/>
    </row>
    <row r="205" spans="9:13" s="11" customFormat="1" x14ac:dyDescent="0.3">
      <c r="I205" s="39"/>
      <c r="J205" s="18"/>
      <c r="L205" s="11">
        <f>Table1345678101112131415161718192021222324[[#This Row],[الدولار]]+(Table1345678101112131415161718192021222324[[#This Row],[اللبناني]]/90)</f>
        <v>0</v>
      </c>
      <c r="M205" s="6"/>
    </row>
    <row r="206" spans="9:13" s="11" customFormat="1" x14ac:dyDescent="0.3">
      <c r="I206" s="39"/>
      <c r="J206" s="18"/>
      <c r="L206" s="11">
        <f>Table1345678101112131415161718192021222324[[#This Row],[الدولار]]+(Table1345678101112131415161718192021222324[[#This Row],[اللبناني]]/90)</f>
        <v>0</v>
      </c>
      <c r="M206" s="6"/>
    </row>
    <row r="207" spans="9:13" s="11" customFormat="1" x14ac:dyDescent="0.3">
      <c r="I207" s="39"/>
      <c r="J207" s="18"/>
      <c r="L207" s="11">
        <f>Table1345678101112131415161718192021222324[[#This Row],[الدولار]]+(Table1345678101112131415161718192021222324[[#This Row],[اللبناني]]/90)</f>
        <v>0</v>
      </c>
      <c r="M207" s="6"/>
    </row>
    <row r="208" spans="9:13" s="11" customFormat="1" x14ac:dyDescent="0.3">
      <c r="I208" s="39"/>
      <c r="J208" s="18"/>
      <c r="L208" s="11">
        <f>Table1345678101112131415161718192021222324[[#This Row],[الدولار]]+(Table1345678101112131415161718192021222324[[#This Row],[اللبناني]]/90)</f>
        <v>0</v>
      </c>
      <c r="M208" s="6"/>
    </row>
    <row r="209" spans="9:13" s="11" customFormat="1" x14ac:dyDescent="0.3">
      <c r="I209" s="39"/>
      <c r="J209" s="18"/>
      <c r="L209" s="11">
        <f>Table1345678101112131415161718192021222324[[#This Row],[الدولار]]+(Table1345678101112131415161718192021222324[[#This Row],[اللبناني]]/90)</f>
        <v>0</v>
      </c>
      <c r="M209" s="6"/>
    </row>
    <row r="210" spans="9:13" s="11" customFormat="1" x14ac:dyDescent="0.3">
      <c r="I210" s="39"/>
      <c r="J210" s="18"/>
      <c r="L210" s="11">
        <f>Table1345678101112131415161718192021222324[[#This Row],[الدولار]]+(Table1345678101112131415161718192021222324[[#This Row],[اللبناني]]/90)</f>
        <v>0</v>
      </c>
      <c r="M210" s="6"/>
    </row>
    <row r="211" spans="9:13" s="11" customFormat="1" x14ac:dyDescent="0.3">
      <c r="I211" s="39"/>
      <c r="J211" s="18"/>
      <c r="L211" s="11">
        <f>Table1345678101112131415161718192021222324[[#This Row],[الدولار]]+(Table1345678101112131415161718192021222324[[#This Row],[اللبناني]]/90)</f>
        <v>0</v>
      </c>
      <c r="M211" s="6"/>
    </row>
    <row r="212" spans="9:13" s="11" customFormat="1" x14ac:dyDescent="0.3">
      <c r="I212" s="39"/>
      <c r="J212" s="18"/>
      <c r="L212" s="11">
        <f>Table1345678101112131415161718192021222324[[#This Row],[الدولار]]+(Table1345678101112131415161718192021222324[[#This Row],[اللبناني]]/90)</f>
        <v>0</v>
      </c>
      <c r="M212" s="6"/>
    </row>
    <row r="213" spans="9:13" s="11" customFormat="1" x14ac:dyDescent="0.3">
      <c r="I213" s="39"/>
      <c r="J213" s="18"/>
      <c r="L213" s="11">
        <f>Table1345678101112131415161718192021222324[[#This Row],[الدولار]]+(Table1345678101112131415161718192021222324[[#This Row],[اللبناني]]/90)</f>
        <v>0</v>
      </c>
      <c r="M213" s="6"/>
    </row>
    <row r="214" spans="9:13" s="11" customFormat="1" x14ac:dyDescent="0.3">
      <c r="I214" s="39"/>
      <c r="J214" s="18"/>
      <c r="L214" s="11">
        <f>Table1345678101112131415161718192021222324[[#This Row],[الدولار]]+(Table1345678101112131415161718192021222324[[#This Row],[اللبناني]]/90)</f>
        <v>0</v>
      </c>
      <c r="M214" s="6"/>
    </row>
    <row r="215" spans="9:13" s="11" customFormat="1" x14ac:dyDescent="0.3">
      <c r="I215" s="39"/>
      <c r="J215" s="18"/>
      <c r="L215" s="11">
        <f>Table1345678101112131415161718192021222324[[#This Row],[الدولار]]+(Table1345678101112131415161718192021222324[[#This Row],[اللبناني]]/90)</f>
        <v>0</v>
      </c>
      <c r="M215" s="6"/>
    </row>
    <row r="216" spans="9:13" s="11" customFormat="1" x14ac:dyDescent="0.3">
      <c r="I216" s="39"/>
      <c r="J216" s="18"/>
      <c r="L216" s="11">
        <f>Table1345678101112131415161718192021222324[[#This Row],[الدولار]]+(Table1345678101112131415161718192021222324[[#This Row],[اللبناني]]/90)</f>
        <v>0</v>
      </c>
      <c r="M216" s="6"/>
    </row>
    <row r="217" spans="9:13" s="11" customFormat="1" x14ac:dyDescent="0.3">
      <c r="I217" s="39"/>
      <c r="J217" s="18"/>
      <c r="L217" s="11">
        <f>Table1345678101112131415161718192021222324[[#This Row],[الدولار]]+(Table1345678101112131415161718192021222324[[#This Row],[اللبناني]]/90)</f>
        <v>0</v>
      </c>
      <c r="M217" s="6"/>
    </row>
    <row r="218" spans="9:13" s="11" customFormat="1" x14ac:dyDescent="0.3">
      <c r="I218" s="39"/>
      <c r="J218" s="18"/>
      <c r="L218" s="11">
        <f>Table1345678101112131415161718192021222324[[#This Row],[الدولار]]+(Table1345678101112131415161718192021222324[[#This Row],[اللبناني]]/90)</f>
        <v>0</v>
      </c>
      <c r="M218" s="6"/>
    </row>
    <row r="219" spans="9:13" s="11" customFormat="1" x14ac:dyDescent="0.3">
      <c r="I219" s="39"/>
      <c r="J219" s="18"/>
      <c r="L219" s="11">
        <f>Table1345678101112131415161718192021222324[[#This Row],[الدولار]]+(Table1345678101112131415161718192021222324[[#This Row],[اللبناني]]/90)</f>
        <v>0</v>
      </c>
      <c r="M219" s="6"/>
    </row>
    <row r="220" spans="9:13" s="11" customFormat="1" x14ac:dyDescent="0.3">
      <c r="I220" s="39"/>
      <c r="J220" s="18"/>
      <c r="L220" s="11">
        <f>Table1345678101112131415161718192021222324[[#This Row],[الدولار]]+(Table1345678101112131415161718192021222324[[#This Row],[اللبناني]]/90)</f>
        <v>0</v>
      </c>
      <c r="M220" s="6"/>
    </row>
    <row r="221" spans="9:13" s="11" customFormat="1" x14ac:dyDescent="0.3">
      <c r="I221" s="39"/>
      <c r="J221" s="18"/>
      <c r="L221" s="11">
        <f>Table1345678101112131415161718192021222324[[#This Row],[الدولار]]+(Table1345678101112131415161718192021222324[[#This Row],[اللبناني]]/90)</f>
        <v>0</v>
      </c>
      <c r="M221" s="6"/>
    </row>
    <row r="222" spans="9:13" s="11" customFormat="1" x14ac:dyDescent="0.3">
      <c r="I222" s="39"/>
      <c r="J222" s="18"/>
      <c r="L222" s="11">
        <f>Table1345678101112131415161718192021222324[[#This Row],[الدولار]]+(Table1345678101112131415161718192021222324[[#This Row],[اللبناني]]/90)</f>
        <v>0</v>
      </c>
      <c r="M222" s="6"/>
    </row>
    <row r="223" spans="9:13" s="11" customFormat="1" x14ac:dyDescent="0.3">
      <c r="I223" s="39"/>
      <c r="J223" s="18"/>
      <c r="L223" s="11">
        <f>Table1345678101112131415161718192021222324[[#This Row],[الدولار]]+(Table1345678101112131415161718192021222324[[#This Row],[اللبناني]]/90)</f>
        <v>0</v>
      </c>
      <c r="M223" s="6"/>
    </row>
    <row r="224" spans="9:13" s="11" customFormat="1" x14ac:dyDescent="0.3">
      <c r="I224" s="39"/>
      <c r="J224" s="18"/>
      <c r="L224" s="11">
        <f>Table1345678101112131415161718192021222324[[#This Row],[الدولار]]+(Table1345678101112131415161718192021222324[[#This Row],[اللبناني]]/90)</f>
        <v>0</v>
      </c>
      <c r="M224" s="6"/>
    </row>
    <row r="225" spans="9:13" s="11" customFormat="1" x14ac:dyDescent="0.3">
      <c r="I225" s="39"/>
      <c r="J225" s="18"/>
      <c r="L225" s="11">
        <f>Table1345678101112131415161718192021222324[[#This Row],[الدولار]]+(Table1345678101112131415161718192021222324[[#This Row],[اللبناني]]/90)</f>
        <v>0</v>
      </c>
      <c r="M225" s="6"/>
    </row>
    <row r="226" spans="9:13" s="11" customFormat="1" x14ac:dyDescent="0.3">
      <c r="I226" s="39"/>
      <c r="J226" s="18"/>
      <c r="L226" s="11">
        <f>Table1345678101112131415161718192021222324[[#This Row],[الدولار]]+(Table1345678101112131415161718192021222324[[#This Row],[اللبناني]]/90)</f>
        <v>0</v>
      </c>
      <c r="M226" s="6"/>
    </row>
    <row r="227" spans="9:13" s="11" customFormat="1" x14ac:dyDescent="0.3">
      <c r="I227" s="39"/>
      <c r="J227" s="18"/>
      <c r="L227" s="11">
        <f>Table1345678101112131415161718192021222324[[#This Row],[الدولار]]+(Table1345678101112131415161718192021222324[[#This Row],[اللبناني]]/90)</f>
        <v>0</v>
      </c>
      <c r="M227" s="6"/>
    </row>
    <row r="228" spans="9:13" s="11" customFormat="1" x14ac:dyDescent="0.3">
      <c r="I228" s="39"/>
      <c r="J228" s="18"/>
      <c r="L228" s="11">
        <f>Table1345678101112131415161718192021222324[[#This Row],[الدولار]]+(Table1345678101112131415161718192021222324[[#This Row],[اللبناني]]/90)</f>
        <v>0</v>
      </c>
      <c r="M228" s="6"/>
    </row>
    <row r="229" spans="9:13" s="11" customFormat="1" x14ac:dyDescent="0.3">
      <c r="I229" s="39"/>
      <c r="J229" s="18"/>
      <c r="L229" s="11">
        <f>Table1345678101112131415161718192021222324[[#This Row],[الدولار]]+(Table1345678101112131415161718192021222324[[#This Row],[اللبناني]]/90)</f>
        <v>0</v>
      </c>
      <c r="M229" s="6"/>
    </row>
    <row r="230" spans="9:13" s="11" customFormat="1" x14ac:dyDescent="0.3">
      <c r="I230" s="39"/>
      <c r="J230" s="18"/>
      <c r="L230" s="11">
        <f>Table1345678101112131415161718192021222324[[#This Row],[الدولار]]+(Table1345678101112131415161718192021222324[[#This Row],[اللبناني]]/90)</f>
        <v>0</v>
      </c>
      <c r="M230" s="6"/>
    </row>
    <row r="231" spans="9:13" s="11" customFormat="1" x14ac:dyDescent="0.3">
      <c r="I231" s="39"/>
      <c r="J231" s="18"/>
      <c r="L231" s="11">
        <f>Table1345678101112131415161718192021222324[[#This Row],[الدولار]]+(Table1345678101112131415161718192021222324[[#This Row],[اللبناني]]/90)</f>
        <v>0</v>
      </c>
      <c r="M231" s="6"/>
    </row>
    <row r="232" spans="9:13" s="11" customFormat="1" x14ac:dyDescent="0.3">
      <c r="I232" s="39"/>
      <c r="J232" s="18"/>
      <c r="L232" s="11">
        <f>Table1345678101112131415161718192021222324[[#This Row],[الدولار]]+(Table1345678101112131415161718192021222324[[#This Row],[اللبناني]]/90)</f>
        <v>0</v>
      </c>
      <c r="M232" s="6"/>
    </row>
    <row r="233" spans="9:13" s="11" customFormat="1" x14ac:dyDescent="0.3">
      <c r="I233" s="39"/>
      <c r="J233" s="18"/>
      <c r="L233" s="11">
        <f>Table1345678101112131415161718192021222324[[#This Row],[الدولار]]+(Table1345678101112131415161718192021222324[[#This Row],[اللبناني]]/90)</f>
        <v>0</v>
      </c>
      <c r="M233" s="6"/>
    </row>
    <row r="234" spans="9:13" s="11" customFormat="1" x14ac:dyDescent="0.3">
      <c r="I234" s="39"/>
      <c r="J234" s="18"/>
      <c r="L234" s="11">
        <f>Table1345678101112131415161718192021222324[[#This Row],[الدولار]]+(Table1345678101112131415161718192021222324[[#This Row],[اللبناني]]/90)</f>
        <v>0</v>
      </c>
      <c r="M234" s="6"/>
    </row>
    <row r="235" spans="9:13" s="11" customFormat="1" x14ac:dyDescent="0.3">
      <c r="I235" s="39"/>
      <c r="J235" s="18"/>
      <c r="L235" s="11">
        <f>Table1345678101112131415161718192021222324[[#This Row],[الدولار]]+(Table1345678101112131415161718192021222324[[#This Row],[اللبناني]]/90)</f>
        <v>0</v>
      </c>
      <c r="M235" s="6"/>
    </row>
    <row r="236" spans="9:13" s="11" customFormat="1" x14ac:dyDescent="0.3">
      <c r="I236" s="39"/>
      <c r="J236" s="18"/>
      <c r="L236" s="11">
        <f>Table1345678101112131415161718192021222324[[#This Row],[الدولار]]+(Table1345678101112131415161718192021222324[[#This Row],[اللبناني]]/90)</f>
        <v>0</v>
      </c>
      <c r="M236" s="6"/>
    </row>
    <row r="237" spans="9:13" s="11" customFormat="1" x14ac:dyDescent="0.3">
      <c r="I237" s="39"/>
      <c r="J237" s="18"/>
      <c r="L237" s="11">
        <f>Table1345678101112131415161718192021222324[[#This Row],[الدولار]]+(Table1345678101112131415161718192021222324[[#This Row],[اللبناني]]/90)</f>
        <v>0</v>
      </c>
      <c r="M237" s="6"/>
    </row>
    <row r="238" spans="9:13" s="11" customFormat="1" x14ac:dyDescent="0.3">
      <c r="I238" s="39"/>
      <c r="J238" s="18"/>
      <c r="L238" s="11">
        <f>Table1345678101112131415161718192021222324[[#This Row],[الدولار]]+(Table1345678101112131415161718192021222324[[#This Row],[اللبناني]]/90)</f>
        <v>0</v>
      </c>
      <c r="M238" s="6"/>
    </row>
    <row r="239" spans="9:13" s="11" customFormat="1" x14ac:dyDescent="0.3">
      <c r="I239" s="39"/>
      <c r="J239" s="18"/>
      <c r="L239" s="11">
        <f>Table1345678101112131415161718192021222324[[#This Row],[الدولار]]+(Table1345678101112131415161718192021222324[[#This Row],[اللبناني]]/90)</f>
        <v>0</v>
      </c>
      <c r="M239" s="6"/>
    </row>
    <row r="240" spans="9:13" s="11" customFormat="1" x14ac:dyDescent="0.3">
      <c r="I240" s="39"/>
      <c r="J240" s="18"/>
      <c r="L240" s="11">
        <f>Table1345678101112131415161718192021222324[[#This Row],[الدولار]]+(Table1345678101112131415161718192021222324[[#This Row],[اللبناني]]/90)</f>
        <v>0</v>
      </c>
      <c r="M240" s="6"/>
    </row>
    <row r="241" spans="9:13" s="11" customFormat="1" x14ac:dyDescent="0.3">
      <c r="I241" s="39"/>
      <c r="J241" s="18"/>
      <c r="L241" s="11">
        <f>Table1345678101112131415161718192021222324[[#This Row],[الدولار]]+(Table1345678101112131415161718192021222324[[#This Row],[اللبناني]]/90)</f>
        <v>0</v>
      </c>
      <c r="M241" s="6"/>
    </row>
    <row r="242" spans="9:13" s="11" customFormat="1" x14ac:dyDescent="0.3">
      <c r="I242" s="39"/>
      <c r="J242" s="18"/>
      <c r="L242" s="11">
        <f>Table1345678101112131415161718192021222324[[#This Row],[الدولار]]+(Table1345678101112131415161718192021222324[[#This Row],[اللبناني]]/90)</f>
        <v>0</v>
      </c>
      <c r="M242" s="6"/>
    </row>
    <row r="243" spans="9:13" s="11" customFormat="1" x14ac:dyDescent="0.3">
      <c r="I243" s="39"/>
      <c r="J243" s="18"/>
      <c r="L243" s="11">
        <f>Table1345678101112131415161718192021222324[[#This Row],[الدولار]]+(Table1345678101112131415161718192021222324[[#This Row],[اللبناني]]/90)</f>
        <v>0</v>
      </c>
      <c r="M243" s="6"/>
    </row>
    <row r="244" spans="9:13" s="11" customFormat="1" x14ac:dyDescent="0.3">
      <c r="I244" s="39"/>
      <c r="J244" s="18"/>
      <c r="L244" s="11">
        <f>Table1345678101112131415161718192021222324[[#This Row],[الدولار]]+(Table1345678101112131415161718192021222324[[#This Row],[اللبناني]]/90)</f>
        <v>0</v>
      </c>
      <c r="M244" s="6"/>
    </row>
    <row r="245" spans="9:13" s="11" customFormat="1" x14ac:dyDescent="0.3">
      <c r="I245" s="39"/>
      <c r="J245" s="18"/>
      <c r="L245" s="11">
        <f>Table1345678101112131415161718192021222324[[#This Row],[الدولار]]+(Table1345678101112131415161718192021222324[[#This Row],[اللبناني]]/90)</f>
        <v>0</v>
      </c>
      <c r="M245" s="6"/>
    </row>
    <row r="246" spans="9:13" s="11" customFormat="1" x14ac:dyDescent="0.3">
      <c r="I246" s="39"/>
      <c r="J246" s="18"/>
      <c r="L246" s="11">
        <f>Table1345678101112131415161718192021222324[[#This Row],[الدولار]]+(Table1345678101112131415161718192021222324[[#This Row],[اللبناني]]/90)</f>
        <v>0</v>
      </c>
      <c r="M246" s="6"/>
    </row>
    <row r="247" spans="9:13" s="11" customFormat="1" x14ac:dyDescent="0.3">
      <c r="I247" s="39"/>
      <c r="J247" s="18"/>
      <c r="L247" s="11">
        <f>Table1345678101112131415161718192021222324[[#This Row],[الدولار]]+(Table1345678101112131415161718192021222324[[#This Row],[اللبناني]]/90)</f>
        <v>0</v>
      </c>
      <c r="M247" s="6"/>
    </row>
    <row r="248" spans="9:13" s="11" customFormat="1" x14ac:dyDescent="0.3">
      <c r="I248" s="39"/>
      <c r="J248" s="18"/>
      <c r="L248" s="11">
        <f>Table1345678101112131415161718192021222324[[#This Row],[الدولار]]+(Table1345678101112131415161718192021222324[[#This Row],[اللبناني]]/90)</f>
        <v>0</v>
      </c>
      <c r="M248" s="6"/>
    </row>
    <row r="249" spans="9:13" s="11" customFormat="1" x14ac:dyDescent="0.3">
      <c r="I249" s="39"/>
      <c r="J249" s="18"/>
      <c r="L249" s="11">
        <f>Table1345678101112131415161718192021222324[[#This Row],[الدولار]]+(Table1345678101112131415161718192021222324[[#This Row],[اللبناني]]/90)</f>
        <v>0</v>
      </c>
      <c r="M249" s="6"/>
    </row>
    <row r="250" spans="9:13" s="11" customFormat="1" x14ac:dyDescent="0.3">
      <c r="I250" s="39"/>
      <c r="J250" s="18"/>
      <c r="L250" s="11">
        <f>Table1345678101112131415161718192021222324[[#This Row],[الدولار]]+(Table1345678101112131415161718192021222324[[#This Row],[اللبناني]]/90)</f>
        <v>0</v>
      </c>
      <c r="M250" s="6"/>
    </row>
    <row r="251" spans="9:13" s="11" customFormat="1" x14ac:dyDescent="0.3">
      <c r="I251" s="39"/>
      <c r="J251" s="18"/>
      <c r="L251" s="11">
        <f>Table1345678101112131415161718192021222324[[#This Row],[الدولار]]+(Table1345678101112131415161718192021222324[[#This Row],[اللبناني]]/90)</f>
        <v>0</v>
      </c>
      <c r="M251" s="6"/>
    </row>
    <row r="252" spans="9:13" s="11" customFormat="1" x14ac:dyDescent="0.3">
      <c r="I252" s="39"/>
      <c r="J252" s="18"/>
      <c r="L252" s="11">
        <f>Table1345678101112131415161718192021222324[[#This Row],[الدولار]]+(Table1345678101112131415161718192021222324[[#This Row],[اللبناني]]/90)</f>
        <v>0</v>
      </c>
      <c r="M252" s="6"/>
    </row>
    <row r="253" spans="9:13" s="11" customFormat="1" x14ac:dyDescent="0.3">
      <c r="I253" s="39"/>
      <c r="J253" s="18"/>
      <c r="L253" s="11">
        <f>Table1345678101112131415161718192021222324[[#This Row],[الدولار]]+(Table1345678101112131415161718192021222324[[#This Row],[اللبناني]]/90)</f>
        <v>0</v>
      </c>
      <c r="M253" s="6"/>
    </row>
    <row r="254" spans="9:13" s="11" customFormat="1" x14ac:dyDescent="0.3">
      <c r="I254" s="39"/>
      <c r="J254" s="18"/>
      <c r="L254" s="11">
        <f>Table1345678101112131415161718192021222324[[#This Row],[الدولار]]+(Table1345678101112131415161718192021222324[[#This Row],[اللبناني]]/90)</f>
        <v>0</v>
      </c>
      <c r="M254" s="6"/>
    </row>
    <row r="255" spans="9:13" s="11" customFormat="1" x14ac:dyDescent="0.3">
      <c r="I255" s="39"/>
      <c r="J255" s="18"/>
      <c r="L255" s="11">
        <f>Table1345678101112131415161718192021222324[[#This Row],[الدولار]]+(Table1345678101112131415161718192021222324[[#This Row],[اللبناني]]/90)</f>
        <v>0</v>
      </c>
      <c r="M255" s="6"/>
    </row>
    <row r="256" spans="9:13" s="11" customFormat="1" x14ac:dyDescent="0.3">
      <c r="I256" s="39"/>
      <c r="J256" s="18"/>
      <c r="L256" s="11">
        <f>Table1345678101112131415161718192021222324[[#This Row],[الدولار]]+(Table1345678101112131415161718192021222324[[#This Row],[اللبناني]]/90)</f>
        <v>0</v>
      </c>
      <c r="M256" s="6"/>
    </row>
    <row r="257" spans="9:13" s="11" customFormat="1" x14ac:dyDescent="0.3">
      <c r="I257" s="39"/>
      <c r="J257" s="18"/>
      <c r="L257" s="11">
        <f>Table1345678101112131415161718192021222324[[#This Row],[الدولار]]+(Table1345678101112131415161718192021222324[[#This Row],[اللبناني]]/90)</f>
        <v>0</v>
      </c>
      <c r="M257" s="6"/>
    </row>
    <row r="258" spans="9:13" s="11" customFormat="1" x14ac:dyDescent="0.3">
      <c r="I258" s="39"/>
      <c r="J258" s="18"/>
      <c r="L258" s="11">
        <f>Table1345678101112131415161718192021222324[[#This Row],[الدولار]]+(Table1345678101112131415161718192021222324[[#This Row],[اللبناني]]/90)</f>
        <v>0</v>
      </c>
      <c r="M258" s="6"/>
    </row>
    <row r="259" spans="9:13" s="11" customFormat="1" x14ac:dyDescent="0.3">
      <c r="I259" s="39"/>
      <c r="J259" s="18"/>
      <c r="L259" s="11">
        <f>Table1345678101112131415161718192021222324[[#This Row],[الدولار]]+(Table1345678101112131415161718192021222324[[#This Row],[اللبناني]]/90)</f>
        <v>0</v>
      </c>
      <c r="M259" s="6"/>
    </row>
    <row r="260" spans="9:13" s="11" customFormat="1" x14ac:dyDescent="0.3">
      <c r="I260" s="39"/>
      <c r="J260" s="18"/>
      <c r="L260" s="11">
        <f>Table1345678101112131415161718192021222324[[#This Row],[الدولار]]+(Table1345678101112131415161718192021222324[[#This Row],[اللبناني]]/90)</f>
        <v>0</v>
      </c>
      <c r="M260" s="6"/>
    </row>
    <row r="261" spans="9:13" s="11" customFormat="1" x14ac:dyDescent="0.3">
      <c r="I261" s="39"/>
      <c r="J261" s="18"/>
      <c r="L261" s="11">
        <f>Table1345678101112131415161718192021222324[[#This Row],[الدولار]]+(Table1345678101112131415161718192021222324[[#This Row],[اللبناني]]/90)</f>
        <v>0</v>
      </c>
      <c r="M261" s="6"/>
    </row>
    <row r="262" spans="9:13" s="11" customFormat="1" x14ac:dyDescent="0.3">
      <c r="I262" s="39"/>
      <c r="J262" s="18"/>
      <c r="L262" s="11">
        <f>Table1345678101112131415161718192021222324[[#This Row],[الدولار]]+(Table1345678101112131415161718192021222324[[#This Row],[اللبناني]]/90)</f>
        <v>0</v>
      </c>
      <c r="M262" s="6"/>
    </row>
    <row r="263" spans="9:13" s="11" customFormat="1" x14ac:dyDescent="0.3">
      <c r="I263" s="39"/>
      <c r="J263" s="18"/>
      <c r="L263" s="11">
        <f>Table1345678101112131415161718192021222324[[#This Row],[الدولار]]+(Table1345678101112131415161718192021222324[[#This Row],[اللبناني]]/90)</f>
        <v>0</v>
      </c>
      <c r="M263" s="6"/>
    </row>
    <row r="264" spans="9:13" s="11" customFormat="1" x14ac:dyDescent="0.3">
      <c r="I264" s="39"/>
      <c r="J264" s="18"/>
      <c r="L264" s="11">
        <f>Table1345678101112131415161718192021222324[[#This Row],[الدولار]]+(Table1345678101112131415161718192021222324[[#This Row],[اللبناني]]/90)</f>
        <v>0</v>
      </c>
      <c r="M264" s="6"/>
    </row>
    <row r="265" spans="9:13" s="11" customFormat="1" x14ac:dyDescent="0.3">
      <c r="I265" s="39"/>
      <c r="J265" s="18"/>
      <c r="L265" s="11">
        <f>Table1345678101112131415161718192021222324[[#This Row],[الدولار]]+(Table1345678101112131415161718192021222324[[#This Row],[اللبناني]]/90)</f>
        <v>0</v>
      </c>
      <c r="M265" s="6"/>
    </row>
    <row r="266" spans="9:13" s="11" customFormat="1" x14ac:dyDescent="0.3">
      <c r="I266" s="39"/>
      <c r="J266" s="18"/>
      <c r="L266" s="11">
        <f>Table1345678101112131415161718192021222324[[#This Row],[الدولار]]+(Table1345678101112131415161718192021222324[[#This Row],[اللبناني]]/90)</f>
        <v>0</v>
      </c>
      <c r="M266" s="6"/>
    </row>
    <row r="267" spans="9:13" s="11" customFormat="1" x14ac:dyDescent="0.3">
      <c r="I267" s="39"/>
      <c r="J267" s="18"/>
      <c r="L267" s="11">
        <f>Table1345678101112131415161718192021222324[[#This Row],[الدولار]]+(Table1345678101112131415161718192021222324[[#This Row],[اللبناني]]/90)</f>
        <v>0</v>
      </c>
      <c r="M267" s="6"/>
    </row>
    <row r="268" spans="9:13" s="11" customFormat="1" x14ac:dyDescent="0.3">
      <c r="I268" s="39"/>
      <c r="J268" s="18"/>
      <c r="L268" s="11">
        <f>Table1345678101112131415161718192021222324[[#This Row],[الدولار]]+(Table1345678101112131415161718192021222324[[#This Row],[اللبناني]]/90)</f>
        <v>0</v>
      </c>
      <c r="M268" s="6"/>
    </row>
    <row r="269" spans="9:13" s="11" customFormat="1" x14ac:dyDescent="0.3">
      <c r="I269" s="39"/>
      <c r="J269" s="18"/>
      <c r="L269" s="11">
        <f>Table1345678101112131415161718192021222324[[#This Row],[الدولار]]+(Table1345678101112131415161718192021222324[[#This Row],[اللبناني]]/90)</f>
        <v>0</v>
      </c>
      <c r="M269" s="6"/>
    </row>
    <row r="270" spans="9:13" s="11" customFormat="1" x14ac:dyDescent="0.3">
      <c r="I270" s="39"/>
      <c r="J270" s="18"/>
      <c r="L270" s="11">
        <f>Table1345678101112131415161718192021222324[[#This Row],[الدولار]]+(Table1345678101112131415161718192021222324[[#This Row],[اللبناني]]/90)</f>
        <v>0</v>
      </c>
      <c r="M270" s="6"/>
    </row>
    <row r="271" spans="9:13" s="11" customFormat="1" x14ac:dyDescent="0.3">
      <c r="I271" s="39"/>
      <c r="J271" s="18"/>
      <c r="L271" s="11">
        <f>Table1345678101112131415161718192021222324[[#This Row],[الدولار]]+(Table1345678101112131415161718192021222324[[#This Row],[اللبناني]]/90)</f>
        <v>0</v>
      </c>
      <c r="M271" s="6"/>
    </row>
    <row r="272" spans="9:13" s="11" customFormat="1" x14ac:dyDescent="0.3">
      <c r="I272" s="39"/>
      <c r="J272" s="18"/>
      <c r="L272" s="11">
        <f>Table1345678101112131415161718192021222324[[#This Row],[الدولار]]+(Table1345678101112131415161718192021222324[[#This Row],[اللبناني]]/90)</f>
        <v>0</v>
      </c>
      <c r="M272" s="6"/>
    </row>
    <row r="273" spans="9:13" s="11" customFormat="1" x14ac:dyDescent="0.3">
      <c r="I273" s="39"/>
      <c r="J273" s="18"/>
      <c r="L273" s="11">
        <f>Table1345678101112131415161718192021222324[[#This Row],[الدولار]]+(Table1345678101112131415161718192021222324[[#This Row],[اللبناني]]/90)</f>
        <v>0</v>
      </c>
      <c r="M273" s="6"/>
    </row>
    <row r="274" spans="9:13" s="11" customFormat="1" x14ac:dyDescent="0.3">
      <c r="I274" s="39"/>
      <c r="J274" s="18"/>
      <c r="L274" s="11">
        <f>Table1345678101112131415161718192021222324[[#This Row],[الدولار]]+(Table1345678101112131415161718192021222324[[#This Row],[اللبناني]]/90)</f>
        <v>0</v>
      </c>
      <c r="M274" s="6"/>
    </row>
    <row r="275" spans="9:13" s="11" customFormat="1" x14ac:dyDescent="0.3">
      <c r="I275" s="39"/>
      <c r="J275" s="18"/>
      <c r="L275" s="11">
        <f>Table1345678101112131415161718192021222324[[#This Row],[الدولار]]+(Table1345678101112131415161718192021222324[[#This Row],[اللبناني]]/90)</f>
        <v>0</v>
      </c>
      <c r="M275" s="6"/>
    </row>
    <row r="276" spans="9:13" s="11" customFormat="1" x14ac:dyDescent="0.3">
      <c r="I276" s="39"/>
      <c r="J276" s="18"/>
      <c r="L276" s="11">
        <f>Table1345678101112131415161718192021222324[[#This Row],[الدولار]]+(Table1345678101112131415161718192021222324[[#This Row],[اللبناني]]/90)</f>
        <v>0</v>
      </c>
      <c r="M276" s="6"/>
    </row>
    <row r="277" spans="9:13" s="11" customFormat="1" x14ac:dyDescent="0.3">
      <c r="I277" s="39"/>
      <c r="J277" s="18"/>
      <c r="L277" s="11">
        <f>Table1345678101112131415161718192021222324[[#This Row],[الدولار]]+(Table1345678101112131415161718192021222324[[#This Row],[اللبناني]]/90)</f>
        <v>0</v>
      </c>
      <c r="M277" s="6"/>
    </row>
    <row r="278" spans="9:13" s="11" customFormat="1" x14ac:dyDescent="0.3">
      <c r="I278" s="39"/>
      <c r="J278" s="18"/>
      <c r="L278" s="11">
        <f>Table1345678101112131415161718192021222324[[#This Row],[الدولار]]+(Table1345678101112131415161718192021222324[[#This Row],[اللبناني]]/90)</f>
        <v>0</v>
      </c>
      <c r="M278" s="6"/>
    </row>
    <row r="279" spans="9:13" s="11" customFormat="1" x14ac:dyDescent="0.3">
      <c r="I279" s="39"/>
      <c r="J279" s="18"/>
      <c r="L279" s="11">
        <f>Table1345678101112131415161718192021222324[[#This Row],[الدولار]]+(Table1345678101112131415161718192021222324[[#This Row],[اللبناني]]/90)</f>
        <v>0</v>
      </c>
      <c r="M279" s="6"/>
    </row>
    <row r="280" spans="9:13" s="11" customFormat="1" x14ac:dyDescent="0.3">
      <c r="I280" s="39"/>
      <c r="J280" s="18"/>
      <c r="L280" s="11">
        <f>Table1345678101112131415161718192021222324[[#This Row],[الدولار]]+(Table1345678101112131415161718192021222324[[#This Row],[اللبناني]]/90)</f>
        <v>0</v>
      </c>
      <c r="M280" s="6"/>
    </row>
    <row r="281" spans="9:13" s="11" customFormat="1" x14ac:dyDescent="0.3">
      <c r="I281" s="39"/>
      <c r="J281" s="18"/>
      <c r="L281" s="11">
        <f>Table1345678101112131415161718192021222324[[#This Row],[الدولار]]+(Table1345678101112131415161718192021222324[[#This Row],[اللبناني]]/90)</f>
        <v>0</v>
      </c>
      <c r="M281" s="6"/>
    </row>
    <row r="282" spans="9:13" s="11" customFormat="1" x14ac:dyDescent="0.3">
      <c r="I282" s="39"/>
      <c r="J282" s="18"/>
      <c r="L282" s="11">
        <f>Table1345678101112131415161718192021222324[[#This Row],[الدولار]]+(Table1345678101112131415161718192021222324[[#This Row],[اللبناني]]/90)</f>
        <v>0</v>
      </c>
      <c r="M282" s="6"/>
    </row>
    <row r="283" spans="9:13" s="11" customFormat="1" x14ac:dyDescent="0.3">
      <c r="I283" s="39"/>
      <c r="J283" s="18"/>
      <c r="L283" s="11">
        <f>Table1345678101112131415161718192021222324[[#This Row],[الدولار]]+(Table1345678101112131415161718192021222324[[#This Row],[اللبناني]]/90)</f>
        <v>0</v>
      </c>
      <c r="M283" s="6"/>
    </row>
    <row r="284" spans="9:13" s="11" customFormat="1" x14ac:dyDescent="0.3">
      <c r="I284" s="39"/>
      <c r="J284" s="18"/>
      <c r="L284" s="11">
        <f>Table1345678101112131415161718192021222324[[#This Row],[الدولار]]+(Table1345678101112131415161718192021222324[[#This Row],[اللبناني]]/90)</f>
        <v>0</v>
      </c>
      <c r="M284" s="6"/>
    </row>
    <row r="285" spans="9:13" s="11" customFormat="1" x14ac:dyDescent="0.3">
      <c r="I285" s="39"/>
      <c r="J285" s="18"/>
      <c r="L285" s="11">
        <f>Table1345678101112131415161718192021222324[[#This Row],[الدولار]]+(Table1345678101112131415161718192021222324[[#This Row],[اللبناني]]/90)</f>
        <v>0</v>
      </c>
      <c r="M285" s="6"/>
    </row>
    <row r="286" spans="9:13" s="11" customFormat="1" x14ac:dyDescent="0.3">
      <c r="I286" s="39"/>
      <c r="J286" s="18"/>
      <c r="L286" s="11">
        <f>Table1345678101112131415161718192021222324[[#This Row],[الدولار]]+(Table1345678101112131415161718192021222324[[#This Row],[اللبناني]]/90)</f>
        <v>0</v>
      </c>
      <c r="M286" s="6"/>
    </row>
    <row r="287" spans="9:13" s="11" customFormat="1" x14ac:dyDescent="0.3">
      <c r="I287" s="39"/>
      <c r="J287" s="18"/>
      <c r="L287" s="11">
        <f>Table1345678101112131415161718192021222324[[#This Row],[الدولار]]+(Table1345678101112131415161718192021222324[[#This Row],[اللبناني]]/90)</f>
        <v>0</v>
      </c>
      <c r="M287" s="6"/>
    </row>
    <row r="288" spans="9:13" s="11" customFormat="1" x14ac:dyDescent="0.3">
      <c r="I288" s="39"/>
      <c r="J288" s="18"/>
      <c r="L288" s="11">
        <f>Table1345678101112131415161718192021222324[[#This Row],[الدولار]]+(Table1345678101112131415161718192021222324[[#This Row],[اللبناني]]/90)</f>
        <v>0</v>
      </c>
      <c r="M288" s="6"/>
    </row>
    <row r="289" spans="9:13" s="11" customFormat="1" x14ac:dyDescent="0.3">
      <c r="I289" s="39"/>
      <c r="J289" s="18"/>
      <c r="L289" s="11">
        <f>Table1345678101112131415161718192021222324[[#This Row],[الدولار]]+(Table1345678101112131415161718192021222324[[#This Row],[اللبناني]]/90)</f>
        <v>0</v>
      </c>
      <c r="M289" s="6"/>
    </row>
    <row r="290" spans="9:13" s="11" customFormat="1" x14ac:dyDescent="0.3">
      <c r="I290" s="39"/>
      <c r="J290" s="18"/>
      <c r="L290" s="11">
        <f>Table1345678101112131415161718192021222324[[#This Row],[الدولار]]+(Table1345678101112131415161718192021222324[[#This Row],[اللبناني]]/90)</f>
        <v>0</v>
      </c>
      <c r="M290" s="6"/>
    </row>
    <row r="291" spans="9:13" s="11" customFormat="1" x14ac:dyDescent="0.3">
      <c r="I291" s="39"/>
      <c r="J291" s="18"/>
      <c r="L291" s="11">
        <f>Table1345678101112131415161718192021222324[[#This Row],[الدولار]]+(Table1345678101112131415161718192021222324[[#This Row],[اللبناني]]/90)</f>
        <v>0</v>
      </c>
      <c r="M291" s="6"/>
    </row>
    <row r="292" spans="9:13" s="11" customFormat="1" x14ac:dyDescent="0.3">
      <c r="I292" s="39"/>
      <c r="J292" s="18"/>
      <c r="L292" s="11">
        <f>Table1345678101112131415161718192021222324[[#This Row],[الدولار]]+(Table1345678101112131415161718192021222324[[#This Row],[اللبناني]]/90)</f>
        <v>0</v>
      </c>
      <c r="M292" s="6"/>
    </row>
    <row r="293" spans="9:13" s="11" customFormat="1" x14ac:dyDescent="0.3">
      <c r="I293" s="39"/>
      <c r="J293" s="18"/>
      <c r="L293" s="11">
        <f>Table1345678101112131415161718192021222324[[#This Row],[الدولار]]+(Table1345678101112131415161718192021222324[[#This Row],[اللبناني]]/90)</f>
        <v>0</v>
      </c>
      <c r="M293" s="6"/>
    </row>
    <row r="294" spans="9:13" s="11" customFormat="1" x14ac:dyDescent="0.3">
      <c r="I294" s="39"/>
      <c r="J294" s="18"/>
      <c r="L294" s="11">
        <f>Table1345678101112131415161718192021222324[[#This Row],[الدولار]]+(Table1345678101112131415161718192021222324[[#This Row],[اللبناني]]/90)</f>
        <v>0</v>
      </c>
      <c r="M294" s="6"/>
    </row>
    <row r="295" spans="9:13" s="11" customFormat="1" x14ac:dyDescent="0.3">
      <c r="I295" s="39"/>
      <c r="J295" s="18"/>
      <c r="L295" s="11">
        <f>Table1345678101112131415161718192021222324[[#This Row],[الدولار]]+(Table1345678101112131415161718192021222324[[#This Row],[اللبناني]]/90)</f>
        <v>0</v>
      </c>
      <c r="M295" s="6"/>
    </row>
    <row r="296" spans="9:13" s="11" customFormat="1" x14ac:dyDescent="0.3">
      <c r="I296" s="39"/>
      <c r="J296" s="18"/>
      <c r="L296" s="11">
        <f>Table1345678101112131415161718192021222324[[#This Row],[الدولار]]+(Table1345678101112131415161718192021222324[[#This Row],[اللبناني]]/90)</f>
        <v>0</v>
      </c>
      <c r="M296" s="6"/>
    </row>
    <row r="297" spans="9:13" s="11" customFormat="1" x14ac:dyDescent="0.3">
      <c r="I297" s="39"/>
      <c r="J297" s="18"/>
      <c r="L297" s="11">
        <f>Table1345678101112131415161718192021222324[[#This Row],[الدولار]]+(Table1345678101112131415161718192021222324[[#This Row],[اللبناني]]/90)</f>
        <v>0</v>
      </c>
      <c r="M297" s="6"/>
    </row>
    <row r="298" spans="9:13" s="11" customFormat="1" x14ac:dyDescent="0.3">
      <c r="I298" s="39"/>
      <c r="J298" s="18"/>
      <c r="L298" s="11">
        <f>Table1345678101112131415161718192021222324[[#This Row],[الدولار]]+(Table1345678101112131415161718192021222324[[#This Row],[اللبناني]]/90)</f>
        <v>0</v>
      </c>
      <c r="M298" s="6"/>
    </row>
    <row r="299" spans="9:13" s="11" customFormat="1" x14ac:dyDescent="0.3">
      <c r="I299" s="39"/>
      <c r="J299" s="18"/>
      <c r="L299" s="11">
        <f>Table1345678101112131415161718192021222324[[#This Row],[الدولار]]+(Table1345678101112131415161718192021222324[[#This Row],[اللبناني]]/90)</f>
        <v>0</v>
      </c>
      <c r="M299" s="6"/>
    </row>
    <row r="300" spans="9:13" s="11" customFormat="1" x14ac:dyDescent="0.3">
      <c r="I300" s="39"/>
      <c r="J300" s="18"/>
      <c r="L300" s="11">
        <f>Table1345678101112131415161718192021222324[[#This Row],[الدولار]]+(Table1345678101112131415161718192021222324[[#This Row],[اللبناني]]/90)</f>
        <v>0</v>
      </c>
      <c r="M300" s="6"/>
    </row>
    <row r="301" spans="9:13" s="11" customFormat="1" x14ac:dyDescent="0.3">
      <c r="I301" s="39"/>
      <c r="J301" s="18"/>
      <c r="L301" s="11">
        <f>Table1345678101112131415161718192021222324[[#This Row],[الدولار]]+(Table1345678101112131415161718192021222324[[#This Row],[اللبناني]]/90)</f>
        <v>0</v>
      </c>
      <c r="M301" s="6"/>
    </row>
    <row r="302" spans="9:13" s="11" customFormat="1" x14ac:dyDescent="0.3">
      <c r="I302" s="39"/>
      <c r="J302" s="18"/>
      <c r="L302" s="11">
        <f>Table1345678101112131415161718192021222324[[#This Row],[الدولار]]+(Table1345678101112131415161718192021222324[[#This Row],[اللبناني]]/90)</f>
        <v>0</v>
      </c>
      <c r="M302" s="6"/>
    </row>
    <row r="303" spans="9:13" s="11" customFormat="1" x14ac:dyDescent="0.3">
      <c r="I303" s="39"/>
      <c r="J303" s="18"/>
      <c r="L303" s="11">
        <f>Table1345678101112131415161718192021222324[[#This Row],[الدولار]]+(Table1345678101112131415161718192021222324[[#This Row],[اللبناني]]/90)</f>
        <v>0</v>
      </c>
      <c r="M303" s="6"/>
    </row>
    <row r="304" spans="9:13" s="11" customFormat="1" x14ac:dyDescent="0.3">
      <c r="I304" s="39"/>
      <c r="J304" s="18"/>
      <c r="L304" s="11">
        <f>Table1345678101112131415161718192021222324[[#This Row],[الدولار]]+(Table1345678101112131415161718192021222324[[#This Row],[اللبناني]]/90)</f>
        <v>0</v>
      </c>
      <c r="M304" s="6"/>
    </row>
    <row r="305" spans="9:13" s="11" customFormat="1" x14ac:dyDescent="0.3">
      <c r="I305" s="39"/>
      <c r="J305" s="18"/>
      <c r="L305" s="11">
        <f>Table1345678101112131415161718192021222324[[#This Row],[الدولار]]+(Table1345678101112131415161718192021222324[[#This Row],[اللبناني]]/90)</f>
        <v>0</v>
      </c>
      <c r="M305" s="6"/>
    </row>
    <row r="306" spans="9:13" s="11" customFormat="1" x14ac:dyDescent="0.3">
      <c r="I306" s="39"/>
      <c r="J306" s="18"/>
      <c r="L306" s="11">
        <f>Table1345678101112131415161718192021222324[[#This Row],[الدولار]]+(Table1345678101112131415161718192021222324[[#This Row],[اللبناني]]/90)</f>
        <v>0</v>
      </c>
      <c r="M306" s="6"/>
    </row>
    <row r="307" spans="9:13" s="11" customFormat="1" x14ac:dyDescent="0.3">
      <c r="I307" s="39"/>
      <c r="J307" s="18"/>
      <c r="L307" s="11">
        <f>Table1345678101112131415161718192021222324[[#This Row],[الدولار]]+(Table1345678101112131415161718192021222324[[#This Row],[اللبناني]]/90)</f>
        <v>0</v>
      </c>
      <c r="M307" s="6"/>
    </row>
    <row r="308" spans="9:13" s="11" customFormat="1" x14ac:dyDescent="0.3">
      <c r="I308" s="39"/>
      <c r="J308" s="18"/>
      <c r="L308" s="11">
        <f>Table1345678101112131415161718192021222324[[#This Row],[الدولار]]+(Table1345678101112131415161718192021222324[[#This Row],[اللبناني]]/90)</f>
        <v>0</v>
      </c>
      <c r="M308" s="6"/>
    </row>
    <row r="309" spans="9:13" s="11" customFormat="1" x14ac:dyDescent="0.3">
      <c r="I309" s="39"/>
      <c r="J309" s="18"/>
      <c r="L309" s="11">
        <f>Table1345678101112131415161718192021222324[[#This Row],[الدولار]]+(Table1345678101112131415161718192021222324[[#This Row],[اللبناني]]/90)</f>
        <v>0</v>
      </c>
      <c r="M309" s="6"/>
    </row>
    <row r="310" spans="9:13" s="11" customFormat="1" x14ac:dyDescent="0.3">
      <c r="I310" s="39"/>
      <c r="J310" s="18"/>
      <c r="L310" s="11">
        <f>Table1345678101112131415161718192021222324[[#This Row],[الدولار]]+(Table1345678101112131415161718192021222324[[#This Row],[اللبناني]]/90)</f>
        <v>0</v>
      </c>
      <c r="M310" s="6"/>
    </row>
    <row r="311" spans="9:13" s="11" customFormat="1" x14ac:dyDescent="0.3">
      <c r="I311" s="39"/>
      <c r="J311" s="18"/>
      <c r="L311" s="11">
        <f>Table1345678101112131415161718192021222324[[#This Row],[الدولار]]+(Table1345678101112131415161718192021222324[[#This Row],[اللبناني]]/90)</f>
        <v>0</v>
      </c>
      <c r="M311" s="6"/>
    </row>
    <row r="312" spans="9:13" s="11" customFormat="1" x14ac:dyDescent="0.3">
      <c r="I312" s="39"/>
      <c r="J312" s="18"/>
      <c r="L312" s="11">
        <f>Table1345678101112131415161718192021222324[[#This Row],[الدولار]]+(Table1345678101112131415161718192021222324[[#This Row],[اللبناني]]/90)</f>
        <v>0</v>
      </c>
      <c r="M312" s="6"/>
    </row>
    <row r="313" spans="9:13" s="11" customFormat="1" x14ac:dyDescent="0.3">
      <c r="I313" s="39"/>
      <c r="J313" s="18"/>
      <c r="L313" s="11">
        <f>Table1345678101112131415161718192021222324[[#This Row],[الدولار]]+(Table1345678101112131415161718192021222324[[#This Row],[اللبناني]]/90)</f>
        <v>0</v>
      </c>
      <c r="M313" s="6"/>
    </row>
    <row r="314" spans="9:13" s="11" customFormat="1" x14ac:dyDescent="0.3">
      <c r="I314" s="39"/>
      <c r="J314" s="18"/>
      <c r="L314" s="11">
        <f>Table1345678101112131415161718192021222324[[#This Row],[الدولار]]+(Table1345678101112131415161718192021222324[[#This Row],[اللبناني]]/90)</f>
        <v>0</v>
      </c>
      <c r="M314" s="6"/>
    </row>
    <row r="315" spans="9:13" s="11" customFormat="1" x14ac:dyDescent="0.3">
      <c r="I315" s="39"/>
      <c r="J315" s="18"/>
      <c r="L315" s="11">
        <f>Table1345678101112131415161718192021222324[[#This Row],[الدولار]]+(Table1345678101112131415161718192021222324[[#This Row],[اللبناني]]/90)</f>
        <v>0</v>
      </c>
      <c r="M315" s="6"/>
    </row>
    <row r="316" spans="9:13" s="11" customFormat="1" x14ac:dyDescent="0.3">
      <c r="I316" s="39"/>
      <c r="J316" s="18"/>
      <c r="L316" s="11">
        <f>Table1345678101112131415161718192021222324[[#This Row],[الدولار]]+(Table1345678101112131415161718192021222324[[#This Row],[اللبناني]]/90)</f>
        <v>0</v>
      </c>
      <c r="M316" s="6"/>
    </row>
    <row r="317" spans="9:13" s="11" customFormat="1" x14ac:dyDescent="0.3">
      <c r="I317" s="39"/>
      <c r="J317" s="18"/>
      <c r="L317" s="11">
        <f>Table1345678101112131415161718192021222324[[#This Row],[الدولار]]+(Table1345678101112131415161718192021222324[[#This Row],[اللبناني]]/90)</f>
        <v>0</v>
      </c>
      <c r="M317" s="6"/>
    </row>
    <row r="318" spans="9:13" s="11" customFormat="1" x14ac:dyDescent="0.3">
      <c r="I318" s="39"/>
      <c r="J318" s="18"/>
      <c r="L318" s="11">
        <f>Table1345678101112131415161718192021222324[[#This Row],[الدولار]]+(Table1345678101112131415161718192021222324[[#This Row],[اللبناني]]/90)</f>
        <v>0</v>
      </c>
      <c r="M318" s="6"/>
    </row>
    <row r="319" spans="9:13" s="11" customFormat="1" x14ac:dyDescent="0.3">
      <c r="I319" s="39"/>
      <c r="J319" s="18"/>
      <c r="L319" s="11">
        <f>Table1345678101112131415161718192021222324[[#This Row],[الدولار]]+(Table1345678101112131415161718192021222324[[#This Row],[اللبناني]]/90)</f>
        <v>0</v>
      </c>
      <c r="M319" s="6"/>
    </row>
    <row r="320" spans="9:13" s="11" customFormat="1" x14ac:dyDescent="0.3">
      <c r="I320" s="39"/>
      <c r="J320" s="18"/>
      <c r="L320" s="11">
        <f>Table1345678101112131415161718192021222324[[#This Row],[الدولار]]+(Table1345678101112131415161718192021222324[[#This Row],[اللبناني]]/90)</f>
        <v>0</v>
      </c>
      <c r="M320" s="6"/>
    </row>
    <row r="321" spans="9:13" s="11" customFormat="1" x14ac:dyDescent="0.3">
      <c r="I321" s="39"/>
      <c r="J321" s="18"/>
      <c r="L321" s="11">
        <f>Table1345678101112131415161718192021222324[[#This Row],[الدولار]]+(Table1345678101112131415161718192021222324[[#This Row],[اللبناني]]/90)</f>
        <v>0</v>
      </c>
      <c r="M321" s="6"/>
    </row>
    <row r="322" spans="9:13" s="11" customFormat="1" x14ac:dyDescent="0.3">
      <c r="I322" s="39"/>
      <c r="J322" s="18"/>
      <c r="L322" s="11">
        <f>Table1345678101112131415161718192021222324[[#This Row],[الدولار]]+(Table1345678101112131415161718192021222324[[#This Row],[اللبناني]]/90)</f>
        <v>0</v>
      </c>
      <c r="M322" s="6"/>
    </row>
    <row r="323" spans="9:13" s="11" customFormat="1" x14ac:dyDescent="0.3">
      <c r="I323" s="39"/>
      <c r="J323" s="18"/>
      <c r="L323" s="11">
        <f>Table1345678101112131415161718192021222324[[#This Row],[الدولار]]+(Table1345678101112131415161718192021222324[[#This Row],[اللبناني]]/90)</f>
        <v>0</v>
      </c>
      <c r="M323" s="6"/>
    </row>
    <row r="324" spans="9:13" s="11" customFormat="1" x14ac:dyDescent="0.3">
      <c r="I324" s="39"/>
      <c r="J324" s="18"/>
      <c r="L324" s="11">
        <f>Table1345678101112131415161718192021222324[[#This Row],[الدولار]]+(Table1345678101112131415161718192021222324[[#This Row],[اللبناني]]/90)</f>
        <v>0</v>
      </c>
      <c r="M324" s="6"/>
    </row>
    <row r="325" spans="9:13" s="11" customFormat="1" x14ac:dyDescent="0.3">
      <c r="I325" s="39"/>
      <c r="J325" s="18"/>
      <c r="L325" s="11">
        <f>Table1345678101112131415161718192021222324[[#This Row],[الدولار]]+(Table1345678101112131415161718192021222324[[#This Row],[اللبناني]]/90)</f>
        <v>0</v>
      </c>
      <c r="M325" s="6"/>
    </row>
    <row r="326" spans="9:13" s="11" customFormat="1" x14ac:dyDescent="0.3">
      <c r="I326" s="39"/>
      <c r="J326" s="18"/>
      <c r="L326" s="11">
        <f>Table1345678101112131415161718192021222324[[#This Row],[الدولار]]+(Table1345678101112131415161718192021222324[[#This Row],[اللبناني]]/90)</f>
        <v>0</v>
      </c>
      <c r="M326" s="6"/>
    </row>
    <row r="327" spans="9:13" s="11" customFormat="1" x14ac:dyDescent="0.3">
      <c r="I327" s="39"/>
      <c r="J327" s="18"/>
      <c r="L327" s="11">
        <f>Table1345678101112131415161718192021222324[[#This Row],[الدولار]]+(Table1345678101112131415161718192021222324[[#This Row],[اللبناني]]/90)</f>
        <v>0</v>
      </c>
      <c r="M327" s="6"/>
    </row>
    <row r="328" spans="9:13" s="11" customFormat="1" x14ac:dyDescent="0.3">
      <c r="I328" s="39"/>
      <c r="J328" s="18"/>
      <c r="L328" s="11">
        <f>Table1345678101112131415161718192021222324[[#This Row],[الدولار]]+(Table1345678101112131415161718192021222324[[#This Row],[اللبناني]]/90)</f>
        <v>0</v>
      </c>
      <c r="M328" s="6"/>
    </row>
    <row r="329" spans="9:13" s="11" customFormat="1" x14ac:dyDescent="0.3">
      <c r="I329" s="39"/>
      <c r="J329" s="18"/>
      <c r="L329" s="11">
        <f>Table1345678101112131415161718192021222324[[#This Row],[الدولار]]+(Table1345678101112131415161718192021222324[[#This Row],[اللبناني]]/90)</f>
        <v>0</v>
      </c>
      <c r="M329" s="6"/>
    </row>
    <row r="330" spans="9:13" s="11" customFormat="1" x14ac:dyDescent="0.3">
      <c r="I330" s="39"/>
      <c r="J330" s="18"/>
      <c r="L330" s="11">
        <f>Table1345678101112131415161718192021222324[[#This Row],[الدولار]]+(Table1345678101112131415161718192021222324[[#This Row],[اللبناني]]/90)</f>
        <v>0</v>
      </c>
      <c r="M330" s="6"/>
    </row>
    <row r="331" spans="9:13" s="11" customFormat="1" x14ac:dyDescent="0.3">
      <c r="I331" s="39"/>
      <c r="J331" s="18"/>
      <c r="L331" s="11">
        <f>Table1345678101112131415161718192021222324[[#This Row],[الدولار]]+(Table1345678101112131415161718192021222324[[#This Row],[اللبناني]]/90)</f>
        <v>0</v>
      </c>
      <c r="M331" s="6"/>
    </row>
    <row r="332" spans="9:13" s="11" customFormat="1" x14ac:dyDescent="0.3">
      <c r="I332" s="39"/>
      <c r="J332" s="18"/>
      <c r="L332" s="11">
        <f>Table1345678101112131415161718192021222324[[#This Row],[الدولار]]+(Table1345678101112131415161718192021222324[[#This Row],[اللبناني]]/90)</f>
        <v>0</v>
      </c>
      <c r="M332" s="6"/>
    </row>
    <row r="333" spans="9:13" s="11" customFormat="1" x14ac:dyDescent="0.3">
      <c r="I333" s="39"/>
      <c r="J333" s="18"/>
      <c r="L333" s="11">
        <f>Table1345678101112131415161718192021222324[[#This Row],[الدولار]]+(Table1345678101112131415161718192021222324[[#This Row],[اللبناني]]/90)</f>
        <v>0</v>
      </c>
      <c r="M333" s="6"/>
    </row>
    <row r="334" spans="9:13" s="11" customFormat="1" x14ac:dyDescent="0.3">
      <c r="I334" s="39"/>
      <c r="J334" s="18"/>
      <c r="L334" s="11">
        <f>Table1345678101112131415161718192021222324[[#This Row],[الدولار]]+(Table1345678101112131415161718192021222324[[#This Row],[اللبناني]]/90)</f>
        <v>0</v>
      </c>
      <c r="M334" s="6"/>
    </row>
    <row r="335" spans="9:13" s="11" customFormat="1" x14ac:dyDescent="0.3">
      <c r="I335" s="39"/>
      <c r="J335" s="18"/>
      <c r="L335" s="11">
        <f>Table1345678101112131415161718192021222324[[#This Row],[الدولار]]+(Table1345678101112131415161718192021222324[[#This Row],[اللبناني]]/90)</f>
        <v>0</v>
      </c>
      <c r="M335" s="6"/>
    </row>
    <row r="336" spans="9:13" s="11" customFormat="1" x14ac:dyDescent="0.3">
      <c r="I336" s="39"/>
      <c r="J336" s="18"/>
      <c r="L336" s="11">
        <f>Table1345678101112131415161718192021222324[[#This Row],[الدولار]]+(Table1345678101112131415161718192021222324[[#This Row],[اللبناني]]/90)</f>
        <v>0</v>
      </c>
      <c r="M336" s="6"/>
    </row>
    <row r="337" spans="9:13" s="11" customFormat="1" x14ac:dyDescent="0.3">
      <c r="I337" s="39"/>
      <c r="J337" s="18"/>
      <c r="L337" s="11">
        <f>Table1345678101112131415161718192021222324[[#This Row],[الدولار]]+(Table1345678101112131415161718192021222324[[#This Row],[اللبناني]]/90)</f>
        <v>0</v>
      </c>
      <c r="M337" s="6"/>
    </row>
    <row r="338" spans="9:13" s="11" customFormat="1" x14ac:dyDescent="0.3">
      <c r="I338" s="39"/>
      <c r="J338" s="18"/>
      <c r="L338" s="11">
        <f>Table1345678101112131415161718192021222324[[#This Row],[الدولار]]+(Table1345678101112131415161718192021222324[[#This Row],[اللبناني]]/90)</f>
        <v>0</v>
      </c>
      <c r="M338" s="6"/>
    </row>
    <row r="339" spans="9:13" s="11" customFormat="1" x14ac:dyDescent="0.3">
      <c r="I339" s="39"/>
      <c r="J339" s="18"/>
      <c r="L339" s="11">
        <f>Table1345678101112131415161718192021222324[[#This Row],[الدولار]]+(Table1345678101112131415161718192021222324[[#This Row],[اللبناني]]/90)</f>
        <v>0</v>
      </c>
      <c r="M339" s="6"/>
    </row>
    <row r="340" spans="9:13" s="11" customFormat="1" x14ac:dyDescent="0.3">
      <c r="I340" s="39"/>
      <c r="J340" s="18"/>
      <c r="L340" s="11">
        <f>Table1345678101112131415161718192021222324[[#This Row],[الدولار]]+(Table1345678101112131415161718192021222324[[#This Row],[اللبناني]]/90)</f>
        <v>0</v>
      </c>
      <c r="M340" s="6"/>
    </row>
    <row r="341" spans="9:13" s="11" customFormat="1" x14ac:dyDescent="0.3">
      <c r="I341" s="39"/>
      <c r="J341" s="18"/>
      <c r="L341" s="11">
        <f>Table1345678101112131415161718192021222324[[#This Row],[الدولار]]+(Table1345678101112131415161718192021222324[[#This Row],[اللبناني]]/90)</f>
        <v>0</v>
      </c>
      <c r="M341" s="6"/>
    </row>
    <row r="342" spans="9:13" s="11" customFormat="1" x14ac:dyDescent="0.3">
      <c r="I342" s="39"/>
      <c r="J342" s="18"/>
      <c r="L342" s="11">
        <f>Table1345678101112131415161718192021222324[[#This Row],[الدولار]]+(Table1345678101112131415161718192021222324[[#This Row],[اللبناني]]/90)</f>
        <v>0</v>
      </c>
      <c r="M342" s="6"/>
    </row>
    <row r="343" spans="9:13" s="11" customFormat="1" x14ac:dyDescent="0.3">
      <c r="I343" s="39"/>
      <c r="J343" s="18"/>
      <c r="L343" s="11">
        <f>Table1345678101112131415161718192021222324[[#This Row],[الدولار]]+(Table1345678101112131415161718192021222324[[#This Row],[اللبناني]]/90)</f>
        <v>0</v>
      </c>
      <c r="M343" s="6"/>
    </row>
    <row r="344" spans="9:13" s="11" customFormat="1" x14ac:dyDescent="0.3">
      <c r="I344" s="39"/>
      <c r="J344" s="18"/>
      <c r="L344" s="11">
        <f>Table1345678101112131415161718192021222324[[#This Row],[الدولار]]+(Table1345678101112131415161718192021222324[[#This Row],[اللبناني]]/90)</f>
        <v>0</v>
      </c>
      <c r="M344" s="6"/>
    </row>
    <row r="345" spans="9:13" s="11" customFormat="1" x14ac:dyDescent="0.3">
      <c r="I345" s="39"/>
      <c r="J345" s="18"/>
      <c r="L345" s="11">
        <f>Table1345678101112131415161718192021222324[[#This Row],[الدولار]]+(Table1345678101112131415161718192021222324[[#This Row],[اللبناني]]/90)</f>
        <v>0</v>
      </c>
      <c r="M345" s="6"/>
    </row>
    <row r="346" spans="9:13" s="11" customFormat="1" x14ac:dyDescent="0.3">
      <c r="I346" s="39"/>
      <c r="J346" s="18"/>
      <c r="L346" s="11">
        <f>Table1345678101112131415161718192021222324[[#This Row],[الدولار]]+(Table1345678101112131415161718192021222324[[#This Row],[اللبناني]]/90)</f>
        <v>0</v>
      </c>
      <c r="M346" s="6"/>
    </row>
    <row r="347" spans="9:13" s="11" customFormat="1" x14ac:dyDescent="0.3">
      <c r="I347" s="39"/>
      <c r="J347" s="18"/>
      <c r="L347" s="11">
        <f>Table1345678101112131415161718192021222324[[#This Row],[الدولار]]+(Table1345678101112131415161718192021222324[[#This Row],[اللبناني]]/90)</f>
        <v>0</v>
      </c>
      <c r="M347" s="6"/>
    </row>
    <row r="348" spans="9:13" s="11" customFormat="1" x14ac:dyDescent="0.3">
      <c r="I348" s="39"/>
      <c r="J348" s="18"/>
      <c r="L348" s="11">
        <f>Table1345678101112131415161718192021222324[[#This Row],[الدولار]]+(Table1345678101112131415161718192021222324[[#This Row],[اللبناني]]/90)</f>
        <v>0</v>
      </c>
      <c r="M348" s="6"/>
    </row>
    <row r="349" spans="9:13" s="11" customFormat="1" x14ac:dyDescent="0.3">
      <c r="I349" s="39"/>
      <c r="J349" s="18"/>
      <c r="L349" s="11">
        <f>Table1345678101112131415161718192021222324[[#This Row],[الدولار]]+(Table1345678101112131415161718192021222324[[#This Row],[اللبناني]]/90)</f>
        <v>0</v>
      </c>
      <c r="M349" s="6"/>
    </row>
    <row r="350" spans="9:13" s="11" customFormat="1" x14ac:dyDescent="0.3">
      <c r="I350" s="39"/>
      <c r="J350" s="18"/>
      <c r="L350" s="11">
        <f>Table1345678101112131415161718192021222324[[#This Row],[الدولار]]+(Table1345678101112131415161718192021222324[[#This Row],[اللبناني]]/90)</f>
        <v>0</v>
      </c>
      <c r="M350" s="6"/>
    </row>
    <row r="351" spans="9:13" s="11" customFormat="1" x14ac:dyDescent="0.3">
      <c r="I351" s="39"/>
      <c r="J351" s="18"/>
      <c r="L351" s="11">
        <f>Table1345678101112131415161718192021222324[[#This Row],[الدولار]]+(Table1345678101112131415161718192021222324[[#This Row],[اللبناني]]/90)</f>
        <v>0</v>
      </c>
      <c r="M351" s="6"/>
    </row>
    <row r="352" spans="9:13" s="11" customFormat="1" x14ac:dyDescent="0.3">
      <c r="I352" s="39"/>
      <c r="J352" s="18"/>
      <c r="L352" s="11">
        <f>Table1345678101112131415161718192021222324[[#This Row],[الدولار]]+(Table1345678101112131415161718192021222324[[#This Row],[اللبناني]]/90)</f>
        <v>0</v>
      </c>
      <c r="M352" s="6"/>
    </row>
  </sheetData>
  <mergeCells count="4">
    <mergeCell ref="A11:F11"/>
    <mergeCell ref="N11:S11"/>
    <mergeCell ref="Q20:R20"/>
    <mergeCell ref="N21:O21"/>
  </mergeCells>
  <pageMargins left="0.25" right="0.25" top="0.75" bottom="0.75" header="0.3" footer="0.3"/>
  <pageSetup paperSize="9" scale="71" fitToHeight="0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027D-A42D-4590-AFC8-9255F1CECD4A}">
  <sheetPr>
    <pageSetUpPr fitToPage="1"/>
  </sheetPr>
  <dimension ref="A1:S354"/>
  <sheetViews>
    <sheetView rightToLeft="1" topLeftCell="A111" zoomScale="115" zoomScaleNormal="115" workbookViewId="0">
      <selection activeCell="J126" sqref="J126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7.88671875" style="2" bestFit="1" customWidth="1"/>
    <col min="4" max="4" width="9.109375" style="2" bestFit="1" customWidth="1"/>
    <col min="5" max="5" width="5.109375" style="2" bestFit="1" customWidth="1"/>
    <col min="6" max="6" width="10.44140625" style="2" bestFit="1" customWidth="1"/>
    <col min="7" max="7" width="2.44140625" style="2" customWidth="1"/>
    <col min="8" max="8" width="8.88671875" style="2" bestFit="1" customWidth="1"/>
    <col min="9" max="9" width="14.109375" style="39" bestFit="1" customWidth="1"/>
    <col min="10" max="10" width="12.109375" style="7" bestFit="1" customWidth="1"/>
    <col min="11" max="11" width="8.5546875" style="11" bestFit="1" customWidth="1"/>
    <col min="12" max="12" width="9" style="6" bestFit="1" customWidth="1"/>
    <col min="13" max="13" width="2.5546875" style="6" customWidth="1"/>
    <col min="14" max="14" width="9.44140625" style="2" bestFit="1" customWidth="1"/>
    <col min="15" max="15" width="5.109375" style="2" bestFit="1" customWidth="1"/>
    <col min="16" max="16" width="8.5546875" style="2" bestFit="1" customWidth="1"/>
    <col min="17" max="17" width="9.109375" style="2" bestFit="1" customWidth="1"/>
    <col min="18" max="18" width="5.109375" style="2" bestFit="1" customWidth="1"/>
    <col min="19" max="19" width="11.109375" style="2" bestFit="1" customWidth="1"/>
    <col min="20" max="16384" width="8.88671875" style="2"/>
  </cols>
  <sheetData>
    <row r="1" spans="1:19" x14ac:dyDescent="0.3">
      <c r="I1" s="39" t="s">
        <v>38</v>
      </c>
      <c r="J1" s="7">
        <f>SUM(J3:J11)</f>
        <v>600</v>
      </c>
      <c r="K1" s="7">
        <f>SUM(K3:K11)</f>
        <v>90</v>
      </c>
      <c r="L1" s="7">
        <f>SUM(L3:L11)</f>
        <v>96.666666666666657</v>
      </c>
    </row>
    <row r="2" spans="1:19" x14ac:dyDescent="0.3">
      <c r="H2" s="2" t="s">
        <v>426</v>
      </c>
      <c r="I2" s="40" t="s">
        <v>6</v>
      </c>
      <c r="J2" s="3" t="s">
        <v>5</v>
      </c>
      <c r="K2" s="12" t="s">
        <v>4</v>
      </c>
      <c r="L2" s="12" t="s">
        <v>415</v>
      </c>
    </row>
    <row r="3" spans="1:19" x14ac:dyDescent="0.3">
      <c r="H3" s="5" t="s">
        <v>434</v>
      </c>
      <c r="I3" s="41" t="s">
        <v>55</v>
      </c>
      <c r="J3" s="20"/>
      <c r="K3" s="11">
        <v>80</v>
      </c>
      <c r="L3" s="44">
        <f t="shared" ref="L3:L11" si="0">K3+(J3/90)</f>
        <v>80</v>
      </c>
    </row>
    <row r="4" spans="1:19" x14ac:dyDescent="0.3">
      <c r="H4" s="5" t="s">
        <v>434</v>
      </c>
      <c r="I4" s="41"/>
      <c r="J4" s="20">
        <v>150</v>
      </c>
      <c r="L4" s="44">
        <f t="shared" si="0"/>
        <v>1.6666666666666667</v>
      </c>
    </row>
    <row r="5" spans="1:19" x14ac:dyDescent="0.3">
      <c r="H5" s="5" t="s">
        <v>434</v>
      </c>
      <c r="I5" s="41"/>
      <c r="J5" s="20">
        <v>-150</v>
      </c>
      <c r="K5" s="11">
        <v>10</v>
      </c>
      <c r="L5" s="44">
        <f t="shared" si="0"/>
        <v>8.3333333333333339</v>
      </c>
    </row>
    <row r="6" spans="1:19" x14ac:dyDescent="0.3">
      <c r="H6" s="5" t="s">
        <v>434</v>
      </c>
      <c r="I6" s="41"/>
      <c r="J6" s="20">
        <v>300</v>
      </c>
      <c r="L6" s="44">
        <f t="shared" si="0"/>
        <v>3.3333333333333335</v>
      </c>
    </row>
    <row r="7" spans="1:19" x14ac:dyDescent="0.3">
      <c r="H7" s="5" t="s">
        <v>434</v>
      </c>
      <c r="I7" s="42" t="s">
        <v>291</v>
      </c>
      <c r="J7" s="20">
        <v>300</v>
      </c>
      <c r="L7" s="44">
        <f t="shared" si="0"/>
        <v>3.3333333333333335</v>
      </c>
    </row>
    <row r="8" spans="1:19" x14ac:dyDescent="0.3">
      <c r="H8" s="5"/>
      <c r="I8" s="41"/>
      <c r="J8" s="20"/>
      <c r="L8" s="44">
        <f t="shared" si="0"/>
        <v>0</v>
      </c>
    </row>
    <row r="9" spans="1:19" x14ac:dyDescent="0.3">
      <c r="I9" s="41"/>
      <c r="J9" s="20"/>
      <c r="L9" s="44">
        <f t="shared" si="0"/>
        <v>0</v>
      </c>
    </row>
    <row r="10" spans="1:19" x14ac:dyDescent="0.3">
      <c r="I10" s="41"/>
      <c r="J10" s="20"/>
      <c r="L10" s="44">
        <f t="shared" si="0"/>
        <v>0</v>
      </c>
    </row>
    <row r="11" spans="1:19" x14ac:dyDescent="0.3">
      <c r="I11" s="41"/>
      <c r="J11" s="20"/>
      <c r="L11" s="44">
        <f t="shared" si="0"/>
        <v>0</v>
      </c>
    </row>
    <row r="13" spans="1:19" x14ac:dyDescent="0.3">
      <c r="A13" s="65" t="s">
        <v>29</v>
      </c>
      <c r="B13" s="65"/>
      <c r="C13" s="65"/>
      <c r="D13" s="65"/>
      <c r="E13" s="65"/>
      <c r="F13" s="65"/>
      <c r="I13" s="39" t="s">
        <v>38</v>
      </c>
      <c r="J13" s="7">
        <f>SUM(Table134567810111213141516171819202122232425[اللبناني])</f>
        <v>-1345</v>
      </c>
      <c r="K13" s="7">
        <f>SUM(Table134567810111213141516171819202122232425[الدولار])</f>
        <v>264</v>
      </c>
      <c r="L13" s="7">
        <f>SUM(Table134567810111213141516171819202122232425[مبيع $])</f>
        <v>249.05555555555537</v>
      </c>
      <c r="N13" s="65" t="s">
        <v>33</v>
      </c>
      <c r="O13" s="65"/>
      <c r="P13" s="65"/>
      <c r="Q13" s="65"/>
      <c r="R13" s="65"/>
      <c r="S13" s="65"/>
    </row>
    <row r="14" spans="1:19" x14ac:dyDescent="0.3">
      <c r="A14" s="1" t="s">
        <v>2</v>
      </c>
      <c r="B14" s="1" t="s">
        <v>0</v>
      </c>
      <c r="C14" s="1" t="s">
        <v>1</v>
      </c>
      <c r="D14" s="1" t="s">
        <v>3</v>
      </c>
      <c r="E14" s="1" t="s">
        <v>0</v>
      </c>
      <c r="F14" s="1" t="s">
        <v>1</v>
      </c>
      <c r="H14" s="2" t="s">
        <v>426</v>
      </c>
      <c r="I14" s="40" t="s">
        <v>6</v>
      </c>
      <c r="J14" s="3" t="s">
        <v>5</v>
      </c>
      <c r="K14" s="12" t="s">
        <v>4</v>
      </c>
      <c r="L14" s="12" t="s">
        <v>415</v>
      </c>
      <c r="M14" s="2"/>
      <c r="N14" s="1" t="s">
        <v>2</v>
      </c>
      <c r="O14" s="1" t="s">
        <v>0</v>
      </c>
      <c r="P14" s="1" t="s">
        <v>1</v>
      </c>
      <c r="Q14" s="1" t="s">
        <v>3</v>
      </c>
      <c r="R14" s="1" t="s">
        <v>0</v>
      </c>
      <c r="S14" s="1" t="s">
        <v>1</v>
      </c>
    </row>
    <row r="15" spans="1:19" x14ac:dyDescent="0.3">
      <c r="A15" s="15">
        <v>1</v>
      </c>
      <c r="B15" s="2">
        <v>1</v>
      </c>
      <c r="C15" s="21">
        <f>A15*B15</f>
        <v>1</v>
      </c>
      <c r="D15" s="17">
        <v>5</v>
      </c>
      <c r="E15" s="2">
        <v>46</v>
      </c>
      <c r="F15" s="23">
        <f>D15*E15</f>
        <v>230</v>
      </c>
      <c r="G15" s="5"/>
      <c r="H15" s="5" t="s">
        <v>434</v>
      </c>
      <c r="I15" s="41" t="s">
        <v>411</v>
      </c>
      <c r="J15" s="20">
        <v>70</v>
      </c>
      <c r="L15" s="44">
        <f>Table134567810111213141516171819202122232425[[#This Row],[الدولار]]+(Table134567810111213141516171819202122232425[[#This Row],[اللبناني]]/90)</f>
        <v>0.77777777777777779</v>
      </c>
      <c r="N15" s="15">
        <v>1</v>
      </c>
      <c r="P15" s="21">
        <f>N15*O15</f>
        <v>0</v>
      </c>
      <c r="Q15" s="17">
        <v>5</v>
      </c>
      <c r="R15" s="2">
        <v>43</v>
      </c>
      <c r="S15" s="23">
        <f>Q15*R15</f>
        <v>215</v>
      </c>
    </row>
    <row r="16" spans="1:19" x14ac:dyDescent="0.3">
      <c r="A16" s="15">
        <v>5</v>
      </c>
      <c r="C16" s="21">
        <f t="shared" ref="C16:C20" si="1">A16*B16</f>
        <v>0</v>
      </c>
      <c r="D16" s="17">
        <v>10</v>
      </c>
      <c r="E16" s="2">
        <v>27</v>
      </c>
      <c r="F16" s="23">
        <f t="shared" ref="F16:F19" si="2">D16*E16</f>
        <v>270</v>
      </c>
      <c r="G16" s="5"/>
      <c r="H16" s="5" t="s">
        <v>434</v>
      </c>
      <c r="I16" s="41" t="s">
        <v>161</v>
      </c>
      <c r="J16" s="20">
        <v>100</v>
      </c>
      <c r="K16" s="11">
        <v>76</v>
      </c>
      <c r="L16" s="44">
        <f>Table134567810111213141516171819202122232425[[#This Row],[الدولار]]+(Table134567810111213141516171819202122232425[[#This Row],[اللبناني]]/90)</f>
        <v>77.111111111111114</v>
      </c>
      <c r="N16" s="15">
        <v>5</v>
      </c>
      <c r="O16" s="2">
        <v>5</v>
      </c>
      <c r="P16" s="21">
        <f t="shared" ref="P16:P20" si="3">N16*O16</f>
        <v>25</v>
      </c>
      <c r="Q16" s="17">
        <v>10</v>
      </c>
      <c r="R16" s="2">
        <v>24</v>
      </c>
      <c r="S16" s="23">
        <f t="shared" ref="S16:S19" si="4">Q16*R16</f>
        <v>240</v>
      </c>
    </row>
    <row r="17" spans="1:19" x14ac:dyDescent="0.3">
      <c r="A17" s="15">
        <v>10</v>
      </c>
      <c r="B17" s="2">
        <v>60</v>
      </c>
      <c r="C17" s="21">
        <f t="shared" si="1"/>
        <v>600</v>
      </c>
      <c r="D17" s="17">
        <v>20</v>
      </c>
      <c r="E17" s="2">
        <v>5</v>
      </c>
      <c r="F17" s="23">
        <f t="shared" si="2"/>
        <v>100</v>
      </c>
      <c r="G17" s="5"/>
      <c r="H17" s="5" t="s">
        <v>435</v>
      </c>
      <c r="I17" s="41" t="s">
        <v>70</v>
      </c>
      <c r="J17" s="20">
        <v>-300</v>
      </c>
      <c r="L17" s="44">
        <f>Table134567810111213141516171819202122232425[[#This Row],[الدولار]]+(Table134567810111213141516171819202122232425[[#This Row],[اللبناني]]/90)</f>
        <v>-3.3333333333333335</v>
      </c>
      <c r="N17" s="15">
        <v>10</v>
      </c>
      <c r="O17" s="2">
        <v>60</v>
      </c>
      <c r="P17" s="21">
        <f t="shared" si="3"/>
        <v>600</v>
      </c>
      <c r="Q17" s="17">
        <v>20</v>
      </c>
      <c r="R17" s="2">
        <v>5</v>
      </c>
      <c r="S17" s="23">
        <f t="shared" si="4"/>
        <v>100</v>
      </c>
    </row>
    <row r="18" spans="1:19" x14ac:dyDescent="0.3">
      <c r="A18" s="15">
        <v>20</v>
      </c>
      <c r="B18" s="2">
        <v>2</v>
      </c>
      <c r="C18" s="21">
        <f t="shared" si="1"/>
        <v>40</v>
      </c>
      <c r="D18" s="17">
        <v>50</v>
      </c>
      <c r="F18" s="23">
        <f t="shared" si="2"/>
        <v>0</v>
      </c>
      <c r="G18" s="5"/>
      <c r="H18" s="5" t="s">
        <v>434</v>
      </c>
      <c r="I18" s="41" t="s">
        <v>412</v>
      </c>
      <c r="J18" s="20"/>
      <c r="K18" s="11">
        <v>115</v>
      </c>
      <c r="L18" s="44">
        <f>Table134567810111213141516171819202122232425[[#This Row],[الدولار]]+(Table134567810111213141516171819202122232425[[#This Row],[اللبناني]]/90)</f>
        <v>115</v>
      </c>
      <c r="N18" s="15">
        <v>20</v>
      </c>
      <c r="O18" s="2">
        <v>19</v>
      </c>
      <c r="P18" s="21">
        <f t="shared" si="3"/>
        <v>380</v>
      </c>
      <c r="Q18" s="17">
        <v>50</v>
      </c>
      <c r="R18" s="2">
        <v>4</v>
      </c>
      <c r="S18" s="23">
        <f t="shared" si="4"/>
        <v>200</v>
      </c>
    </row>
    <row r="19" spans="1:19" x14ac:dyDescent="0.3">
      <c r="A19" s="15">
        <v>50</v>
      </c>
      <c r="C19" s="21">
        <f t="shared" si="1"/>
        <v>0</v>
      </c>
      <c r="D19" s="17">
        <v>100</v>
      </c>
      <c r="E19" s="2">
        <v>27</v>
      </c>
      <c r="F19" s="23">
        <f t="shared" si="2"/>
        <v>2700</v>
      </c>
      <c r="G19" s="5"/>
      <c r="H19" s="5" t="s">
        <v>434</v>
      </c>
      <c r="I19" s="42" t="s">
        <v>413</v>
      </c>
      <c r="J19" s="20"/>
      <c r="K19" s="11">
        <v>15</v>
      </c>
      <c r="L19" s="44">
        <f>Table134567810111213141516171819202122232425[[#This Row],[الدولار]]+(Table134567810111213141516171819202122232425[[#This Row],[اللبناني]]/90)</f>
        <v>15</v>
      </c>
      <c r="N19" s="15">
        <v>50</v>
      </c>
      <c r="O19" s="2">
        <v>2</v>
      </c>
      <c r="P19" s="21">
        <f t="shared" si="3"/>
        <v>100</v>
      </c>
      <c r="Q19" s="17">
        <v>100</v>
      </c>
      <c r="R19" s="2">
        <v>62</v>
      </c>
      <c r="S19" s="23">
        <f t="shared" si="4"/>
        <v>6200</v>
      </c>
    </row>
    <row r="20" spans="1:19" x14ac:dyDescent="0.3">
      <c r="A20" s="15">
        <v>100</v>
      </c>
      <c r="B20" s="2">
        <v>1</v>
      </c>
      <c r="C20" s="21">
        <f t="shared" si="1"/>
        <v>100</v>
      </c>
      <c r="D20" s="1" t="s">
        <v>1</v>
      </c>
      <c r="E20" s="1"/>
      <c r="F20" s="19">
        <f>SUM(F15:F19)</f>
        <v>3300</v>
      </c>
      <c r="G20" s="5"/>
      <c r="H20" s="5" t="s">
        <v>434</v>
      </c>
      <c r="I20" s="41" t="s">
        <v>414</v>
      </c>
      <c r="J20" s="20">
        <v>75</v>
      </c>
      <c r="K20" s="11">
        <v>2</v>
      </c>
      <c r="L20" s="44">
        <f>Table134567810111213141516171819202122232425[[#This Row],[الدولار]]+(Table134567810111213141516171819202122232425[[#This Row],[اللبناني]]/90)</f>
        <v>2.8333333333333335</v>
      </c>
      <c r="N20" s="15">
        <v>100</v>
      </c>
      <c r="O20" s="2">
        <v>50</v>
      </c>
      <c r="P20" s="21">
        <f t="shared" si="3"/>
        <v>5000</v>
      </c>
      <c r="Q20" s="1" t="s">
        <v>1</v>
      </c>
      <c r="R20" s="1"/>
      <c r="S20" s="19">
        <f>SUM(S15:S19)</f>
        <v>6955</v>
      </c>
    </row>
    <row r="21" spans="1:19" x14ac:dyDescent="0.3">
      <c r="A21" s="1" t="s">
        <v>1</v>
      </c>
      <c r="B21" s="1"/>
      <c r="C21" s="22">
        <f>SUM(C15:C20)</f>
        <v>741</v>
      </c>
      <c r="H21" s="2" t="s">
        <v>434</v>
      </c>
      <c r="I21" s="41" t="s">
        <v>416</v>
      </c>
      <c r="J21" s="20"/>
      <c r="K21" s="11">
        <v>-10</v>
      </c>
      <c r="L21" s="44">
        <f>Table134567810111213141516171819202122232425[[#This Row],[الدولار]]+(Table134567810111213141516171819202122232425[[#This Row],[اللبناني]]/90)</f>
        <v>-10</v>
      </c>
      <c r="N21" s="1" t="s">
        <v>1</v>
      </c>
      <c r="O21" s="1"/>
      <c r="P21" s="22">
        <f>SUM(P15:P20)</f>
        <v>6105</v>
      </c>
      <c r="S21" s="20"/>
    </row>
    <row r="22" spans="1:19" x14ac:dyDescent="0.3">
      <c r="H22" s="2" t="s">
        <v>434</v>
      </c>
      <c r="I22" s="41" t="s">
        <v>417</v>
      </c>
      <c r="J22" s="20">
        <v>40</v>
      </c>
      <c r="L22" s="44">
        <f>Table134567810111213141516171819202122232425[[#This Row],[الدولار]]+(Table134567810111213141516171819202122232425[[#This Row],[اللبناني]]/90)</f>
        <v>0.44444444444444442</v>
      </c>
      <c r="P22" s="27"/>
      <c r="Q22" s="66" t="s">
        <v>40</v>
      </c>
      <c r="R22" s="66"/>
      <c r="S22" s="24">
        <f>SUM(Table134567810111213141516171819202122232425[اللبناني])</f>
        <v>-1345</v>
      </c>
    </row>
    <row r="23" spans="1:19" x14ac:dyDescent="0.3">
      <c r="H23" s="2" t="s">
        <v>434</v>
      </c>
      <c r="I23" s="41" t="s">
        <v>418</v>
      </c>
      <c r="J23" s="20">
        <v>-50</v>
      </c>
      <c r="K23" s="11">
        <v>6</v>
      </c>
      <c r="L23" s="44">
        <f>Table134567810111213141516171819202122232425[[#This Row],[الدولار]]+(Table134567810111213141516171819202122232425[[#This Row],[اللبناني]]/90)</f>
        <v>5.4444444444444446</v>
      </c>
      <c r="N23" s="66" t="s">
        <v>39</v>
      </c>
      <c r="O23" s="66"/>
      <c r="P23" s="12">
        <f>SUM(Table134567810111213141516171819202122232425[الدولار])</f>
        <v>264</v>
      </c>
      <c r="S23" s="20"/>
    </row>
    <row r="24" spans="1:19" x14ac:dyDescent="0.3">
      <c r="H24" s="2" t="s">
        <v>434</v>
      </c>
      <c r="I24" s="41"/>
      <c r="J24" s="20">
        <v>-320</v>
      </c>
      <c r="K24" s="11">
        <v>10</v>
      </c>
      <c r="L24" s="44">
        <f>Table134567810111213141516171819202122232425[[#This Row],[الدولار]]+(Table134567810111213141516171819202122232425[[#This Row],[اللبناني]]/90)</f>
        <v>6.4444444444444446</v>
      </c>
      <c r="P24" s="27"/>
      <c r="Q24" s="1" t="s">
        <v>27</v>
      </c>
      <c r="R24" s="1"/>
      <c r="S24" s="24">
        <f>S20-S22-F20</f>
        <v>5000</v>
      </c>
    </row>
    <row r="25" spans="1:19" x14ac:dyDescent="0.3">
      <c r="C25" s="14"/>
      <c r="D25" s="14"/>
      <c r="F25" s="14"/>
      <c r="H25" s="2" t="s">
        <v>434</v>
      </c>
      <c r="I25" s="41"/>
      <c r="J25" s="20">
        <v>-300</v>
      </c>
      <c r="K25" s="11">
        <v>5</v>
      </c>
      <c r="L25" s="44">
        <f>Table134567810111213141516171819202122232425[[#This Row],[الدولار]]+(Table134567810111213141516171819202122232425[[#This Row],[اللبناني]]/90)</f>
        <v>1.6666666666666665</v>
      </c>
      <c r="N25" s="1" t="s">
        <v>27</v>
      </c>
      <c r="O25" s="1"/>
      <c r="P25" s="12">
        <f>P21-P23-C21</f>
        <v>5100</v>
      </c>
    </row>
    <row r="26" spans="1:19" x14ac:dyDescent="0.3">
      <c r="C26" s="14"/>
      <c r="D26" s="14"/>
      <c r="F26" s="14"/>
      <c r="H26" s="2" t="s">
        <v>434</v>
      </c>
      <c r="I26" s="43" t="s">
        <v>388</v>
      </c>
      <c r="J26" s="18"/>
      <c r="K26" s="11">
        <v>40</v>
      </c>
      <c r="L26" s="44">
        <f>Table134567810111213141516171819202122232425[[#This Row],[الدولار]]+(Table134567810111213141516171819202122232425[[#This Row],[اللبناني]]/90)</f>
        <v>40</v>
      </c>
    </row>
    <row r="27" spans="1:19" x14ac:dyDescent="0.3">
      <c r="C27" s="14"/>
      <c r="D27" s="14"/>
      <c r="F27" s="14"/>
      <c r="H27" s="2" t="s">
        <v>434</v>
      </c>
      <c r="I27" s="43"/>
      <c r="J27" s="18">
        <v>510</v>
      </c>
      <c r="L27" s="44">
        <f>Table134567810111213141516171819202122232425[[#This Row],[الدولار]]+(Table134567810111213141516171819202122232425[[#This Row],[اللبناني]]/90)</f>
        <v>5.666666666666667</v>
      </c>
    </row>
    <row r="28" spans="1:19" x14ac:dyDescent="0.3">
      <c r="C28" s="14"/>
      <c r="D28" s="14"/>
      <c r="F28" s="14"/>
      <c r="H28" s="2" t="s">
        <v>434</v>
      </c>
      <c r="I28" s="41" t="s">
        <v>341</v>
      </c>
      <c r="J28" s="18">
        <v>100</v>
      </c>
      <c r="L28" s="44">
        <f>Table134567810111213141516171819202122232425[[#This Row],[الدولار]]+(Table134567810111213141516171819202122232425[[#This Row],[اللبناني]]/90)</f>
        <v>1.1111111111111112</v>
      </c>
    </row>
    <row r="29" spans="1:19" s="11" customFormat="1" x14ac:dyDescent="0.3">
      <c r="C29" s="14"/>
      <c r="D29" s="14"/>
      <c r="E29" s="2"/>
      <c r="F29" s="14"/>
      <c r="G29" s="2"/>
      <c r="H29" s="2" t="s">
        <v>434</v>
      </c>
      <c r="I29" s="43"/>
      <c r="J29" s="20">
        <v>350</v>
      </c>
      <c r="L29" s="44">
        <f>Table134567810111213141516171819202122232425[[#This Row],[الدولار]]+(Table134567810111213141516171819202122232425[[#This Row],[اللبناني]]/90)</f>
        <v>3.8888888888888888</v>
      </c>
      <c r="M29" s="6"/>
    </row>
    <row r="30" spans="1:19" s="11" customFormat="1" x14ac:dyDescent="0.3">
      <c r="C30" s="14"/>
      <c r="D30" s="2"/>
      <c r="E30" s="2"/>
      <c r="F30" s="14"/>
      <c r="G30" s="2"/>
      <c r="H30" s="2" t="s">
        <v>434</v>
      </c>
      <c r="I30" s="43"/>
      <c r="J30" s="20">
        <v>120</v>
      </c>
      <c r="L30" s="44">
        <f>Table134567810111213141516171819202122232425[[#This Row],[الدولار]]+(Table134567810111213141516171819202122232425[[#This Row],[اللبناني]]/90)</f>
        <v>1.3333333333333333</v>
      </c>
      <c r="M30" s="6"/>
    </row>
    <row r="31" spans="1:19" s="11" customFormat="1" x14ac:dyDescent="0.3">
      <c r="C31" s="14"/>
      <c r="D31" s="2"/>
      <c r="E31" s="2"/>
      <c r="F31" s="2"/>
      <c r="G31" s="2"/>
      <c r="H31" s="2" t="s">
        <v>434</v>
      </c>
      <c r="I31" s="43" t="s">
        <v>177</v>
      </c>
      <c r="J31" s="20">
        <v>100</v>
      </c>
      <c r="L31" s="44">
        <f>Table134567810111213141516171819202122232425[[#This Row],[الدولار]]+(Table134567810111213141516171819202122232425[[#This Row],[اللبناني]]/90)</f>
        <v>1.1111111111111112</v>
      </c>
      <c r="M31" s="6"/>
    </row>
    <row r="32" spans="1:19" s="11" customFormat="1" x14ac:dyDescent="0.3">
      <c r="C32" s="2"/>
      <c r="D32" s="2"/>
      <c r="E32" s="2"/>
      <c r="F32" s="6"/>
      <c r="G32" s="2"/>
      <c r="H32" s="2" t="s">
        <v>434</v>
      </c>
      <c r="I32" s="41" t="s">
        <v>212</v>
      </c>
      <c r="J32" s="20">
        <v>250</v>
      </c>
      <c r="L32" s="44">
        <f>Table134567810111213141516171819202122232425[[#This Row],[الدولار]]+(Table134567810111213141516171819202122232425[[#This Row],[اللبناني]]/90)</f>
        <v>2.7777777777777777</v>
      </c>
      <c r="M32" s="6"/>
    </row>
    <row r="33" spans="3:13" s="11" customFormat="1" x14ac:dyDescent="0.3">
      <c r="C33" s="6"/>
      <c r="D33" s="2"/>
      <c r="E33" s="2"/>
      <c r="F33" s="2"/>
      <c r="G33" s="2"/>
      <c r="H33" s="2" t="s">
        <v>434</v>
      </c>
      <c r="I33" s="41" t="s">
        <v>419</v>
      </c>
      <c r="J33" s="20">
        <v>420</v>
      </c>
      <c r="L33" s="44">
        <f>Table134567810111213141516171819202122232425[[#This Row],[الدولار]]+(Table134567810111213141516171819202122232425[[#This Row],[اللبناني]]/90)</f>
        <v>4.666666666666667</v>
      </c>
      <c r="M33" s="6"/>
    </row>
    <row r="34" spans="3:13" s="11" customFormat="1" x14ac:dyDescent="0.3">
      <c r="C34" s="2"/>
      <c r="D34" s="2"/>
      <c r="E34" s="2"/>
      <c r="F34" s="6"/>
      <c r="G34" s="2"/>
      <c r="H34" s="2" t="s">
        <v>434</v>
      </c>
      <c r="I34" s="41" t="s">
        <v>420</v>
      </c>
      <c r="J34" s="20">
        <v>1150</v>
      </c>
      <c r="K34" s="11">
        <v>100</v>
      </c>
      <c r="L34" s="44">
        <f>Table134567810111213141516171819202122232425[[#This Row],[الدولار]]+(Table134567810111213141516171819202122232425[[#This Row],[اللبناني]]/90)</f>
        <v>112.77777777777777</v>
      </c>
      <c r="M34" s="6"/>
    </row>
    <row r="35" spans="3:13" s="11" customFormat="1" x14ac:dyDescent="0.3">
      <c r="C35" s="6"/>
      <c r="D35" s="2"/>
      <c r="E35" s="2"/>
      <c r="F35" s="2"/>
      <c r="G35" s="2"/>
      <c r="H35" s="2" t="s">
        <v>434</v>
      </c>
      <c r="I35" s="41" t="s">
        <v>107</v>
      </c>
      <c r="J35" s="20"/>
      <c r="K35" s="11">
        <v>2</v>
      </c>
      <c r="L35" s="44">
        <f>Table134567810111213141516171819202122232425[[#This Row],[الدولار]]+(Table134567810111213141516171819202122232425[[#This Row],[اللبناني]]/90)</f>
        <v>2</v>
      </c>
      <c r="M35" s="6"/>
    </row>
    <row r="36" spans="3:13" s="11" customFormat="1" x14ac:dyDescent="0.3">
      <c r="C36" s="2"/>
      <c r="D36" s="2"/>
      <c r="E36" s="2"/>
      <c r="F36" s="2"/>
      <c r="G36" s="2"/>
      <c r="H36" s="2" t="s">
        <v>434</v>
      </c>
      <c r="I36" s="41" t="s">
        <v>363</v>
      </c>
      <c r="J36" s="20">
        <v>150</v>
      </c>
      <c r="L36" s="44">
        <f>Table134567810111213141516171819202122232425[[#This Row],[الدولار]]+(Table134567810111213141516171819202122232425[[#This Row],[اللبناني]]/90)</f>
        <v>1.6666666666666667</v>
      </c>
      <c r="M36" s="6"/>
    </row>
    <row r="37" spans="3:13" s="11" customFormat="1" x14ac:dyDescent="0.3">
      <c r="C37" s="2"/>
      <c r="D37" s="2"/>
      <c r="E37" s="2"/>
      <c r="F37" s="2"/>
      <c r="G37" s="2"/>
      <c r="H37" s="2" t="s">
        <v>434</v>
      </c>
      <c r="I37" s="41" t="s">
        <v>99</v>
      </c>
      <c r="J37" s="20"/>
      <c r="K37" s="11">
        <v>54</v>
      </c>
      <c r="L37" s="44">
        <f>Table134567810111213141516171819202122232425[[#This Row],[الدولار]]+(Table134567810111213141516171819202122232425[[#This Row],[اللبناني]]/90)</f>
        <v>54</v>
      </c>
      <c r="M37" s="6"/>
    </row>
    <row r="38" spans="3:13" s="11" customFormat="1" x14ac:dyDescent="0.3">
      <c r="C38" s="2"/>
      <c r="D38" s="2"/>
      <c r="E38" s="2"/>
      <c r="F38" s="2"/>
      <c r="G38" s="2"/>
      <c r="H38" s="2" t="s">
        <v>434</v>
      </c>
      <c r="I38" s="41" t="s">
        <v>421</v>
      </c>
      <c r="J38" s="20"/>
      <c r="K38" s="11">
        <v>22</v>
      </c>
      <c r="L38" s="44">
        <f>Table134567810111213141516171819202122232425[[#This Row],[الدولار]]+(Table134567810111213141516171819202122232425[[#This Row],[اللبناني]]/90)</f>
        <v>22</v>
      </c>
      <c r="M38" s="6"/>
    </row>
    <row r="39" spans="3:13" s="11" customFormat="1" x14ac:dyDescent="0.3">
      <c r="C39" s="2"/>
      <c r="D39" s="2"/>
      <c r="E39" s="2"/>
      <c r="F39" s="2"/>
      <c r="G39" s="2"/>
      <c r="H39" s="2" t="s">
        <v>434</v>
      </c>
      <c r="I39" s="41" t="s">
        <v>422</v>
      </c>
      <c r="J39" s="18"/>
      <c r="K39" s="11">
        <v>105</v>
      </c>
      <c r="L39" s="44">
        <f>Table134567810111213141516171819202122232425[[#This Row],[الدولار]]+(Table134567810111213141516171819202122232425[[#This Row],[اللبناني]]/90)</f>
        <v>105</v>
      </c>
      <c r="M39" s="6"/>
    </row>
    <row r="40" spans="3:13" s="11" customFormat="1" x14ac:dyDescent="0.3">
      <c r="C40" s="2"/>
      <c r="D40" s="2"/>
      <c r="E40" s="2"/>
      <c r="F40" s="2"/>
      <c r="G40" s="2"/>
      <c r="H40" s="2" t="s">
        <v>434</v>
      </c>
      <c r="I40" s="39" t="s">
        <v>188</v>
      </c>
      <c r="J40" s="18">
        <v>510</v>
      </c>
      <c r="L40" s="44">
        <f>Table134567810111213141516171819202122232425[[#This Row],[الدولار]]+(Table134567810111213141516171819202122232425[[#This Row],[اللبناني]]/90)</f>
        <v>5.666666666666667</v>
      </c>
      <c r="M40" s="6"/>
    </row>
    <row r="41" spans="3:13" s="11" customFormat="1" x14ac:dyDescent="0.3">
      <c r="C41" s="2"/>
      <c r="D41" s="2"/>
      <c r="E41" s="2"/>
      <c r="F41" s="2"/>
      <c r="G41" s="2"/>
      <c r="H41" s="2" t="s">
        <v>434</v>
      </c>
      <c r="I41" s="39" t="s">
        <v>118</v>
      </c>
      <c r="J41" s="18"/>
      <c r="K41" s="11">
        <v>63</v>
      </c>
      <c r="L41" s="44">
        <f>Table134567810111213141516171819202122232425[[#This Row],[الدولار]]+(Table134567810111213141516171819202122232425[[#This Row],[اللبناني]]/90)</f>
        <v>63</v>
      </c>
      <c r="M41" s="6"/>
    </row>
    <row r="42" spans="3:13" s="11" customFormat="1" x14ac:dyDescent="0.3">
      <c r="C42" s="2"/>
      <c r="D42" s="2"/>
      <c r="E42" s="2"/>
      <c r="F42" s="2"/>
      <c r="G42" s="2"/>
      <c r="H42" s="2" t="s">
        <v>434</v>
      </c>
      <c r="I42" s="39" t="s">
        <v>181</v>
      </c>
      <c r="J42" s="18"/>
      <c r="K42" s="11">
        <v>9</v>
      </c>
      <c r="L42" s="44">
        <f>Table134567810111213141516171819202122232425[[#This Row],[الدولار]]+(Table134567810111213141516171819202122232425[[#This Row],[اللبناني]]/90)</f>
        <v>9</v>
      </c>
      <c r="M42" s="6"/>
    </row>
    <row r="43" spans="3:13" s="11" customFormat="1" x14ac:dyDescent="0.3">
      <c r="C43" s="2"/>
      <c r="D43" s="2"/>
      <c r="E43" s="2"/>
      <c r="F43" s="2"/>
      <c r="G43" s="2"/>
      <c r="H43" s="2" t="s">
        <v>434</v>
      </c>
      <c r="I43" s="39" t="s">
        <v>423</v>
      </c>
      <c r="J43" s="18"/>
      <c r="K43" s="11">
        <v>22</v>
      </c>
      <c r="L43" s="44">
        <f>Table134567810111213141516171819202122232425[[#This Row],[الدولار]]+(Table134567810111213141516171819202122232425[[#This Row],[اللبناني]]/90)</f>
        <v>22</v>
      </c>
      <c r="M43" s="6"/>
    </row>
    <row r="44" spans="3:13" s="11" customFormat="1" x14ac:dyDescent="0.3">
      <c r="C44" s="2"/>
      <c r="D44" s="2"/>
      <c r="E44" s="2"/>
      <c r="F44" s="2"/>
      <c r="G44" s="2"/>
      <c r="H44" s="2" t="s">
        <v>434</v>
      </c>
      <c r="I44" s="39" t="s">
        <v>20</v>
      </c>
      <c r="J44" s="18">
        <v>-900</v>
      </c>
      <c r="K44" s="11">
        <v>10</v>
      </c>
      <c r="L44" s="44">
        <f>Table134567810111213141516171819202122232425[[#This Row],[الدولار]]+(Table134567810111213141516171819202122232425[[#This Row],[اللبناني]]/90)</f>
        <v>0</v>
      </c>
      <c r="M44" s="6"/>
    </row>
    <row r="45" spans="3:13" s="11" customFormat="1" x14ac:dyDescent="0.3">
      <c r="H45" s="11" t="s">
        <v>434</v>
      </c>
      <c r="I45" s="39" t="s">
        <v>424</v>
      </c>
      <c r="J45" s="18">
        <v>-540</v>
      </c>
      <c r="K45" s="11">
        <v>160</v>
      </c>
      <c r="L45" s="44">
        <f>Table134567810111213141516171819202122232425[[#This Row],[الدولار]]+(Table134567810111213141516171819202122232425[[#This Row],[اللبناني]]/90)</f>
        <v>154</v>
      </c>
      <c r="M45" s="6"/>
    </row>
    <row r="46" spans="3:13" s="11" customFormat="1" x14ac:dyDescent="0.3">
      <c r="H46" s="11" t="s">
        <v>436</v>
      </c>
      <c r="I46" s="39" t="s">
        <v>425</v>
      </c>
      <c r="J46" s="18"/>
      <c r="K46" s="11">
        <v>-700</v>
      </c>
      <c r="L46" s="44">
        <f>Table134567810111213141516171819202122232425[[#This Row],[الدولار]]+(Table134567810111213141516171819202122232425[[#This Row],[اللبناني]]/90)</f>
        <v>-700</v>
      </c>
      <c r="M46" s="6"/>
    </row>
    <row r="47" spans="3:13" s="11" customFormat="1" x14ac:dyDescent="0.3">
      <c r="H47" s="11" t="s">
        <v>434</v>
      </c>
      <c r="I47" s="39" t="s">
        <v>427</v>
      </c>
      <c r="J47" s="18">
        <v>-110</v>
      </c>
      <c r="K47" s="11">
        <v>30</v>
      </c>
      <c r="L47" s="44">
        <f>Table134567810111213141516171819202122232425[[#This Row],[الدولار]]+(Table134567810111213141516171819202122232425[[#This Row],[اللبناني]]/90)</f>
        <v>28.777777777777779</v>
      </c>
      <c r="M47" s="6"/>
    </row>
    <row r="48" spans="3:13" s="11" customFormat="1" x14ac:dyDescent="0.3">
      <c r="H48" s="11" t="s">
        <v>434</v>
      </c>
      <c r="I48" s="39" t="s">
        <v>428</v>
      </c>
      <c r="J48" s="18">
        <v>240</v>
      </c>
      <c r="L48" s="44">
        <f>Table134567810111213141516171819202122232425[[#This Row],[الدولار]]+(Table134567810111213141516171819202122232425[[#This Row],[اللبناني]]/90)</f>
        <v>2.6666666666666665</v>
      </c>
      <c r="M48" s="6"/>
    </row>
    <row r="49" spans="8:13" s="11" customFormat="1" x14ac:dyDescent="0.3">
      <c r="H49" s="11" t="s">
        <v>434</v>
      </c>
      <c r="I49" s="39" t="s">
        <v>429</v>
      </c>
      <c r="J49" s="18">
        <v>-675</v>
      </c>
      <c r="K49" s="11">
        <v>10</v>
      </c>
      <c r="L49" s="44">
        <f>Table134567810111213141516171819202122232425[[#This Row],[الدولار]]+(Table134567810111213141516171819202122232425[[#This Row],[اللبناني]]/90)</f>
        <v>2.5</v>
      </c>
      <c r="M49" s="6"/>
    </row>
    <row r="50" spans="8:13" s="11" customFormat="1" x14ac:dyDescent="0.3">
      <c r="H50" s="11" t="s">
        <v>435</v>
      </c>
      <c r="I50" s="39" t="s">
        <v>430</v>
      </c>
      <c r="J50" s="18">
        <v>-50</v>
      </c>
      <c r="L50" s="44">
        <f>Table134567810111213141516171819202122232425[[#This Row],[الدولار]]+(Table134567810111213141516171819202122232425[[#This Row],[اللبناني]]/90)</f>
        <v>-0.55555555555555558</v>
      </c>
      <c r="M50" s="6"/>
    </row>
    <row r="51" spans="8:13" s="11" customFormat="1" x14ac:dyDescent="0.3">
      <c r="H51" s="11" t="s">
        <v>434</v>
      </c>
      <c r="I51" s="39" t="s">
        <v>431</v>
      </c>
      <c r="J51" s="18">
        <v>900</v>
      </c>
      <c r="L51" s="44">
        <f>Table134567810111213141516171819202122232425[[#This Row],[الدولار]]+(Table134567810111213141516171819202122232425[[#This Row],[اللبناني]]/90)</f>
        <v>10</v>
      </c>
      <c r="M51" s="6"/>
    </row>
    <row r="52" spans="8:13" s="11" customFormat="1" x14ac:dyDescent="0.3">
      <c r="H52" s="11" t="s">
        <v>434</v>
      </c>
      <c r="I52" s="39" t="s">
        <v>432</v>
      </c>
      <c r="J52" s="18">
        <v>-450</v>
      </c>
      <c r="K52" s="11">
        <v>-50</v>
      </c>
      <c r="L52" s="44">
        <f>Table134567810111213141516171819202122232425[[#This Row],[الدولار]]+(Table134567810111213141516171819202122232425[[#This Row],[اللبناني]]/90)</f>
        <v>-55</v>
      </c>
      <c r="M52" s="6"/>
    </row>
    <row r="53" spans="8:13" s="11" customFormat="1" x14ac:dyDescent="0.3">
      <c r="H53" s="11" t="s">
        <v>434</v>
      </c>
      <c r="I53" s="39" t="s">
        <v>433</v>
      </c>
      <c r="J53" s="18">
        <v>-400</v>
      </c>
      <c r="K53" s="11">
        <v>10</v>
      </c>
      <c r="L53" s="44">
        <f>Table134567810111213141516171819202122232425[[#This Row],[الدولار]]+(Table134567810111213141516171819202122232425[[#This Row],[اللبناني]]/90)</f>
        <v>5.5555555555555554</v>
      </c>
      <c r="M53" s="6"/>
    </row>
    <row r="54" spans="8:13" s="11" customFormat="1" x14ac:dyDescent="0.3">
      <c r="H54" s="11" t="s">
        <v>434</v>
      </c>
      <c r="I54" s="39"/>
      <c r="J54" s="18">
        <v>-225</v>
      </c>
      <c r="K54" s="11">
        <v>80</v>
      </c>
      <c r="L54" s="44">
        <f>Table134567810111213141516171819202122232425[[#This Row],[الدولار]]+(Table134567810111213141516171819202122232425[[#This Row],[اللبناني]]/90)</f>
        <v>77.5</v>
      </c>
      <c r="M54" s="6"/>
    </row>
    <row r="55" spans="8:13" s="11" customFormat="1" x14ac:dyDescent="0.3">
      <c r="H55" s="11" t="s">
        <v>434</v>
      </c>
      <c r="I55" s="39"/>
      <c r="J55" s="18">
        <v>1500</v>
      </c>
      <c r="K55" s="11">
        <v>10</v>
      </c>
      <c r="L55" s="44">
        <f>Table134567810111213141516171819202122232425[[#This Row],[الدولار]]+(Table134567810111213141516171819202122232425[[#This Row],[اللبناني]]/90)</f>
        <v>26.666666666666668</v>
      </c>
      <c r="M55" s="6"/>
    </row>
    <row r="56" spans="8:13" s="11" customFormat="1" x14ac:dyDescent="0.3">
      <c r="H56" s="11" t="s">
        <v>434</v>
      </c>
      <c r="I56" s="39"/>
      <c r="J56" s="18">
        <v>350</v>
      </c>
      <c r="L56" s="44">
        <f>Table134567810111213141516171819202122232425[[#This Row],[الدولار]]+(Table134567810111213141516171819202122232425[[#This Row],[اللبناني]]/90)</f>
        <v>3.8888888888888888</v>
      </c>
      <c r="M56" s="6"/>
    </row>
    <row r="57" spans="8:13" s="11" customFormat="1" x14ac:dyDescent="0.3">
      <c r="H57" s="11" t="s">
        <v>434</v>
      </c>
      <c r="I57" s="39"/>
      <c r="J57" s="18">
        <v>100</v>
      </c>
      <c r="L57" s="44">
        <f>Table134567810111213141516171819202122232425[[#This Row],[الدولار]]+(Table134567810111213141516171819202122232425[[#This Row],[اللبناني]]/90)</f>
        <v>1.1111111111111112</v>
      </c>
      <c r="M57" s="6"/>
    </row>
    <row r="58" spans="8:13" s="11" customFormat="1" x14ac:dyDescent="0.3">
      <c r="H58" s="11" t="s">
        <v>434</v>
      </c>
      <c r="I58" s="39"/>
      <c r="J58" s="18">
        <v>-250</v>
      </c>
      <c r="K58" s="11">
        <v>10</v>
      </c>
      <c r="L58" s="44">
        <f>Table134567810111213141516171819202122232425[[#This Row],[الدولار]]+(Table134567810111213141516171819202122232425[[#This Row],[اللبناني]]/90)</f>
        <v>7.2222222222222223</v>
      </c>
      <c r="M58" s="6"/>
    </row>
    <row r="59" spans="8:13" s="11" customFormat="1" x14ac:dyDescent="0.3">
      <c r="H59" s="11" t="s">
        <v>434</v>
      </c>
      <c r="I59" s="39" t="s">
        <v>220</v>
      </c>
      <c r="J59" s="18">
        <v>-625</v>
      </c>
      <c r="K59" s="11">
        <v>3</v>
      </c>
      <c r="L59" s="44">
        <f>Table134567810111213141516171819202122232425[[#This Row],[الدولار]]+(Table134567810111213141516171819202122232425[[#This Row],[اللبناني]]/90)</f>
        <v>-3.9444444444444446</v>
      </c>
      <c r="M59" s="6"/>
    </row>
    <row r="60" spans="8:13" s="11" customFormat="1" x14ac:dyDescent="0.3">
      <c r="H60" s="11" t="s">
        <v>434</v>
      </c>
      <c r="I60" s="39"/>
      <c r="J60" s="18">
        <v>120</v>
      </c>
      <c r="L60" s="44">
        <f>Table134567810111213141516171819202122232425[[#This Row],[الدولار]]+(Table134567810111213141516171819202122232425[[#This Row],[اللبناني]]/90)</f>
        <v>1.3333333333333333</v>
      </c>
      <c r="M60" s="6"/>
    </row>
    <row r="61" spans="8:13" s="11" customFormat="1" x14ac:dyDescent="0.3">
      <c r="H61" s="11" t="s">
        <v>434</v>
      </c>
      <c r="I61" s="39"/>
      <c r="J61" s="18">
        <v>-90</v>
      </c>
      <c r="K61" s="11">
        <v>5</v>
      </c>
      <c r="L61" s="44">
        <f>Table134567810111213141516171819202122232425[[#This Row],[الدولار]]+(Table134567810111213141516171819202122232425[[#This Row],[اللبناني]]/90)</f>
        <v>4</v>
      </c>
      <c r="M61" s="6"/>
    </row>
    <row r="62" spans="8:13" s="11" customFormat="1" x14ac:dyDescent="0.3">
      <c r="H62" s="11" t="s">
        <v>434</v>
      </c>
      <c r="I62" s="39"/>
      <c r="J62" s="18">
        <v>-180</v>
      </c>
      <c r="K62" s="11">
        <v>10</v>
      </c>
      <c r="L62" s="44">
        <f>Table134567810111213141516171819202122232425[[#This Row],[الدولار]]+(Table134567810111213141516171819202122232425[[#This Row],[اللبناني]]/90)</f>
        <v>8</v>
      </c>
      <c r="M62" s="6"/>
    </row>
    <row r="63" spans="8:13" s="11" customFormat="1" x14ac:dyDescent="0.3">
      <c r="H63" s="11" t="s">
        <v>434</v>
      </c>
      <c r="I63" s="39"/>
      <c r="J63" s="18"/>
      <c r="K63" s="11">
        <v>15</v>
      </c>
      <c r="L63" s="44">
        <f>Table134567810111213141516171819202122232425[[#This Row],[الدولار]]+(Table134567810111213141516171819202122232425[[#This Row],[اللبناني]]/90)</f>
        <v>15</v>
      </c>
      <c r="M63" s="6"/>
    </row>
    <row r="64" spans="8:13" s="11" customFormat="1" x14ac:dyDescent="0.3">
      <c r="H64" s="11" t="s">
        <v>434</v>
      </c>
      <c r="I64" s="39"/>
      <c r="J64" s="18">
        <v>-30</v>
      </c>
      <c r="L64" s="44">
        <f>Table134567810111213141516171819202122232425[[#This Row],[الدولار]]+(Table134567810111213141516171819202122232425[[#This Row],[اللبناني]]/90)</f>
        <v>-0.33333333333333331</v>
      </c>
      <c r="M64" s="6"/>
    </row>
    <row r="65" spans="8:13" s="11" customFormat="1" x14ac:dyDescent="0.3">
      <c r="H65" s="11" t="s">
        <v>434</v>
      </c>
      <c r="I65" s="39"/>
      <c r="J65" s="18">
        <v>900</v>
      </c>
      <c r="L65" s="44">
        <f>Table134567810111213141516171819202122232425[[#This Row],[الدولار]]+(Table134567810111213141516171819202122232425[[#This Row],[اللبناني]]/90)</f>
        <v>10</v>
      </c>
      <c r="M65" s="6"/>
    </row>
    <row r="66" spans="8:13" s="11" customFormat="1" x14ac:dyDescent="0.3">
      <c r="H66" s="11" t="s">
        <v>436</v>
      </c>
      <c r="I66" s="39" t="s">
        <v>425</v>
      </c>
      <c r="J66" s="18">
        <v>-2000</v>
      </c>
      <c r="L66" s="44">
        <f>Table134567810111213141516171819202122232425[[#This Row],[الدولار]]+(Table134567810111213141516171819202122232425[[#This Row],[اللبناني]]/90)</f>
        <v>-22.222222222222221</v>
      </c>
      <c r="M66" s="6"/>
    </row>
    <row r="67" spans="8:13" s="11" customFormat="1" x14ac:dyDescent="0.3">
      <c r="H67" s="11" t="s">
        <v>434</v>
      </c>
      <c r="I67" s="39"/>
      <c r="J67" s="18">
        <v>1000</v>
      </c>
      <c r="L67" s="44">
        <f>Table134567810111213141516171819202122232425[[#This Row],[الدولار]]+(Table134567810111213141516171819202122232425[[#This Row],[اللبناني]]/90)</f>
        <v>11.111111111111111</v>
      </c>
      <c r="M67" s="6"/>
    </row>
    <row r="68" spans="8:13" s="11" customFormat="1" x14ac:dyDescent="0.3">
      <c r="H68" s="11" t="s">
        <v>434</v>
      </c>
      <c r="I68" s="39"/>
      <c r="J68" s="18">
        <v>-540</v>
      </c>
      <c r="K68" s="11">
        <v>40</v>
      </c>
      <c r="L68" s="44">
        <f>Table134567810111213141516171819202122232425[[#This Row],[الدولار]]+(Table134567810111213141516171819202122232425[[#This Row],[اللبناني]]/90)</f>
        <v>34</v>
      </c>
      <c r="M68" s="6"/>
    </row>
    <row r="69" spans="8:13" s="11" customFormat="1" x14ac:dyDescent="0.3">
      <c r="H69" s="11" t="s">
        <v>434</v>
      </c>
      <c r="I69" s="39"/>
      <c r="J69" s="18"/>
      <c r="K69" s="11">
        <v>4000</v>
      </c>
      <c r="L69" s="44">
        <f>Table134567810111213141516171819202122232425[[#This Row],[الدولار]]+(Table134567810111213141516171819202122232425[[#This Row],[اللبناني]]/90)</f>
        <v>4000</v>
      </c>
      <c r="M69" s="6"/>
    </row>
    <row r="70" spans="8:13" s="11" customFormat="1" x14ac:dyDescent="0.3">
      <c r="H70" s="11" t="s">
        <v>434</v>
      </c>
      <c r="I70" s="39"/>
      <c r="J70" s="18">
        <v>500</v>
      </c>
      <c r="L70" s="44">
        <f>Table134567810111213141516171819202122232425[[#This Row],[الدولار]]+(Table134567810111213141516171819202122232425[[#This Row],[اللبناني]]/90)</f>
        <v>5.5555555555555554</v>
      </c>
      <c r="M70" s="6"/>
    </row>
    <row r="71" spans="8:13" s="11" customFormat="1" x14ac:dyDescent="0.3">
      <c r="H71" s="11" t="s">
        <v>434</v>
      </c>
      <c r="I71" s="39"/>
      <c r="J71" s="18">
        <v>-180</v>
      </c>
      <c r="K71" s="11">
        <v>10</v>
      </c>
      <c r="L71" s="44">
        <f>Table134567810111213141516171819202122232425[[#This Row],[الدولار]]+(Table134567810111213141516171819202122232425[[#This Row],[اللبناني]]/90)</f>
        <v>8</v>
      </c>
      <c r="M71" s="6"/>
    </row>
    <row r="72" spans="8:13" s="11" customFormat="1" x14ac:dyDescent="0.3">
      <c r="H72" s="11" t="s">
        <v>434</v>
      </c>
      <c r="I72" s="39"/>
      <c r="J72" s="18"/>
      <c r="K72" s="11">
        <v>70</v>
      </c>
      <c r="L72" s="44">
        <f>Table134567810111213141516171819202122232425[[#This Row],[الدولار]]+(Table134567810111213141516171819202122232425[[#This Row],[اللبناني]]/90)</f>
        <v>70</v>
      </c>
      <c r="M72" s="6"/>
    </row>
    <row r="73" spans="8:13" s="11" customFormat="1" x14ac:dyDescent="0.3">
      <c r="H73" s="11" t="s">
        <v>434</v>
      </c>
      <c r="I73" s="39"/>
      <c r="J73" s="18">
        <v>50</v>
      </c>
      <c r="K73" s="11">
        <v>5</v>
      </c>
      <c r="L73" s="44">
        <f>Table134567810111213141516171819202122232425[[#This Row],[الدولار]]+(Table134567810111213141516171819202122232425[[#This Row],[اللبناني]]/90)</f>
        <v>5.5555555555555554</v>
      </c>
      <c r="M73" s="6"/>
    </row>
    <row r="74" spans="8:13" s="11" customFormat="1" x14ac:dyDescent="0.3">
      <c r="H74" s="11" t="s">
        <v>434</v>
      </c>
      <c r="I74" s="39"/>
      <c r="J74" s="18">
        <v>180</v>
      </c>
      <c r="L74" s="44">
        <f>Table134567810111213141516171819202122232425[[#This Row],[الدولار]]+(Table134567810111213141516171819202122232425[[#This Row],[اللبناني]]/90)</f>
        <v>2</v>
      </c>
      <c r="M74" s="6"/>
    </row>
    <row r="75" spans="8:13" s="11" customFormat="1" x14ac:dyDescent="0.3">
      <c r="H75" s="11" t="s">
        <v>434</v>
      </c>
      <c r="I75" s="39"/>
      <c r="J75" s="18">
        <v>220</v>
      </c>
      <c r="L75" s="44">
        <f>Table134567810111213141516171819202122232425[[#This Row],[الدولار]]+(Table134567810111213141516171819202122232425[[#This Row],[اللبناني]]/90)</f>
        <v>2.4444444444444446</v>
      </c>
      <c r="M75" s="6"/>
    </row>
    <row r="76" spans="8:13" s="11" customFormat="1" x14ac:dyDescent="0.3">
      <c r="H76" s="11" t="s">
        <v>434</v>
      </c>
      <c r="I76" s="39"/>
      <c r="J76" s="18">
        <v>-250</v>
      </c>
      <c r="K76" s="11">
        <v>10</v>
      </c>
      <c r="L76" s="44">
        <f>Table134567810111213141516171819202122232425[[#This Row],[الدولار]]+(Table134567810111213141516171819202122232425[[#This Row],[اللبناني]]/90)</f>
        <v>7.2222222222222223</v>
      </c>
      <c r="M76" s="6"/>
    </row>
    <row r="77" spans="8:13" s="11" customFormat="1" x14ac:dyDescent="0.3">
      <c r="H77" s="11" t="s">
        <v>434</v>
      </c>
      <c r="I77" s="39"/>
      <c r="J77" s="18">
        <v>450</v>
      </c>
      <c r="K77" s="11">
        <v>10</v>
      </c>
      <c r="L77" s="44">
        <f>Table134567810111213141516171819202122232425[[#This Row],[الدولار]]+(Table134567810111213141516171819202122232425[[#This Row],[اللبناني]]/90)</f>
        <v>15</v>
      </c>
      <c r="M77" s="6"/>
    </row>
    <row r="78" spans="8:13" s="11" customFormat="1" x14ac:dyDescent="0.3">
      <c r="H78" s="11" t="s">
        <v>434</v>
      </c>
      <c r="I78" s="39"/>
      <c r="J78" s="18">
        <v>320</v>
      </c>
      <c r="L78" s="44">
        <f>Table134567810111213141516171819202122232425[[#This Row],[الدولار]]+(Table134567810111213141516171819202122232425[[#This Row],[اللبناني]]/90)</f>
        <v>3.5555555555555554</v>
      </c>
      <c r="M78" s="6"/>
    </row>
    <row r="79" spans="8:13" s="11" customFormat="1" x14ac:dyDescent="0.3">
      <c r="H79" s="11" t="s">
        <v>434</v>
      </c>
      <c r="I79" s="39"/>
      <c r="J79" s="18">
        <v>-270</v>
      </c>
      <c r="K79" s="11">
        <v>30</v>
      </c>
      <c r="L79" s="44">
        <f>Table134567810111213141516171819202122232425[[#This Row],[الدولار]]+(Table134567810111213141516171819202122232425[[#This Row],[اللبناني]]/90)</f>
        <v>27</v>
      </c>
      <c r="M79" s="6"/>
    </row>
    <row r="80" spans="8:13" s="11" customFormat="1" x14ac:dyDescent="0.3">
      <c r="H80" s="11" t="s">
        <v>434</v>
      </c>
      <c r="I80" s="39"/>
      <c r="J80" s="18"/>
      <c r="K80" s="11">
        <v>150</v>
      </c>
      <c r="L80" s="44">
        <f>Table134567810111213141516171819202122232425[[#This Row],[الدولار]]+(Table134567810111213141516171819202122232425[[#This Row],[اللبناني]]/90)</f>
        <v>150</v>
      </c>
      <c r="M80" s="6"/>
    </row>
    <row r="81" spans="8:13" s="11" customFormat="1" x14ac:dyDescent="0.3">
      <c r="H81" s="11" t="s">
        <v>434</v>
      </c>
      <c r="I81" s="39"/>
      <c r="J81" s="18">
        <v>150</v>
      </c>
      <c r="L81" s="44">
        <f>Table134567810111213141516171819202122232425[[#This Row],[الدولار]]+(Table134567810111213141516171819202122232425[[#This Row],[اللبناني]]/90)</f>
        <v>1.6666666666666667</v>
      </c>
      <c r="M81" s="6"/>
    </row>
    <row r="82" spans="8:13" s="11" customFormat="1" x14ac:dyDescent="0.3">
      <c r="H82" s="11" t="s">
        <v>434</v>
      </c>
      <c r="I82" s="39"/>
      <c r="J82" s="18">
        <v>-225</v>
      </c>
      <c r="K82" s="11">
        <v>5</v>
      </c>
      <c r="L82" s="44">
        <f>Table134567810111213141516171819202122232425[[#This Row],[الدولار]]+(Table134567810111213141516171819202122232425[[#This Row],[اللبناني]]/90)</f>
        <v>2.5</v>
      </c>
      <c r="M82" s="6"/>
    </row>
    <row r="83" spans="8:13" s="11" customFormat="1" x14ac:dyDescent="0.3">
      <c r="H83" s="11" t="s">
        <v>434</v>
      </c>
      <c r="I83" s="39"/>
      <c r="J83" s="18">
        <v>220</v>
      </c>
      <c r="L83" s="44">
        <f>Table134567810111213141516171819202122232425[[#This Row],[الدولار]]+(Table134567810111213141516171819202122232425[[#This Row],[اللبناني]]/90)</f>
        <v>2.4444444444444446</v>
      </c>
      <c r="M83" s="6"/>
    </row>
    <row r="84" spans="8:13" s="11" customFormat="1" x14ac:dyDescent="0.3">
      <c r="H84" s="11" t="s">
        <v>434</v>
      </c>
      <c r="I84" s="39"/>
      <c r="J84" s="18">
        <v>100</v>
      </c>
      <c r="L84" s="44">
        <f>Table134567810111213141516171819202122232425[[#This Row],[الدولار]]+(Table134567810111213141516171819202122232425[[#This Row],[اللبناني]]/90)</f>
        <v>1.1111111111111112</v>
      </c>
      <c r="M84" s="6"/>
    </row>
    <row r="85" spans="8:13" s="11" customFormat="1" x14ac:dyDescent="0.3">
      <c r="H85" s="11" t="s">
        <v>434</v>
      </c>
      <c r="I85" s="39"/>
      <c r="J85" s="18">
        <v>350</v>
      </c>
      <c r="L85" s="44">
        <f>Table134567810111213141516171819202122232425[[#This Row],[الدولار]]+(Table134567810111213141516171819202122232425[[#This Row],[اللبناني]]/90)</f>
        <v>3.8888888888888888</v>
      </c>
      <c r="M85" s="6"/>
    </row>
    <row r="86" spans="8:13" s="11" customFormat="1" x14ac:dyDescent="0.3">
      <c r="H86" s="11" t="s">
        <v>434</v>
      </c>
      <c r="I86" s="39"/>
      <c r="J86" s="18">
        <v>-400</v>
      </c>
      <c r="K86" s="11">
        <v>10</v>
      </c>
      <c r="L86" s="44">
        <f>Table134567810111213141516171819202122232425[[#This Row],[الدولار]]+(Table134567810111213141516171819202122232425[[#This Row],[اللبناني]]/90)</f>
        <v>5.5555555555555554</v>
      </c>
      <c r="M86" s="6"/>
    </row>
    <row r="87" spans="8:13" s="11" customFormat="1" x14ac:dyDescent="0.3">
      <c r="H87" s="11" t="s">
        <v>434</v>
      </c>
      <c r="I87" s="39"/>
      <c r="J87" s="18"/>
      <c r="K87" s="11">
        <v>10</v>
      </c>
      <c r="L87" s="44">
        <f>Table134567810111213141516171819202122232425[[#This Row],[الدولار]]+(Table134567810111213141516171819202122232425[[#This Row],[اللبناني]]/90)</f>
        <v>10</v>
      </c>
      <c r="M87" s="6"/>
    </row>
    <row r="88" spans="8:13" s="11" customFormat="1" x14ac:dyDescent="0.3">
      <c r="H88" s="11" t="s">
        <v>434</v>
      </c>
      <c r="I88" s="39"/>
      <c r="J88" s="18">
        <v>80</v>
      </c>
      <c r="L88" s="44">
        <f>Table134567810111213141516171819202122232425[[#This Row],[الدولار]]+(Table134567810111213141516171819202122232425[[#This Row],[اللبناني]]/90)</f>
        <v>0.88888888888888884</v>
      </c>
      <c r="M88" s="6"/>
    </row>
    <row r="89" spans="8:13" s="11" customFormat="1" x14ac:dyDescent="0.3">
      <c r="H89" s="11" t="s">
        <v>434</v>
      </c>
      <c r="I89" s="39"/>
      <c r="J89" s="18">
        <v>-270</v>
      </c>
      <c r="K89" s="11">
        <v>110</v>
      </c>
      <c r="L89" s="44">
        <f>Table134567810111213141516171819202122232425[[#This Row],[الدولار]]+(Table134567810111213141516171819202122232425[[#This Row],[اللبناني]]/90)</f>
        <v>107</v>
      </c>
      <c r="M89" s="6"/>
    </row>
    <row r="90" spans="8:13" s="11" customFormat="1" x14ac:dyDescent="0.3">
      <c r="H90" s="11" t="s">
        <v>434</v>
      </c>
      <c r="I90" s="39"/>
      <c r="J90" s="18">
        <v>415</v>
      </c>
      <c r="L90" s="44">
        <f>Table134567810111213141516171819202122232425[[#This Row],[الدولار]]+(Table134567810111213141516171819202122232425[[#This Row],[اللبناني]]/90)</f>
        <v>4.6111111111111107</v>
      </c>
      <c r="M90" s="6"/>
    </row>
    <row r="91" spans="8:13" s="11" customFormat="1" x14ac:dyDescent="0.3">
      <c r="H91" s="11" t="s">
        <v>434</v>
      </c>
      <c r="I91" s="39"/>
      <c r="J91" s="18">
        <v>660</v>
      </c>
      <c r="L91" s="44">
        <f>Table134567810111213141516171819202122232425[[#This Row],[الدولار]]+(Table134567810111213141516171819202122232425[[#This Row],[اللبناني]]/90)</f>
        <v>7.333333333333333</v>
      </c>
      <c r="M91" s="6"/>
    </row>
    <row r="92" spans="8:13" s="11" customFormat="1" x14ac:dyDescent="0.3">
      <c r="H92" s="11" t="s">
        <v>434</v>
      </c>
      <c r="I92" s="39"/>
      <c r="J92" s="18">
        <v>-600</v>
      </c>
      <c r="K92" s="11">
        <v>10</v>
      </c>
      <c r="L92" s="44">
        <f>Table134567810111213141516171819202122232425[[#This Row],[الدولار]]+(Table134567810111213141516171819202122232425[[#This Row],[اللبناني]]/90)</f>
        <v>3.333333333333333</v>
      </c>
      <c r="M92" s="6"/>
    </row>
    <row r="93" spans="8:13" s="11" customFormat="1" x14ac:dyDescent="0.3">
      <c r="H93" s="11" t="s">
        <v>434</v>
      </c>
      <c r="I93" s="39"/>
      <c r="J93" s="18">
        <v>150</v>
      </c>
      <c r="L93" s="44">
        <f>Table134567810111213141516171819202122232425[[#This Row],[الدولار]]+(Table134567810111213141516171819202122232425[[#This Row],[اللبناني]]/90)</f>
        <v>1.6666666666666667</v>
      </c>
      <c r="M93" s="6"/>
    </row>
    <row r="94" spans="8:13" s="11" customFormat="1" x14ac:dyDescent="0.3">
      <c r="H94" s="11" t="s">
        <v>434</v>
      </c>
      <c r="I94" s="39"/>
      <c r="J94" s="18"/>
      <c r="K94" s="11">
        <v>90</v>
      </c>
      <c r="L94" s="44">
        <f>Table134567810111213141516171819202122232425[[#This Row],[الدولار]]+(Table134567810111213141516171819202122232425[[#This Row],[اللبناني]]/90)</f>
        <v>90</v>
      </c>
      <c r="M94" s="6"/>
    </row>
    <row r="95" spans="8:13" s="11" customFormat="1" x14ac:dyDescent="0.3">
      <c r="H95" s="11" t="s">
        <v>434</v>
      </c>
      <c r="I95" s="39"/>
      <c r="J95" s="18">
        <v>-270</v>
      </c>
      <c r="L95" s="44">
        <f>Table134567810111213141516171819202122232425[[#This Row],[الدولار]]+(Table134567810111213141516171819202122232425[[#This Row],[اللبناني]]/90)</f>
        <v>-3</v>
      </c>
      <c r="M95" s="6"/>
    </row>
    <row r="96" spans="8:13" s="11" customFormat="1" x14ac:dyDescent="0.3">
      <c r="H96" s="11" t="s">
        <v>434</v>
      </c>
      <c r="I96" s="39"/>
      <c r="J96" s="18"/>
      <c r="K96" s="11">
        <v>70</v>
      </c>
      <c r="L96" s="44">
        <f>Table134567810111213141516171819202122232425[[#This Row],[الدولار]]+(Table134567810111213141516171819202122232425[[#This Row],[اللبناني]]/90)</f>
        <v>70</v>
      </c>
      <c r="M96" s="6"/>
    </row>
    <row r="97" spans="8:13" s="11" customFormat="1" x14ac:dyDescent="0.3">
      <c r="H97" s="11" t="s">
        <v>434</v>
      </c>
      <c r="I97" s="39"/>
      <c r="J97" s="18"/>
      <c r="K97" s="11">
        <v>40</v>
      </c>
      <c r="L97" s="44">
        <f>Table134567810111213141516171819202122232425[[#This Row],[الدولار]]+(Table134567810111213141516171819202122232425[[#This Row],[اللبناني]]/90)</f>
        <v>40</v>
      </c>
      <c r="M97" s="6"/>
    </row>
    <row r="98" spans="8:13" s="11" customFormat="1" x14ac:dyDescent="0.3">
      <c r="H98" s="11" t="s">
        <v>434</v>
      </c>
      <c r="I98" s="39"/>
      <c r="J98" s="18"/>
      <c r="K98" s="11">
        <v>5</v>
      </c>
      <c r="L98" s="44">
        <f>Table134567810111213141516171819202122232425[[#This Row],[الدولار]]+(Table134567810111213141516171819202122232425[[#This Row],[اللبناني]]/90)</f>
        <v>5</v>
      </c>
      <c r="M98" s="6"/>
    </row>
    <row r="99" spans="8:13" s="11" customFormat="1" x14ac:dyDescent="0.3">
      <c r="H99" s="11" t="s">
        <v>434</v>
      </c>
      <c r="I99" s="39"/>
      <c r="J99" s="18"/>
      <c r="K99" s="11">
        <v>5</v>
      </c>
      <c r="L99" s="44">
        <f>Table134567810111213141516171819202122232425[[#This Row],[الدولار]]+(Table134567810111213141516171819202122232425[[#This Row],[اللبناني]]/90)</f>
        <v>5</v>
      </c>
      <c r="M99" s="6"/>
    </row>
    <row r="100" spans="8:13" s="11" customFormat="1" x14ac:dyDescent="0.3">
      <c r="H100" s="11" t="s">
        <v>434</v>
      </c>
      <c r="I100" s="39"/>
      <c r="J100" s="18">
        <v>-100</v>
      </c>
      <c r="L100" s="44">
        <f>Table134567810111213141516171819202122232425[[#This Row],[الدولار]]+(Table134567810111213141516171819202122232425[[#This Row],[اللبناني]]/90)</f>
        <v>-1.1111111111111112</v>
      </c>
      <c r="M100" s="6"/>
    </row>
    <row r="101" spans="8:13" s="11" customFormat="1" x14ac:dyDescent="0.3">
      <c r="H101" s="11" t="s">
        <v>434</v>
      </c>
      <c r="I101" s="39"/>
      <c r="J101" s="18">
        <v>180</v>
      </c>
      <c r="L101" s="44">
        <f>Table134567810111213141516171819202122232425[[#This Row],[الدولار]]+(Table134567810111213141516171819202122232425[[#This Row],[اللبناني]]/90)</f>
        <v>2</v>
      </c>
      <c r="M101" s="6"/>
    </row>
    <row r="102" spans="8:13" s="11" customFormat="1" x14ac:dyDescent="0.3">
      <c r="H102" s="11" t="s">
        <v>434</v>
      </c>
      <c r="I102" s="39"/>
      <c r="J102" s="18">
        <v>100</v>
      </c>
      <c r="L102" s="44">
        <f>Table134567810111213141516171819202122232425[[#This Row],[الدولار]]+(Table134567810111213141516171819202122232425[[#This Row],[اللبناني]]/90)</f>
        <v>1.1111111111111112</v>
      </c>
      <c r="M102" s="6"/>
    </row>
    <row r="103" spans="8:13" s="11" customFormat="1" x14ac:dyDescent="0.3">
      <c r="H103" s="11" t="s">
        <v>434</v>
      </c>
      <c r="I103" s="39"/>
      <c r="J103" s="18">
        <v>180</v>
      </c>
      <c r="L103" s="44">
        <f>Table134567810111213141516171819202122232425[[#This Row],[الدولار]]+(Table134567810111213141516171819202122232425[[#This Row],[اللبناني]]/90)</f>
        <v>2</v>
      </c>
      <c r="M103" s="6"/>
    </row>
    <row r="104" spans="8:13" s="11" customFormat="1" x14ac:dyDescent="0.3">
      <c r="H104" s="11" t="s">
        <v>434</v>
      </c>
      <c r="I104" s="39"/>
      <c r="J104" s="18"/>
      <c r="K104" s="11">
        <v>10</v>
      </c>
      <c r="L104" s="44">
        <f>Table134567810111213141516171819202122232425[[#This Row],[الدولار]]+(Table134567810111213141516171819202122232425[[#This Row],[اللبناني]]/90)</f>
        <v>10</v>
      </c>
      <c r="M104" s="6"/>
    </row>
    <row r="105" spans="8:13" s="11" customFormat="1" x14ac:dyDescent="0.3">
      <c r="H105" s="11" t="s">
        <v>434</v>
      </c>
      <c r="I105" s="39"/>
      <c r="J105" s="18">
        <v>70</v>
      </c>
      <c r="L105" s="44">
        <f>Table134567810111213141516171819202122232425[[#This Row],[الدولار]]+(Table134567810111213141516171819202122232425[[#This Row],[اللبناني]]/90)</f>
        <v>0.77777777777777779</v>
      </c>
      <c r="M105" s="6"/>
    </row>
    <row r="106" spans="8:13" s="11" customFormat="1" x14ac:dyDescent="0.3">
      <c r="H106" s="11" t="s">
        <v>435</v>
      </c>
      <c r="I106" s="39"/>
      <c r="J106" s="18">
        <v>-300</v>
      </c>
      <c r="L106" s="44">
        <f>Table134567810111213141516171819202122232425[[#This Row],[الدولار]]+(Table134567810111213141516171819202122232425[[#This Row],[اللبناني]]/90)</f>
        <v>-3.3333333333333335</v>
      </c>
      <c r="M106" s="6"/>
    </row>
    <row r="107" spans="8:13" s="11" customFormat="1" x14ac:dyDescent="0.3">
      <c r="H107" s="11" t="s">
        <v>434</v>
      </c>
      <c r="I107" s="39"/>
      <c r="J107" s="18">
        <v>100</v>
      </c>
      <c r="L107" s="44">
        <f>Table134567810111213141516171819202122232425[[#This Row],[الدولار]]+(Table134567810111213141516171819202122232425[[#This Row],[اللبناني]]/90)</f>
        <v>1.1111111111111112</v>
      </c>
      <c r="M107" s="6"/>
    </row>
    <row r="108" spans="8:13" s="11" customFormat="1" x14ac:dyDescent="0.3">
      <c r="H108" s="11" t="s">
        <v>434</v>
      </c>
      <c r="I108" s="39"/>
      <c r="J108" s="18">
        <v>100</v>
      </c>
      <c r="L108" s="44">
        <f>Table134567810111213141516171819202122232425[[#This Row],[الدولار]]+(Table134567810111213141516171819202122232425[[#This Row],[اللبناني]]/90)</f>
        <v>1.1111111111111112</v>
      </c>
      <c r="M108" s="6"/>
    </row>
    <row r="109" spans="8:13" s="11" customFormat="1" x14ac:dyDescent="0.3">
      <c r="H109" s="11" t="s">
        <v>434</v>
      </c>
      <c r="I109" s="39"/>
      <c r="J109" s="18">
        <v>-400</v>
      </c>
      <c r="K109" s="11">
        <v>20</v>
      </c>
      <c r="L109" s="44">
        <f>Table134567810111213141516171819202122232425[[#This Row],[الدولار]]+(Table134567810111213141516171819202122232425[[#This Row],[اللبناني]]/90)</f>
        <v>15.555555555555555</v>
      </c>
      <c r="M109" s="6"/>
    </row>
    <row r="110" spans="8:13" s="11" customFormat="1" x14ac:dyDescent="0.3">
      <c r="H110" s="11" t="s">
        <v>434</v>
      </c>
      <c r="I110" s="39"/>
      <c r="J110" s="18">
        <v>50</v>
      </c>
      <c r="L110" s="44">
        <f>Table134567810111213141516171819202122232425[[#This Row],[الدولار]]+(Table134567810111213141516171819202122232425[[#This Row],[اللبناني]]/90)</f>
        <v>0.55555555555555558</v>
      </c>
      <c r="M110" s="6"/>
    </row>
    <row r="111" spans="8:13" s="11" customFormat="1" x14ac:dyDescent="0.3">
      <c r="H111" s="11" t="s">
        <v>434</v>
      </c>
      <c r="I111" s="39"/>
      <c r="J111" s="18">
        <v>170</v>
      </c>
      <c r="L111" s="44">
        <f>Table134567810111213141516171819202122232425[[#This Row],[الدولار]]+(Table134567810111213141516171819202122232425[[#This Row],[اللبناني]]/90)</f>
        <v>1.8888888888888888</v>
      </c>
      <c r="M111" s="6"/>
    </row>
    <row r="112" spans="8:13" s="11" customFormat="1" x14ac:dyDescent="0.3">
      <c r="H112" s="11" t="s">
        <v>434</v>
      </c>
      <c r="I112" s="39"/>
      <c r="J112" s="18"/>
      <c r="K112" s="11">
        <v>50</v>
      </c>
      <c r="L112" s="44">
        <f>Table134567810111213141516171819202122232425[[#This Row],[الدولار]]+(Table134567810111213141516171819202122232425[[#This Row],[اللبناني]]/90)</f>
        <v>50</v>
      </c>
      <c r="M112" s="6"/>
    </row>
    <row r="113" spans="8:13" s="11" customFormat="1" x14ac:dyDescent="0.3">
      <c r="H113" s="11" t="s">
        <v>434</v>
      </c>
      <c r="I113" s="39"/>
      <c r="J113" s="18">
        <v>160</v>
      </c>
      <c r="L113" s="44">
        <f>Table134567810111213141516171819202122232425[[#This Row],[الدولار]]+(Table134567810111213141516171819202122232425[[#This Row],[اللبناني]]/90)</f>
        <v>1.7777777777777777</v>
      </c>
      <c r="M113" s="6"/>
    </row>
    <row r="114" spans="8:13" s="11" customFormat="1" x14ac:dyDescent="0.3">
      <c r="H114" s="11" t="s">
        <v>434</v>
      </c>
      <c r="I114" s="39"/>
      <c r="J114" s="18">
        <v>-180</v>
      </c>
      <c r="K114" s="11">
        <v>5</v>
      </c>
      <c r="L114" s="44">
        <f>Table134567810111213141516171819202122232425[[#This Row],[الدولار]]+(Table134567810111213141516171819202122232425[[#This Row],[اللبناني]]/90)</f>
        <v>3</v>
      </c>
      <c r="M114" s="6"/>
    </row>
    <row r="115" spans="8:13" s="11" customFormat="1" x14ac:dyDescent="0.3">
      <c r="H115" s="11" t="s">
        <v>434</v>
      </c>
      <c r="I115" s="39"/>
      <c r="J115" s="18">
        <v>400</v>
      </c>
      <c r="L115" s="44">
        <f>Table134567810111213141516171819202122232425[[#This Row],[الدولار]]+(Table134567810111213141516171819202122232425[[#This Row],[اللبناني]]/90)</f>
        <v>4.4444444444444446</v>
      </c>
      <c r="M115" s="6"/>
    </row>
    <row r="116" spans="8:13" s="11" customFormat="1" x14ac:dyDescent="0.3">
      <c r="H116" s="11" t="s">
        <v>434</v>
      </c>
      <c r="I116" s="39"/>
      <c r="J116" s="18"/>
      <c r="K116" s="11">
        <v>25</v>
      </c>
      <c r="L116" s="44">
        <f>Table134567810111213141516171819202122232425[[#This Row],[الدولار]]+(Table134567810111213141516171819202122232425[[#This Row],[اللبناني]]/90)</f>
        <v>25</v>
      </c>
      <c r="M116" s="6"/>
    </row>
    <row r="117" spans="8:13" s="11" customFormat="1" x14ac:dyDescent="0.3">
      <c r="H117" s="11" t="s">
        <v>434</v>
      </c>
      <c r="I117" s="39"/>
      <c r="J117" s="18">
        <v>160</v>
      </c>
      <c r="K117" s="11">
        <v>5</v>
      </c>
      <c r="L117" s="44">
        <f>Table134567810111213141516171819202122232425[[#This Row],[الدولار]]+(Table134567810111213141516171819202122232425[[#This Row],[اللبناني]]/90)</f>
        <v>6.7777777777777777</v>
      </c>
      <c r="M117" s="6"/>
    </row>
    <row r="118" spans="8:13" s="11" customFormat="1" x14ac:dyDescent="0.3">
      <c r="H118" s="11" t="s">
        <v>434</v>
      </c>
      <c r="I118" s="39"/>
      <c r="J118" s="18">
        <v>200</v>
      </c>
      <c r="L118" s="44">
        <f>Table134567810111213141516171819202122232425[[#This Row],[الدولار]]+(Table134567810111213141516171819202122232425[[#This Row],[اللبناني]]/90)</f>
        <v>2.2222222222222223</v>
      </c>
      <c r="M118" s="6"/>
    </row>
    <row r="119" spans="8:13" s="11" customFormat="1" x14ac:dyDescent="0.3">
      <c r="H119" s="11" t="s">
        <v>434</v>
      </c>
      <c r="I119" s="39"/>
      <c r="J119" s="18">
        <v>90</v>
      </c>
      <c r="K119" s="11">
        <v>-10</v>
      </c>
      <c r="L119" s="44">
        <f>Table134567810111213141516171819202122232425[[#This Row],[الدولار]]+(Table134567810111213141516171819202122232425[[#This Row],[اللبناني]]/90)</f>
        <v>-9</v>
      </c>
      <c r="M119" s="6"/>
    </row>
    <row r="120" spans="8:13" s="11" customFormat="1" x14ac:dyDescent="0.3">
      <c r="H120" s="11" t="s">
        <v>434</v>
      </c>
      <c r="I120" s="39"/>
      <c r="J120" s="18">
        <v>300</v>
      </c>
      <c r="L120" s="44">
        <f>Table134567810111213141516171819202122232425[[#This Row],[الدولار]]+(Table134567810111213141516171819202122232425[[#This Row],[اللبناني]]/90)</f>
        <v>3.3333333333333335</v>
      </c>
      <c r="M120" s="6"/>
    </row>
    <row r="121" spans="8:13" s="11" customFormat="1" x14ac:dyDescent="0.3">
      <c r="H121" s="11" t="s">
        <v>434</v>
      </c>
      <c r="I121" s="39"/>
      <c r="J121" s="18"/>
      <c r="K121" s="11">
        <v>105</v>
      </c>
      <c r="L121" s="44">
        <f>Table134567810111213141516171819202122232425[[#This Row],[الدولار]]+(Table134567810111213141516171819202122232425[[#This Row],[اللبناني]]/90)</f>
        <v>105</v>
      </c>
      <c r="M121" s="6"/>
    </row>
    <row r="122" spans="8:13" s="11" customFormat="1" x14ac:dyDescent="0.3">
      <c r="H122" s="11" t="s">
        <v>434</v>
      </c>
      <c r="I122" s="39" t="s">
        <v>220</v>
      </c>
      <c r="J122" s="18"/>
      <c r="K122" s="11">
        <v>235</v>
      </c>
      <c r="L122" s="44">
        <f>Table134567810111213141516171819202122232425[[#This Row],[الدولار]]+(Table134567810111213141516171819202122232425[[#This Row],[اللبناني]]/90)</f>
        <v>235</v>
      </c>
      <c r="M122" s="6"/>
    </row>
    <row r="123" spans="8:13" s="11" customFormat="1" x14ac:dyDescent="0.3">
      <c r="H123" s="11" t="s">
        <v>436</v>
      </c>
      <c r="I123" s="39" t="s">
        <v>425</v>
      </c>
      <c r="J123" s="18"/>
      <c r="K123" s="11">
        <v>-5100</v>
      </c>
      <c r="L123" s="44">
        <f>Table134567810111213141516171819202122232425[[#This Row],[الدولار]]+(Table134567810111213141516171819202122232425[[#This Row],[اللبناني]]/90)</f>
        <v>-5100</v>
      </c>
      <c r="M123" s="6"/>
    </row>
    <row r="124" spans="8:13" s="11" customFormat="1" x14ac:dyDescent="0.3">
      <c r="H124" s="11" t="s">
        <v>436</v>
      </c>
      <c r="I124" s="39" t="s">
        <v>425</v>
      </c>
      <c r="J124" s="18">
        <v>-5000</v>
      </c>
      <c r="L124" s="44">
        <f>Table134567810111213141516171819202122232425[[#This Row],[الدولار]]+(Table134567810111213141516171819202122232425[[#This Row],[اللبناني]]/90)</f>
        <v>-55.555555555555557</v>
      </c>
      <c r="M124" s="6"/>
    </row>
    <row r="125" spans="8:13" s="11" customFormat="1" x14ac:dyDescent="0.3">
      <c r="H125" s="11" t="s">
        <v>434</v>
      </c>
      <c r="I125" s="39" t="s">
        <v>220</v>
      </c>
      <c r="J125" s="18">
        <v>-25</v>
      </c>
      <c r="L125" s="44">
        <f>Table134567810111213141516171819202122232425[[#This Row],[الدولار]]+(Table134567810111213141516171819202122232425[[#This Row],[اللبناني]]/90)</f>
        <v>-0.27777777777777779</v>
      </c>
      <c r="M125" s="6"/>
    </row>
    <row r="126" spans="8:13" s="11" customFormat="1" x14ac:dyDescent="0.3">
      <c r="I126" s="39"/>
      <c r="J126" s="18"/>
      <c r="L126" s="44">
        <f>Table134567810111213141516171819202122232425[[#This Row],[الدولار]]+(Table134567810111213141516171819202122232425[[#This Row],[اللبناني]]/90)</f>
        <v>0</v>
      </c>
      <c r="M126" s="6"/>
    </row>
    <row r="127" spans="8:13" s="11" customFormat="1" x14ac:dyDescent="0.3">
      <c r="I127" s="39"/>
      <c r="J127" s="18"/>
      <c r="L127" s="44">
        <f>Table134567810111213141516171819202122232425[[#This Row],[الدولار]]+(Table134567810111213141516171819202122232425[[#This Row],[اللبناني]]/90)</f>
        <v>0</v>
      </c>
      <c r="M127" s="6"/>
    </row>
    <row r="128" spans="8:13" s="11" customFormat="1" x14ac:dyDescent="0.3">
      <c r="I128" s="39"/>
      <c r="J128" s="18"/>
      <c r="L128" s="44">
        <f>Table134567810111213141516171819202122232425[[#This Row],[الدولار]]+(Table134567810111213141516171819202122232425[[#This Row],[اللبناني]]/90)</f>
        <v>0</v>
      </c>
      <c r="M128" s="6"/>
    </row>
    <row r="129" spans="9:13" s="11" customFormat="1" x14ac:dyDescent="0.3">
      <c r="I129" s="39"/>
      <c r="J129" s="18"/>
      <c r="L129" s="44">
        <f>Table134567810111213141516171819202122232425[[#This Row],[الدولار]]+(Table134567810111213141516171819202122232425[[#This Row],[اللبناني]]/90)</f>
        <v>0</v>
      </c>
      <c r="M129" s="6"/>
    </row>
    <row r="130" spans="9:13" s="11" customFormat="1" x14ac:dyDescent="0.3">
      <c r="I130" s="39"/>
      <c r="J130" s="18"/>
      <c r="L130" s="44">
        <f>Table134567810111213141516171819202122232425[[#This Row],[الدولار]]+(Table134567810111213141516171819202122232425[[#This Row],[اللبناني]]/90)</f>
        <v>0</v>
      </c>
      <c r="M130" s="6"/>
    </row>
    <row r="131" spans="9:13" s="11" customFormat="1" x14ac:dyDescent="0.3">
      <c r="I131" s="39"/>
      <c r="J131" s="18"/>
      <c r="L131" s="44">
        <f>Table134567810111213141516171819202122232425[[#This Row],[الدولار]]+(Table134567810111213141516171819202122232425[[#This Row],[اللبناني]]/90)</f>
        <v>0</v>
      </c>
      <c r="M131" s="6"/>
    </row>
    <row r="132" spans="9:13" s="11" customFormat="1" x14ac:dyDescent="0.3">
      <c r="I132" s="39"/>
      <c r="J132" s="18"/>
      <c r="L132" s="44">
        <f>Table134567810111213141516171819202122232425[[#This Row],[الدولار]]+(Table134567810111213141516171819202122232425[[#This Row],[اللبناني]]/90)</f>
        <v>0</v>
      </c>
      <c r="M132" s="6"/>
    </row>
    <row r="133" spans="9:13" s="11" customFormat="1" x14ac:dyDescent="0.3">
      <c r="I133" s="39"/>
      <c r="J133" s="18"/>
      <c r="L133" s="44">
        <f>Table134567810111213141516171819202122232425[[#This Row],[الدولار]]+(Table134567810111213141516171819202122232425[[#This Row],[اللبناني]]/90)</f>
        <v>0</v>
      </c>
      <c r="M133" s="6"/>
    </row>
    <row r="134" spans="9:13" s="11" customFormat="1" x14ac:dyDescent="0.3">
      <c r="I134" s="39"/>
      <c r="J134" s="18"/>
      <c r="L134" s="44">
        <f>Table134567810111213141516171819202122232425[[#This Row],[الدولار]]+(Table134567810111213141516171819202122232425[[#This Row],[اللبناني]]/90)</f>
        <v>0</v>
      </c>
      <c r="M134" s="6"/>
    </row>
    <row r="135" spans="9:13" s="11" customFormat="1" x14ac:dyDescent="0.3">
      <c r="I135" s="39"/>
      <c r="J135" s="18"/>
      <c r="L135" s="44">
        <f>Table134567810111213141516171819202122232425[[#This Row],[الدولار]]+(Table134567810111213141516171819202122232425[[#This Row],[اللبناني]]/90)</f>
        <v>0</v>
      </c>
      <c r="M135" s="6"/>
    </row>
    <row r="136" spans="9:13" s="11" customFormat="1" x14ac:dyDescent="0.3">
      <c r="I136" s="39"/>
      <c r="J136" s="18"/>
      <c r="L136" s="44">
        <f>Table134567810111213141516171819202122232425[[#This Row],[الدولار]]+(Table134567810111213141516171819202122232425[[#This Row],[اللبناني]]/90)</f>
        <v>0</v>
      </c>
      <c r="M136" s="6"/>
    </row>
    <row r="137" spans="9:13" s="11" customFormat="1" x14ac:dyDescent="0.3">
      <c r="I137" s="39"/>
      <c r="J137" s="18"/>
      <c r="L137" s="44">
        <f>Table134567810111213141516171819202122232425[[#This Row],[الدولار]]+(Table134567810111213141516171819202122232425[[#This Row],[اللبناني]]/90)</f>
        <v>0</v>
      </c>
      <c r="M137" s="6"/>
    </row>
    <row r="138" spans="9:13" s="11" customFormat="1" x14ac:dyDescent="0.3">
      <c r="I138" s="39"/>
      <c r="J138" s="18"/>
      <c r="L138" s="44">
        <f>Table134567810111213141516171819202122232425[[#This Row],[الدولار]]+(Table134567810111213141516171819202122232425[[#This Row],[اللبناني]]/90)</f>
        <v>0</v>
      </c>
      <c r="M138" s="6"/>
    </row>
    <row r="139" spans="9:13" s="11" customFormat="1" x14ac:dyDescent="0.3">
      <c r="I139" s="39"/>
      <c r="J139" s="18"/>
      <c r="L139" s="44">
        <f>Table134567810111213141516171819202122232425[[#This Row],[الدولار]]+(Table134567810111213141516171819202122232425[[#This Row],[اللبناني]]/90)</f>
        <v>0</v>
      </c>
      <c r="M139" s="6"/>
    </row>
    <row r="140" spans="9:13" s="11" customFormat="1" x14ac:dyDescent="0.3">
      <c r="I140" s="39"/>
      <c r="J140" s="18"/>
      <c r="L140" s="44">
        <f>Table134567810111213141516171819202122232425[[#This Row],[الدولار]]+(Table134567810111213141516171819202122232425[[#This Row],[اللبناني]]/90)</f>
        <v>0</v>
      </c>
      <c r="M140" s="6"/>
    </row>
    <row r="141" spans="9:13" s="11" customFormat="1" x14ac:dyDescent="0.3">
      <c r="I141" s="39"/>
      <c r="J141" s="18"/>
      <c r="L141" s="44">
        <f>Table134567810111213141516171819202122232425[[#This Row],[الدولار]]+(Table134567810111213141516171819202122232425[[#This Row],[اللبناني]]/90)</f>
        <v>0</v>
      </c>
      <c r="M141" s="6"/>
    </row>
    <row r="142" spans="9:13" s="11" customFormat="1" x14ac:dyDescent="0.3">
      <c r="I142" s="39"/>
      <c r="J142" s="18"/>
      <c r="L142" s="44">
        <f>Table134567810111213141516171819202122232425[[#This Row],[الدولار]]+(Table134567810111213141516171819202122232425[[#This Row],[اللبناني]]/90)</f>
        <v>0</v>
      </c>
      <c r="M142" s="6"/>
    </row>
    <row r="143" spans="9:13" s="11" customFormat="1" x14ac:dyDescent="0.3">
      <c r="I143" s="39"/>
      <c r="J143" s="18"/>
      <c r="L143" s="44">
        <f>Table134567810111213141516171819202122232425[[#This Row],[الدولار]]+(Table134567810111213141516171819202122232425[[#This Row],[اللبناني]]/90)</f>
        <v>0</v>
      </c>
      <c r="M143" s="6"/>
    </row>
    <row r="144" spans="9:13" s="11" customFormat="1" x14ac:dyDescent="0.3">
      <c r="I144" s="39"/>
      <c r="J144" s="18"/>
      <c r="L144" s="44">
        <f>Table134567810111213141516171819202122232425[[#This Row],[الدولار]]+(Table134567810111213141516171819202122232425[[#This Row],[اللبناني]]/90)</f>
        <v>0</v>
      </c>
      <c r="M144" s="6"/>
    </row>
    <row r="145" spans="9:13" s="11" customFormat="1" x14ac:dyDescent="0.3">
      <c r="I145" s="39"/>
      <c r="J145" s="18"/>
      <c r="L145" s="44">
        <f>Table134567810111213141516171819202122232425[[#This Row],[الدولار]]+(Table134567810111213141516171819202122232425[[#This Row],[اللبناني]]/90)</f>
        <v>0</v>
      </c>
      <c r="M145" s="6"/>
    </row>
    <row r="146" spans="9:13" s="11" customFormat="1" x14ac:dyDescent="0.3">
      <c r="I146" s="39"/>
      <c r="J146" s="18"/>
      <c r="L146" s="44">
        <f>Table134567810111213141516171819202122232425[[#This Row],[الدولار]]+(Table134567810111213141516171819202122232425[[#This Row],[اللبناني]]/90)</f>
        <v>0</v>
      </c>
      <c r="M146" s="6"/>
    </row>
    <row r="147" spans="9:13" s="11" customFormat="1" x14ac:dyDescent="0.3">
      <c r="I147" s="39"/>
      <c r="J147" s="18"/>
      <c r="L147" s="44">
        <f>Table134567810111213141516171819202122232425[[#This Row],[الدولار]]+(Table134567810111213141516171819202122232425[[#This Row],[اللبناني]]/90)</f>
        <v>0</v>
      </c>
      <c r="M147" s="6"/>
    </row>
    <row r="148" spans="9:13" s="11" customFormat="1" x14ac:dyDescent="0.3">
      <c r="I148" s="39"/>
      <c r="J148" s="18"/>
      <c r="L148" s="44">
        <f>Table134567810111213141516171819202122232425[[#This Row],[الدولار]]+(Table134567810111213141516171819202122232425[[#This Row],[اللبناني]]/90)</f>
        <v>0</v>
      </c>
      <c r="M148" s="6"/>
    </row>
    <row r="149" spans="9:13" s="11" customFormat="1" x14ac:dyDescent="0.3">
      <c r="I149" s="39"/>
      <c r="J149" s="18"/>
      <c r="L149" s="44">
        <f>Table134567810111213141516171819202122232425[[#This Row],[الدولار]]+(Table134567810111213141516171819202122232425[[#This Row],[اللبناني]]/90)</f>
        <v>0</v>
      </c>
      <c r="M149" s="6"/>
    </row>
    <row r="150" spans="9:13" s="11" customFormat="1" x14ac:dyDescent="0.3">
      <c r="I150" s="39"/>
      <c r="J150" s="18"/>
      <c r="L150" s="44">
        <f>Table134567810111213141516171819202122232425[[#This Row],[الدولار]]+(Table134567810111213141516171819202122232425[[#This Row],[اللبناني]]/90)</f>
        <v>0</v>
      </c>
      <c r="M150" s="6"/>
    </row>
    <row r="151" spans="9:13" s="11" customFormat="1" x14ac:dyDescent="0.3">
      <c r="I151" s="39"/>
      <c r="J151" s="18"/>
      <c r="L151" s="44">
        <f>Table134567810111213141516171819202122232425[[#This Row],[الدولار]]+(Table134567810111213141516171819202122232425[[#This Row],[اللبناني]]/90)</f>
        <v>0</v>
      </c>
      <c r="M151" s="6"/>
    </row>
    <row r="152" spans="9:13" s="11" customFormat="1" x14ac:dyDescent="0.3">
      <c r="I152" s="39"/>
      <c r="J152" s="18"/>
      <c r="L152" s="44">
        <f>Table134567810111213141516171819202122232425[[#This Row],[الدولار]]+(Table134567810111213141516171819202122232425[[#This Row],[اللبناني]]/90)</f>
        <v>0</v>
      </c>
      <c r="M152" s="6"/>
    </row>
    <row r="153" spans="9:13" s="11" customFormat="1" x14ac:dyDescent="0.3">
      <c r="I153" s="39"/>
      <c r="J153" s="18"/>
      <c r="L153" s="44">
        <f>Table134567810111213141516171819202122232425[[#This Row],[الدولار]]+(Table134567810111213141516171819202122232425[[#This Row],[اللبناني]]/90)</f>
        <v>0</v>
      </c>
      <c r="M153" s="6"/>
    </row>
    <row r="154" spans="9:13" s="11" customFormat="1" x14ac:dyDescent="0.3">
      <c r="I154" s="39"/>
      <c r="J154" s="18"/>
      <c r="L154" s="44">
        <f>Table134567810111213141516171819202122232425[[#This Row],[الدولار]]+(Table134567810111213141516171819202122232425[[#This Row],[اللبناني]]/90)</f>
        <v>0</v>
      </c>
      <c r="M154" s="6"/>
    </row>
    <row r="155" spans="9:13" s="11" customFormat="1" x14ac:dyDescent="0.3">
      <c r="I155" s="39"/>
      <c r="J155" s="18"/>
      <c r="L155" s="44">
        <f>Table134567810111213141516171819202122232425[[#This Row],[الدولار]]+(Table134567810111213141516171819202122232425[[#This Row],[اللبناني]]/90)</f>
        <v>0</v>
      </c>
      <c r="M155" s="6"/>
    </row>
    <row r="156" spans="9:13" s="11" customFormat="1" x14ac:dyDescent="0.3">
      <c r="I156" s="39"/>
      <c r="J156" s="18"/>
      <c r="L156" s="44">
        <f>Table134567810111213141516171819202122232425[[#This Row],[الدولار]]+(Table134567810111213141516171819202122232425[[#This Row],[اللبناني]]/90)</f>
        <v>0</v>
      </c>
      <c r="M156" s="6"/>
    </row>
    <row r="157" spans="9:13" s="11" customFormat="1" x14ac:dyDescent="0.3">
      <c r="I157" s="39"/>
      <c r="J157" s="18"/>
      <c r="L157" s="44">
        <f>Table134567810111213141516171819202122232425[[#This Row],[الدولار]]+(Table134567810111213141516171819202122232425[[#This Row],[اللبناني]]/90)</f>
        <v>0</v>
      </c>
      <c r="M157" s="6"/>
    </row>
    <row r="158" spans="9:13" s="11" customFormat="1" x14ac:dyDescent="0.3">
      <c r="I158" s="39"/>
      <c r="J158" s="18"/>
      <c r="L158" s="44">
        <f>Table134567810111213141516171819202122232425[[#This Row],[الدولار]]+(Table134567810111213141516171819202122232425[[#This Row],[اللبناني]]/90)</f>
        <v>0</v>
      </c>
      <c r="M158" s="6"/>
    </row>
    <row r="159" spans="9:13" s="11" customFormat="1" x14ac:dyDescent="0.3">
      <c r="I159" s="39"/>
      <c r="J159" s="18"/>
      <c r="L159" s="44">
        <f>Table134567810111213141516171819202122232425[[#This Row],[الدولار]]+(Table134567810111213141516171819202122232425[[#This Row],[اللبناني]]/90)</f>
        <v>0</v>
      </c>
      <c r="M159" s="6"/>
    </row>
    <row r="160" spans="9:13" s="11" customFormat="1" x14ac:dyDescent="0.3">
      <c r="I160" s="39"/>
      <c r="J160" s="18"/>
      <c r="L160" s="44">
        <f>Table134567810111213141516171819202122232425[[#This Row],[الدولار]]+(Table134567810111213141516171819202122232425[[#This Row],[اللبناني]]/90)</f>
        <v>0</v>
      </c>
      <c r="M160" s="6"/>
    </row>
    <row r="161" spans="9:13" s="11" customFormat="1" x14ac:dyDescent="0.3">
      <c r="I161" s="39"/>
      <c r="J161" s="18"/>
      <c r="L161" s="44">
        <f>Table134567810111213141516171819202122232425[[#This Row],[الدولار]]+(Table134567810111213141516171819202122232425[[#This Row],[اللبناني]]/90)</f>
        <v>0</v>
      </c>
      <c r="M161" s="6"/>
    </row>
    <row r="162" spans="9:13" s="11" customFormat="1" x14ac:dyDescent="0.3">
      <c r="I162" s="39"/>
      <c r="J162" s="18"/>
      <c r="L162" s="44">
        <f>Table134567810111213141516171819202122232425[[#This Row],[الدولار]]+(Table134567810111213141516171819202122232425[[#This Row],[اللبناني]]/90)</f>
        <v>0</v>
      </c>
      <c r="M162" s="6"/>
    </row>
    <row r="163" spans="9:13" s="11" customFormat="1" x14ac:dyDescent="0.3">
      <c r="I163" s="39"/>
      <c r="J163" s="18"/>
      <c r="L163" s="44">
        <f>Table134567810111213141516171819202122232425[[#This Row],[الدولار]]+(Table134567810111213141516171819202122232425[[#This Row],[اللبناني]]/90)</f>
        <v>0</v>
      </c>
      <c r="M163" s="6"/>
    </row>
    <row r="164" spans="9:13" s="11" customFormat="1" x14ac:dyDescent="0.3">
      <c r="I164" s="39"/>
      <c r="J164" s="18"/>
      <c r="L164" s="44">
        <f>Table134567810111213141516171819202122232425[[#This Row],[الدولار]]+(Table134567810111213141516171819202122232425[[#This Row],[اللبناني]]/90)</f>
        <v>0</v>
      </c>
      <c r="M164" s="6"/>
    </row>
    <row r="165" spans="9:13" s="11" customFormat="1" x14ac:dyDescent="0.3">
      <c r="I165" s="39"/>
      <c r="J165" s="18"/>
      <c r="L165" s="44">
        <f>Table134567810111213141516171819202122232425[[#This Row],[الدولار]]+(Table134567810111213141516171819202122232425[[#This Row],[اللبناني]]/90)</f>
        <v>0</v>
      </c>
      <c r="M165" s="6"/>
    </row>
    <row r="166" spans="9:13" s="11" customFormat="1" x14ac:dyDescent="0.3">
      <c r="I166" s="39"/>
      <c r="J166" s="18"/>
      <c r="L166" s="44">
        <f>Table134567810111213141516171819202122232425[[#This Row],[الدولار]]+(Table134567810111213141516171819202122232425[[#This Row],[اللبناني]]/90)</f>
        <v>0</v>
      </c>
      <c r="M166" s="6"/>
    </row>
    <row r="167" spans="9:13" s="11" customFormat="1" x14ac:dyDescent="0.3">
      <c r="I167" s="39"/>
      <c r="J167" s="18"/>
      <c r="L167" s="44">
        <f>Table134567810111213141516171819202122232425[[#This Row],[الدولار]]+(Table134567810111213141516171819202122232425[[#This Row],[اللبناني]]/90)</f>
        <v>0</v>
      </c>
      <c r="M167" s="6"/>
    </row>
    <row r="168" spans="9:13" s="11" customFormat="1" x14ac:dyDescent="0.3">
      <c r="I168" s="39"/>
      <c r="J168" s="18"/>
      <c r="L168" s="44">
        <f>Table134567810111213141516171819202122232425[[#This Row],[الدولار]]+(Table134567810111213141516171819202122232425[[#This Row],[اللبناني]]/90)</f>
        <v>0</v>
      </c>
      <c r="M168" s="6"/>
    </row>
    <row r="169" spans="9:13" s="11" customFormat="1" x14ac:dyDescent="0.3">
      <c r="I169" s="39"/>
      <c r="J169" s="18"/>
      <c r="L169" s="44">
        <f>Table134567810111213141516171819202122232425[[#This Row],[الدولار]]+(Table134567810111213141516171819202122232425[[#This Row],[اللبناني]]/90)</f>
        <v>0</v>
      </c>
      <c r="M169" s="6"/>
    </row>
    <row r="170" spans="9:13" s="11" customFormat="1" x14ac:dyDescent="0.3">
      <c r="I170" s="39"/>
      <c r="J170" s="18"/>
      <c r="L170" s="44">
        <f>Table134567810111213141516171819202122232425[[#This Row],[الدولار]]+(Table134567810111213141516171819202122232425[[#This Row],[اللبناني]]/90)</f>
        <v>0</v>
      </c>
      <c r="M170" s="6"/>
    </row>
    <row r="171" spans="9:13" s="11" customFormat="1" x14ac:dyDescent="0.3">
      <c r="I171" s="39"/>
      <c r="J171" s="18"/>
      <c r="L171" s="44">
        <f>Table134567810111213141516171819202122232425[[#This Row],[الدولار]]+(Table134567810111213141516171819202122232425[[#This Row],[اللبناني]]/90)</f>
        <v>0</v>
      </c>
      <c r="M171" s="6"/>
    </row>
    <row r="172" spans="9:13" s="11" customFormat="1" x14ac:dyDescent="0.3">
      <c r="I172" s="39"/>
      <c r="J172" s="18"/>
      <c r="L172" s="44">
        <f>Table134567810111213141516171819202122232425[[#This Row],[الدولار]]+(Table134567810111213141516171819202122232425[[#This Row],[اللبناني]]/90)</f>
        <v>0</v>
      </c>
      <c r="M172" s="6"/>
    </row>
    <row r="173" spans="9:13" s="11" customFormat="1" x14ac:dyDescent="0.3">
      <c r="I173" s="39"/>
      <c r="J173" s="18"/>
      <c r="L173" s="44">
        <f>Table134567810111213141516171819202122232425[[#This Row],[الدولار]]+(Table134567810111213141516171819202122232425[[#This Row],[اللبناني]]/90)</f>
        <v>0</v>
      </c>
      <c r="M173" s="6"/>
    </row>
    <row r="174" spans="9:13" s="11" customFormat="1" x14ac:dyDescent="0.3">
      <c r="I174" s="39"/>
      <c r="J174" s="18"/>
      <c r="L174" s="44">
        <f>Table134567810111213141516171819202122232425[[#This Row],[الدولار]]+(Table134567810111213141516171819202122232425[[#This Row],[اللبناني]]/90)</f>
        <v>0</v>
      </c>
      <c r="M174" s="6"/>
    </row>
    <row r="175" spans="9:13" s="11" customFormat="1" x14ac:dyDescent="0.3">
      <c r="I175" s="39"/>
      <c r="J175" s="18"/>
      <c r="L175" s="44">
        <f>Table134567810111213141516171819202122232425[[#This Row],[الدولار]]+(Table134567810111213141516171819202122232425[[#This Row],[اللبناني]]/90)</f>
        <v>0</v>
      </c>
      <c r="M175" s="6"/>
    </row>
    <row r="176" spans="9:13" s="11" customFormat="1" x14ac:dyDescent="0.3">
      <c r="I176" s="39"/>
      <c r="J176" s="18"/>
      <c r="L176" s="44">
        <f>Table134567810111213141516171819202122232425[[#This Row],[الدولار]]+(Table134567810111213141516171819202122232425[[#This Row],[اللبناني]]/90)</f>
        <v>0</v>
      </c>
      <c r="M176" s="6"/>
    </row>
    <row r="177" spans="9:13" s="11" customFormat="1" x14ac:dyDescent="0.3">
      <c r="I177" s="39"/>
      <c r="J177" s="18"/>
      <c r="L177" s="44">
        <f>Table134567810111213141516171819202122232425[[#This Row],[الدولار]]+(Table134567810111213141516171819202122232425[[#This Row],[اللبناني]]/90)</f>
        <v>0</v>
      </c>
      <c r="M177" s="6"/>
    </row>
    <row r="178" spans="9:13" s="11" customFormat="1" x14ac:dyDescent="0.3">
      <c r="I178" s="39"/>
      <c r="J178" s="18"/>
      <c r="L178" s="44">
        <f>Table134567810111213141516171819202122232425[[#This Row],[الدولار]]+(Table134567810111213141516171819202122232425[[#This Row],[اللبناني]]/90)</f>
        <v>0</v>
      </c>
      <c r="M178" s="6"/>
    </row>
    <row r="179" spans="9:13" s="11" customFormat="1" x14ac:dyDescent="0.3">
      <c r="I179" s="39"/>
      <c r="J179" s="18"/>
      <c r="L179" s="44">
        <f>Table134567810111213141516171819202122232425[[#This Row],[الدولار]]+(Table134567810111213141516171819202122232425[[#This Row],[اللبناني]]/90)</f>
        <v>0</v>
      </c>
      <c r="M179" s="6"/>
    </row>
    <row r="180" spans="9:13" s="11" customFormat="1" x14ac:dyDescent="0.3">
      <c r="I180" s="39"/>
      <c r="J180" s="18"/>
      <c r="L180" s="44">
        <f>Table134567810111213141516171819202122232425[[#This Row],[الدولار]]+(Table134567810111213141516171819202122232425[[#This Row],[اللبناني]]/90)</f>
        <v>0</v>
      </c>
      <c r="M180" s="6"/>
    </row>
    <row r="181" spans="9:13" s="11" customFormat="1" x14ac:dyDescent="0.3">
      <c r="I181" s="39"/>
      <c r="J181" s="18"/>
      <c r="L181" s="44">
        <f>Table134567810111213141516171819202122232425[[#This Row],[الدولار]]+(Table134567810111213141516171819202122232425[[#This Row],[اللبناني]]/90)</f>
        <v>0</v>
      </c>
      <c r="M181" s="6"/>
    </row>
    <row r="182" spans="9:13" s="11" customFormat="1" x14ac:dyDescent="0.3">
      <c r="I182" s="39"/>
      <c r="J182" s="18"/>
      <c r="L182" s="44">
        <f>Table134567810111213141516171819202122232425[[#This Row],[الدولار]]+(Table134567810111213141516171819202122232425[[#This Row],[اللبناني]]/90)</f>
        <v>0</v>
      </c>
      <c r="M182" s="6"/>
    </row>
    <row r="183" spans="9:13" s="11" customFormat="1" x14ac:dyDescent="0.3">
      <c r="I183" s="39"/>
      <c r="J183" s="18"/>
      <c r="L183" s="44">
        <f>Table134567810111213141516171819202122232425[[#This Row],[الدولار]]+(Table134567810111213141516171819202122232425[[#This Row],[اللبناني]]/90)</f>
        <v>0</v>
      </c>
      <c r="M183" s="6"/>
    </row>
    <row r="184" spans="9:13" s="11" customFormat="1" x14ac:dyDescent="0.3">
      <c r="I184" s="39"/>
      <c r="J184" s="18"/>
      <c r="L184" s="44">
        <f>Table134567810111213141516171819202122232425[[#This Row],[الدولار]]+(Table134567810111213141516171819202122232425[[#This Row],[اللبناني]]/90)</f>
        <v>0</v>
      </c>
      <c r="M184" s="6"/>
    </row>
    <row r="185" spans="9:13" s="11" customFormat="1" x14ac:dyDescent="0.3">
      <c r="I185" s="39"/>
      <c r="J185" s="18"/>
      <c r="L185" s="44">
        <f>Table134567810111213141516171819202122232425[[#This Row],[الدولار]]+(Table134567810111213141516171819202122232425[[#This Row],[اللبناني]]/90)</f>
        <v>0</v>
      </c>
      <c r="M185" s="6"/>
    </row>
    <row r="186" spans="9:13" s="11" customFormat="1" x14ac:dyDescent="0.3">
      <c r="I186" s="39"/>
      <c r="J186" s="18"/>
      <c r="L186" s="44">
        <f>Table134567810111213141516171819202122232425[[#This Row],[الدولار]]+(Table134567810111213141516171819202122232425[[#This Row],[اللبناني]]/90)</f>
        <v>0</v>
      </c>
      <c r="M186" s="6"/>
    </row>
    <row r="187" spans="9:13" s="11" customFormat="1" x14ac:dyDescent="0.3">
      <c r="I187" s="39"/>
      <c r="J187" s="18"/>
      <c r="L187" s="44">
        <f>Table134567810111213141516171819202122232425[[#This Row],[الدولار]]+(Table134567810111213141516171819202122232425[[#This Row],[اللبناني]]/90)</f>
        <v>0</v>
      </c>
      <c r="M187" s="6"/>
    </row>
    <row r="188" spans="9:13" s="11" customFormat="1" x14ac:dyDescent="0.3">
      <c r="I188" s="39"/>
      <c r="J188" s="18"/>
      <c r="L188" s="44">
        <f>Table134567810111213141516171819202122232425[[#This Row],[الدولار]]+(Table134567810111213141516171819202122232425[[#This Row],[اللبناني]]/90)</f>
        <v>0</v>
      </c>
      <c r="M188" s="6"/>
    </row>
    <row r="189" spans="9:13" s="11" customFormat="1" x14ac:dyDescent="0.3">
      <c r="I189" s="39"/>
      <c r="J189" s="18"/>
      <c r="L189" s="44">
        <f>Table134567810111213141516171819202122232425[[#This Row],[الدولار]]+(Table134567810111213141516171819202122232425[[#This Row],[اللبناني]]/90)</f>
        <v>0</v>
      </c>
      <c r="M189" s="6"/>
    </row>
    <row r="190" spans="9:13" s="11" customFormat="1" x14ac:dyDescent="0.3">
      <c r="I190" s="39"/>
      <c r="J190" s="18"/>
      <c r="L190" s="44">
        <f>Table134567810111213141516171819202122232425[[#This Row],[الدولار]]+(Table134567810111213141516171819202122232425[[#This Row],[اللبناني]]/90)</f>
        <v>0</v>
      </c>
      <c r="M190" s="6"/>
    </row>
    <row r="191" spans="9:13" s="11" customFormat="1" x14ac:dyDescent="0.3">
      <c r="I191" s="39"/>
      <c r="J191" s="18"/>
      <c r="L191" s="44">
        <f>Table134567810111213141516171819202122232425[[#This Row],[الدولار]]+(Table134567810111213141516171819202122232425[[#This Row],[اللبناني]]/90)</f>
        <v>0</v>
      </c>
      <c r="M191" s="6"/>
    </row>
    <row r="192" spans="9:13" s="11" customFormat="1" x14ac:dyDescent="0.3">
      <c r="I192" s="39"/>
      <c r="J192" s="18"/>
      <c r="L192" s="44">
        <f>Table134567810111213141516171819202122232425[[#This Row],[الدولار]]+(Table134567810111213141516171819202122232425[[#This Row],[اللبناني]]/90)</f>
        <v>0</v>
      </c>
      <c r="M192" s="6"/>
    </row>
    <row r="193" spans="9:13" s="11" customFormat="1" x14ac:dyDescent="0.3">
      <c r="I193" s="39"/>
      <c r="J193" s="18"/>
      <c r="L193" s="44">
        <f>Table134567810111213141516171819202122232425[[#This Row],[الدولار]]+(Table134567810111213141516171819202122232425[[#This Row],[اللبناني]]/90)</f>
        <v>0</v>
      </c>
      <c r="M193" s="6"/>
    </row>
    <row r="194" spans="9:13" s="11" customFormat="1" x14ac:dyDescent="0.3">
      <c r="I194" s="39"/>
      <c r="J194" s="18"/>
      <c r="L194" s="44">
        <f>Table134567810111213141516171819202122232425[[#This Row],[الدولار]]+(Table134567810111213141516171819202122232425[[#This Row],[اللبناني]]/90)</f>
        <v>0</v>
      </c>
      <c r="M194" s="6"/>
    </row>
    <row r="195" spans="9:13" s="11" customFormat="1" x14ac:dyDescent="0.3">
      <c r="I195" s="39"/>
      <c r="J195" s="18"/>
      <c r="L195" s="44">
        <f>Table134567810111213141516171819202122232425[[#This Row],[الدولار]]+(Table134567810111213141516171819202122232425[[#This Row],[اللبناني]]/90)</f>
        <v>0</v>
      </c>
      <c r="M195" s="6"/>
    </row>
    <row r="196" spans="9:13" s="11" customFormat="1" x14ac:dyDescent="0.3">
      <c r="I196" s="39"/>
      <c r="J196" s="18"/>
      <c r="L196" s="44">
        <f>Table134567810111213141516171819202122232425[[#This Row],[الدولار]]+(Table134567810111213141516171819202122232425[[#This Row],[اللبناني]]/90)</f>
        <v>0</v>
      </c>
      <c r="M196" s="6"/>
    </row>
    <row r="197" spans="9:13" s="11" customFormat="1" x14ac:dyDescent="0.3">
      <c r="I197" s="39"/>
      <c r="J197" s="18"/>
      <c r="L197" s="44">
        <f>Table134567810111213141516171819202122232425[[#This Row],[الدولار]]+(Table134567810111213141516171819202122232425[[#This Row],[اللبناني]]/90)</f>
        <v>0</v>
      </c>
      <c r="M197" s="6"/>
    </row>
    <row r="198" spans="9:13" s="11" customFormat="1" x14ac:dyDescent="0.3">
      <c r="I198" s="39"/>
      <c r="J198" s="18"/>
      <c r="L198" s="44">
        <f>Table134567810111213141516171819202122232425[[#This Row],[الدولار]]+(Table134567810111213141516171819202122232425[[#This Row],[اللبناني]]/90)</f>
        <v>0</v>
      </c>
      <c r="M198" s="6"/>
    </row>
    <row r="199" spans="9:13" s="11" customFormat="1" x14ac:dyDescent="0.3">
      <c r="I199" s="39"/>
      <c r="J199" s="18"/>
      <c r="L199" s="44">
        <f>Table134567810111213141516171819202122232425[[#This Row],[الدولار]]+(Table134567810111213141516171819202122232425[[#This Row],[اللبناني]]/90)</f>
        <v>0</v>
      </c>
      <c r="M199" s="6"/>
    </row>
    <row r="200" spans="9:13" s="11" customFormat="1" x14ac:dyDescent="0.3">
      <c r="I200" s="39"/>
      <c r="J200" s="18"/>
      <c r="L200" s="44">
        <f>Table134567810111213141516171819202122232425[[#This Row],[الدولار]]+(Table134567810111213141516171819202122232425[[#This Row],[اللبناني]]/90)</f>
        <v>0</v>
      </c>
      <c r="M200" s="6"/>
    </row>
    <row r="201" spans="9:13" s="11" customFormat="1" x14ac:dyDescent="0.3">
      <c r="I201" s="39"/>
      <c r="J201" s="18"/>
      <c r="L201" s="44">
        <f>Table134567810111213141516171819202122232425[[#This Row],[الدولار]]+(Table134567810111213141516171819202122232425[[#This Row],[اللبناني]]/90)</f>
        <v>0</v>
      </c>
      <c r="M201" s="6"/>
    </row>
    <row r="202" spans="9:13" s="11" customFormat="1" x14ac:dyDescent="0.3">
      <c r="I202" s="39"/>
      <c r="J202" s="18"/>
      <c r="L202" s="44">
        <f>Table134567810111213141516171819202122232425[[#This Row],[الدولار]]+(Table134567810111213141516171819202122232425[[#This Row],[اللبناني]]/90)</f>
        <v>0</v>
      </c>
      <c r="M202" s="6"/>
    </row>
    <row r="203" spans="9:13" s="11" customFormat="1" x14ac:dyDescent="0.3">
      <c r="I203" s="39"/>
      <c r="J203" s="18"/>
      <c r="L203" s="44">
        <f>Table134567810111213141516171819202122232425[[#This Row],[الدولار]]+(Table134567810111213141516171819202122232425[[#This Row],[اللبناني]]/90)</f>
        <v>0</v>
      </c>
      <c r="M203" s="6"/>
    </row>
    <row r="204" spans="9:13" s="11" customFormat="1" x14ac:dyDescent="0.3">
      <c r="I204" s="39"/>
      <c r="J204" s="18"/>
      <c r="L204" s="44">
        <f>Table134567810111213141516171819202122232425[[#This Row],[الدولار]]+(Table134567810111213141516171819202122232425[[#This Row],[اللبناني]]/90)</f>
        <v>0</v>
      </c>
      <c r="M204" s="6"/>
    </row>
    <row r="205" spans="9:13" s="11" customFormat="1" x14ac:dyDescent="0.3">
      <c r="I205" s="39"/>
      <c r="J205" s="18"/>
      <c r="L205" s="44">
        <f>Table134567810111213141516171819202122232425[[#This Row],[الدولار]]+(Table134567810111213141516171819202122232425[[#This Row],[اللبناني]]/90)</f>
        <v>0</v>
      </c>
      <c r="M205" s="6"/>
    </row>
    <row r="206" spans="9:13" s="11" customFormat="1" x14ac:dyDescent="0.3">
      <c r="I206" s="39"/>
      <c r="J206" s="18"/>
      <c r="L206" s="44">
        <f>Table134567810111213141516171819202122232425[[#This Row],[الدولار]]+(Table134567810111213141516171819202122232425[[#This Row],[اللبناني]]/90)</f>
        <v>0</v>
      </c>
      <c r="M206" s="6"/>
    </row>
    <row r="207" spans="9:13" s="11" customFormat="1" x14ac:dyDescent="0.3">
      <c r="I207" s="39"/>
      <c r="J207" s="18"/>
      <c r="L207" s="44">
        <f>Table134567810111213141516171819202122232425[[#This Row],[الدولار]]+(Table134567810111213141516171819202122232425[[#This Row],[اللبناني]]/90)</f>
        <v>0</v>
      </c>
      <c r="M207" s="6"/>
    </row>
    <row r="208" spans="9:13" s="11" customFormat="1" x14ac:dyDescent="0.3">
      <c r="I208" s="39"/>
      <c r="J208" s="18"/>
      <c r="L208" s="44">
        <f>Table134567810111213141516171819202122232425[[#This Row],[الدولار]]+(Table134567810111213141516171819202122232425[[#This Row],[اللبناني]]/90)</f>
        <v>0</v>
      </c>
      <c r="M208" s="6"/>
    </row>
    <row r="209" spans="9:13" s="11" customFormat="1" x14ac:dyDescent="0.3">
      <c r="I209" s="39"/>
      <c r="J209" s="18"/>
      <c r="L209" s="44">
        <f>Table134567810111213141516171819202122232425[[#This Row],[الدولار]]+(Table134567810111213141516171819202122232425[[#This Row],[اللبناني]]/90)</f>
        <v>0</v>
      </c>
      <c r="M209" s="6"/>
    </row>
    <row r="210" spans="9:13" s="11" customFormat="1" x14ac:dyDescent="0.3">
      <c r="I210" s="39"/>
      <c r="J210" s="18"/>
      <c r="L210" s="44">
        <f>Table134567810111213141516171819202122232425[[#This Row],[الدولار]]+(Table134567810111213141516171819202122232425[[#This Row],[اللبناني]]/90)</f>
        <v>0</v>
      </c>
      <c r="M210" s="6"/>
    </row>
    <row r="211" spans="9:13" s="11" customFormat="1" x14ac:dyDescent="0.3">
      <c r="I211" s="39"/>
      <c r="J211" s="18"/>
      <c r="L211" s="44">
        <f>Table134567810111213141516171819202122232425[[#This Row],[الدولار]]+(Table134567810111213141516171819202122232425[[#This Row],[اللبناني]]/90)</f>
        <v>0</v>
      </c>
      <c r="M211" s="6"/>
    </row>
    <row r="212" spans="9:13" s="11" customFormat="1" x14ac:dyDescent="0.3">
      <c r="I212" s="39"/>
      <c r="J212" s="18"/>
      <c r="L212" s="44">
        <f>Table134567810111213141516171819202122232425[[#This Row],[الدولار]]+(Table134567810111213141516171819202122232425[[#This Row],[اللبناني]]/90)</f>
        <v>0</v>
      </c>
      <c r="M212" s="6"/>
    </row>
    <row r="213" spans="9:13" s="11" customFormat="1" x14ac:dyDescent="0.3">
      <c r="I213" s="39"/>
      <c r="J213" s="18"/>
      <c r="L213" s="44">
        <f>Table134567810111213141516171819202122232425[[#This Row],[الدولار]]+(Table134567810111213141516171819202122232425[[#This Row],[اللبناني]]/90)</f>
        <v>0</v>
      </c>
      <c r="M213" s="6"/>
    </row>
    <row r="214" spans="9:13" s="11" customFormat="1" x14ac:dyDescent="0.3">
      <c r="I214" s="39"/>
      <c r="J214" s="18"/>
      <c r="L214" s="44">
        <f>Table134567810111213141516171819202122232425[[#This Row],[الدولار]]+(Table134567810111213141516171819202122232425[[#This Row],[اللبناني]]/90)</f>
        <v>0</v>
      </c>
      <c r="M214" s="6"/>
    </row>
    <row r="215" spans="9:13" s="11" customFormat="1" x14ac:dyDescent="0.3">
      <c r="I215" s="39"/>
      <c r="J215" s="18"/>
      <c r="L215" s="44">
        <f>Table134567810111213141516171819202122232425[[#This Row],[الدولار]]+(Table134567810111213141516171819202122232425[[#This Row],[اللبناني]]/90)</f>
        <v>0</v>
      </c>
      <c r="M215" s="6"/>
    </row>
    <row r="216" spans="9:13" s="11" customFormat="1" x14ac:dyDescent="0.3">
      <c r="I216" s="39"/>
      <c r="J216" s="18"/>
      <c r="L216" s="44">
        <f>Table134567810111213141516171819202122232425[[#This Row],[الدولار]]+(Table134567810111213141516171819202122232425[[#This Row],[اللبناني]]/90)</f>
        <v>0</v>
      </c>
      <c r="M216" s="6"/>
    </row>
    <row r="217" spans="9:13" s="11" customFormat="1" x14ac:dyDescent="0.3">
      <c r="I217" s="39"/>
      <c r="J217" s="18"/>
      <c r="L217" s="44">
        <f>Table134567810111213141516171819202122232425[[#This Row],[الدولار]]+(Table134567810111213141516171819202122232425[[#This Row],[اللبناني]]/90)</f>
        <v>0</v>
      </c>
      <c r="M217" s="6"/>
    </row>
    <row r="218" spans="9:13" s="11" customFormat="1" x14ac:dyDescent="0.3">
      <c r="I218" s="39"/>
      <c r="J218" s="18"/>
      <c r="L218" s="44">
        <f>Table134567810111213141516171819202122232425[[#This Row],[الدولار]]+(Table134567810111213141516171819202122232425[[#This Row],[اللبناني]]/90)</f>
        <v>0</v>
      </c>
      <c r="M218" s="6"/>
    </row>
    <row r="219" spans="9:13" s="11" customFormat="1" x14ac:dyDescent="0.3">
      <c r="I219" s="39"/>
      <c r="J219" s="18"/>
      <c r="L219" s="44">
        <f>Table134567810111213141516171819202122232425[[#This Row],[الدولار]]+(Table134567810111213141516171819202122232425[[#This Row],[اللبناني]]/90)</f>
        <v>0</v>
      </c>
      <c r="M219" s="6"/>
    </row>
    <row r="220" spans="9:13" s="11" customFormat="1" x14ac:dyDescent="0.3">
      <c r="I220" s="39"/>
      <c r="J220" s="18"/>
      <c r="L220" s="44">
        <f>Table134567810111213141516171819202122232425[[#This Row],[الدولار]]+(Table134567810111213141516171819202122232425[[#This Row],[اللبناني]]/90)</f>
        <v>0</v>
      </c>
      <c r="M220" s="6"/>
    </row>
    <row r="221" spans="9:13" s="11" customFormat="1" x14ac:dyDescent="0.3">
      <c r="I221" s="39"/>
      <c r="J221" s="18"/>
      <c r="L221" s="44">
        <f>Table134567810111213141516171819202122232425[[#This Row],[الدولار]]+(Table134567810111213141516171819202122232425[[#This Row],[اللبناني]]/90)</f>
        <v>0</v>
      </c>
      <c r="M221" s="6"/>
    </row>
    <row r="222" spans="9:13" s="11" customFormat="1" x14ac:dyDescent="0.3">
      <c r="I222" s="39"/>
      <c r="J222" s="18"/>
      <c r="L222" s="44">
        <f>Table134567810111213141516171819202122232425[[#This Row],[الدولار]]+(Table134567810111213141516171819202122232425[[#This Row],[اللبناني]]/90)</f>
        <v>0</v>
      </c>
      <c r="M222" s="6"/>
    </row>
    <row r="223" spans="9:13" s="11" customFormat="1" x14ac:dyDescent="0.3">
      <c r="I223" s="39"/>
      <c r="J223" s="18"/>
      <c r="L223" s="44">
        <f>Table134567810111213141516171819202122232425[[#This Row],[الدولار]]+(Table134567810111213141516171819202122232425[[#This Row],[اللبناني]]/90)</f>
        <v>0</v>
      </c>
      <c r="M223" s="6"/>
    </row>
    <row r="224" spans="9:13" s="11" customFormat="1" x14ac:dyDescent="0.3">
      <c r="I224" s="39"/>
      <c r="J224" s="18"/>
      <c r="L224" s="44">
        <f>Table134567810111213141516171819202122232425[[#This Row],[الدولار]]+(Table134567810111213141516171819202122232425[[#This Row],[اللبناني]]/90)</f>
        <v>0</v>
      </c>
      <c r="M224" s="6"/>
    </row>
    <row r="225" spans="9:13" s="11" customFormat="1" x14ac:dyDescent="0.3">
      <c r="I225" s="39"/>
      <c r="J225" s="18"/>
      <c r="L225" s="44">
        <f>Table134567810111213141516171819202122232425[[#This Row],[الدولار]]+(Table134567810111213141516171819202122232425[[#This Row],[اللبناني]]/90)</f>
        <v>0</v>
      </c>
      <c r="M225" s="6"/>
    </row>
    <row r="226" spans="9:13" s="11" customFormat="1" x14ac:dyDescent="0.3">
      <c r="I226" s="39"/>
      <c r="J226" s="18"/>
      <c r="L226" s="44">
        <f>Table134567810111213141516171819202122232425[[#This Row],[الدولار]]+(Table134567810111213141516171819202122232425[[#This Row],[اللبناني]]/90)</f>
        <v>0</v>
      </c>
      <c r="M226" s="6"/>
    </row>
    <row r="227" spans="9:13" s="11" customFormat="1" x14ac:dyDescent="0.3">
      <c r="I227" s="39"/>
      <c r="J227" s="18"/>
      <c r="L227" s="44">
        <f>Table134567810111213141516171819202122232425[[#This Row],[الدولار]]+(Table134567810111213141516171819202122232425[[#This Row],[اللبناني]]/90)</f>
        <v>0</v>
      </c>
      <c r="M227" s="6"/>
    </row>
    <row r="228" spans="9:13" s="11" customFormat="1" x14ac:dyDescent="0.3">
      <c r="I228" s="39"/>
      <c r="J228" s="18"/>
      <c r="L228" s="44">
        <f>Table134567810111213141516171819202122232425[[#This Row],[الدولار]]+(Table134567810111213141516171819202122232425[[#This Row],[اللبناني]]/90)</f>
        <v>0</v>
      </c>
      <c r="M228" s="6"/>
    </row>
    <row r="229" spans="9:13" s="11" customFormat="1" x14ac:dyDescent="0.3">
      <c r="I229" s="39"/>
      <c r="J229" s="18"/>
      <c r="L229" s="44">
        <f>Table134567810111213141516171819202122232425[[#This Row],[الدولار]]+(Table134567810111213141516171819202122232425[[#This Row],[اللبناني]]/90)</f>
        <v>0</v>
      </c>
      <c r="M229" s="6"/>
    </row>
    <row r="230" spans="9:13" s="11" customFormat="1" x14ac:dyDescent="0.3">
      <c r="I230" s="39"/>
      <c r="J230" s="18"/>
      <c r="L230" s="44">
        <f>Table134567810111213141516171819202122232425[[#This Row],[الدولار]]+(Table134567810111213141516171819202122232425[[#This Row],[اللبناني]]/90)</f>
        <v>0</v>
      </c>
      <c r="M230" s="6"/>
    </row>
    <row r="231" spans="9:13" s="11" customFormat="1" x14ac:dyDescent="0.3">
      <c r="I231" s="39"/>
      <c r="J231" s="18"/>
      <c r="L231" s="44">
        <f>Table134567810111213141516171819202122232425[[#This Row],[الدولار]]+(Table134567810111213141516171819202122232425[[#This Row],[اللبناني]]/90)</f>
        <v>0</v>
      </c>
      <c r="M231" s="6"/>
    </row>
    <row r="232" spans="9:13" s="11" customFormat="1" x14ac:dyDescent="0.3">
      <c r="I232" s="39"/>
      <c r="J232" s="18"/>
      <c r="L232" s="44">
        <f>Table134567810111213141516171819202122232425[[#This Row],[الدولار]]+(Table134567810111213141516171819202122232425[[#This Row],[اللبناني]]/90)</f>
        <v>0</v>
      </c>
      <c r="M232" s="6"/>
    </row>
    <row r="233" spans="9:13" s="11" customFormat="1" x14ac:dyDescent="0.3">
      <c r="I233" s="39"/>
      <c r="J233" s="18"/>
      <c r="L233" s="44">
        <f>Table134567810111213141516171819202122232425[[#This Row],[الدولار]]+(Table134567810111213141516171819202122232425[[#This Row],[اللبناني]]/90)</f>
        <v>0</v>
      </c>
      <c r="M233" s="6"/>
    </row>
    <row r="234" spans="9:13" s="11" customFormat="1" x14ac:dyDescent="0.3">
      <c r="I234" s="39"/>
      <c r="J234" s="18"/>
      <c r="L234" s="44">
        <f>Table134567810111213141516171819202122232425[[#This Row],[الدولار]]+(Table134567810111213141516171819202122232425[[#This Row],[اللبناني]]/90)</f>
        <v>0</v>
      </c>
      <c r="M234" s="6"/>
    </row>
    <row r="235" spans="9:13" s="11" customFormat="1" x14ac:dyDescent="0.3">
      <c r="I235" s="39"/>
      <c r="J235" s="18"/>
      <c r="L235" s="44">
        <f>Table134567810111213141516171819202122232425[[#This Row],[الدولار]]+(Table134567810111213141516171819202122232425[[#This Row],[اللبناني]]/90)</f>
        <v>0</v>
      </c>
      <c r="M235" s="6"/>
    </row>
    <row r="236" spans="9:13" s="11" customFormat="1" x14ac:dyDescent="0.3">
      <c r="I236" s="39"/>
      <c r="J236" s="18"/>
      <c r="L236" s="44">
        <f>Table134567810111213141516171819202122232425[[#This Row],[الدولار]]+(Table134567810111213141516171819202122232425[[#This Row],[اللبناني]]/90)</f>
        <v>0</v>
      </c>
      <c r="M236" s="6"/>
    </row>
    <row r="237" spans="9:13" s="11" customFormat="1" x14ac:dyDescent="0.3">
      <c r="I237" s="39"/>
      <c r="J237" s="18"/>
      <c r="L237" s="44">
        <f>Table134567810111213141516171819202122232425[[#This Row],[الدولار]]+(Table134567810111213141516171819202122232425[[#This Row],[اللبناني]]/90)</f>
        <v>0</v>
      </c>
      <c r="M237" s="6"/>
    </row>
    <row r="238" spans="9:13" s="11" customFormat="1" x14ac:dyDescent="0.3">
      <c r="I238" s="39"/>
      <c r="J238" s="18"/>
      <c r="L238" s="44">
        <f>Table134567810111213141516171819202122232425[[#This Row],[الدولار]]+(Table134567810111213141516171819202122232425[[#This Row],[اللبناني]]/90)</f>
        <v>0</v>
      </c>
      <c r="M238" s="6"/>
    </row>
    <row r="239" spans="9:13" s="11" customFormat="1" x14ac:dyDescent="0.3">
      <c r="I239" s="39"/>
      <c r="J239" s="18"/>
      <c r="L239" s="44">
        <f>Table134567810111213141516171819202122232425[[#This Row],[الدولار]]+(Table134567810111213141516171819202122232425[[#This Row],[اللبناني]]/90)</f>
        <v>0</v>
      </c>
      <c r="M239" s="6"/>
    </row>
    <row r="240" spans="9:13" s="11" customFormat="1" x14ac:dyDescent="0.3">
      <c r="I240" s="39"/>
      <c r="J240" s="18"/>
      <c r="L240" s="44">
        <f>Table134567810111213141516171819202122232425[[#This Row],[الدولار]]+(Table134567810111213141516171819202122232425[[#This Row],[اللبناني]]/90)</f>
        <v>0</v>
      </c>
      <c r="M240" s="6"/>
    </row>
    <row r="241" spans="9:13" s="11" customFormat="1" x14ac:dyDescent="0.3">
      <c r="I241" s="39"/>
      <c r="J241" s="18"/>
      <c r="L241" s="44">
        <f>Table134567810111213141516171819202122232425[[#This Row],[الدولار]]+(Table134567810111213141516171819202122232425[[#This Row],[اللبناني]]/90)</f>
        <v>0</v>
      </c>
      <c r="M241" s="6"/>
    </row>
    <row r="242" spans="9:13" s="11" customFormat="1" x14ac:dyDescent="0.3">
      <c r="I242" s="39"/>
      <c r="J242" s="18"/>
      <c r="L242" s="44">
        <f>Table134567810111213141516171819202122232425[[#This Row],[الدولار]]+(Table134567810111213141516171819202122232425[[#This Row],[اللبناني]]/90)</f>
        <v>0</v>
      </c>
      <c r="M242" s="6"/>
    </row>
    <row r="243" spans="9:13" s="11" customFormat="1" x14ac:dyDescent="0.3">
      <c r="I243" s="39"/>
      <c r="J243" s="18"/>
      <c r="L243" s="44">
        <f>Table134567810111213141516171819202122232425[[#This Row],[الدولار]]+(Table134567810111213141516171819202122232425[[#This Row],[اللبناني]]/90)</f>
        <v>0</v>
      </c>
      <c r="M243" s="6"/>
    </row>
    <row r="244" spans="9:13" s="11" customFormat="1" x14ac:dyDescent="0.3">
      <c r="I244" s="39"/>
      <c r="J244" s="18"/>
      <c r="L244" s="44">
        <f>Table134567810111213141516171819202122232425[[#This Row],[الدولار]]+(Table134567810111213141516171819202122232425[[#This Row],[اللبناني]]/90)</f>
        <v>0</v>
      </c>
      <c r="M244" s="6"/>
    </row>
    <row r="245" spans="9:13" s="11" customFormat="1" x14ac:dyDescent="0.3">
      <c r="I245" s="39"/>
      <c r="J245" s="18"/>
      <c r="L245" s="44">
        <f>Table134567810111213141516171819202122232425[[#This Row],[الدولار]]+(Table134567810111213141516171819202122232425[[#This Row],[اللبناني]]/90)</f>
        <v>0</v>
      </c>
      <c r="M245" s="6"/>
    </row>
    <row r="246" spans="9:13" s="11" customFormat="1" x14ac:dyDescent="0.3">
      <c r="I246" s="39"/>
      <c r="J246" s="18"/>
      <c r="L246" s="44">
        <f>Table134567810111213141516171819202122232425[[#This Row],[الدولار]]+(Table134567810111213141516171819202122232425[[#This Row],[اللبناني]]/90)</f>
        <v>0</v>
      </c>
      <c r="M246" s="6"/>
    </row>
    <row r="247" spans="9:13" s="11" customFormat="1" x14ac:dyDescent="0.3">
      <c r="I247" s="39"/>
      <c r="J247" s="18"/>
      <c r="L247" s="44">
        <f>Table134567810111213141516171819202122232425[[#This Row],[الدولار]]+(Table134567810111213141516171819202122232425[[#This Row],[اللبناني]]/90)</f>
        <v>0</v>
      </c>
      <c r="M247" s="6"/>
    </row>
    <row r="248" spans="9:13" s="11" customFormat="1" x14ac:dyDescent="0.3">
      <c r="I248" s="39"/>
      <c r="J248" s="18"/>
      <c r="L248" s="44">
        <f>Table134567810111213141516171819202122232425[[#This Row],[الدولار]]+(Table134567810111213141516171819202122232425[[#This Row],[اللبناني]]/90)</f>
        <v>0</v>
      </c>
      <c r="M248" s="6"/>
    </row>
    <row r="249" spans="9:13" s="11" customFormat="1" x14ac:dyDescent="0.3">
      <c r="I249" s="39"/>
      <c r="J249" s="18"/>
      <c r="L249" s="44">
        <f>Table134567810111213141516171819202122232425[[#This Row],[الدولار]]+(Table134567810111213141516171819202122232425[[#This Row],[اللبناني]]/90)</f>
        <v>0</v>
      </c>
      <c r="M249" s="6"/>
    </row>
    <row r="250" spans="9:13" s="11" customFormat="1" x14ac:dyDescent="0.3">
      <c r="I250" s="39"/>
      <c r="J250" s="18"/>
      <c r="L250" s="44">
        <f>Table134567810111213141516171819202122232425[[#This Row],[الدولار]]+(Table134567810111213141516171819202122232425[[#This Row],[اللبناني]]/90)</f>
        <v>0</v>
      </c>
      <c r="M250" s="6"/>
    </row>
    <row r="251" spans="9:13" s="11" customFormat="1" x14ac:dyDescent="0.3">
      <c r="I251" s="39"/>
      <c r="J251" s="18"/>
      <c r="L251" s="44">
        <f>Table134567810111213141516171819202122232425[[#This Row],[الدولار]]+(Table134567810111213141516171819202122232425[[#This Row],[اللبناني]]/90)</f>
        <v>0</v>
      </c>
      <c r="M251" s="6"/>
    </row>
    <row r="252" spans="9:13" s="11" customFormat="1" x14ac:dyDescent="0.3">
      <c r="I252" s="39"/>
      <c r="J252" s="18"/>
      <c r="L252" s="44">
        <f>Table134567810111213141516171819202122232425[[#This Row],[الدولار]]+(Table134567810111213141516171819202122232425[[#This Row],[اللبناني]]/90)</f>
        <v>0</v>
      </c>
      <c r="M252" s="6"/>
    </row>
    <row r="253" spans="9:13" s="11" customFormat="1" x14ac:dyDescent="0.3">
      <c r="I253" s="39"/>
      <c r="J253" s="18"/>
      <c r="L253" s="44">
        <f>Table134567810111213141516171819202122232425[[#This Row],[الدولار]]+(Table134567810111213141516171819202122232425[[#This Row],[اللبناني]]/90)</f>
        <v>0</v>
      </c>
      <c r="M253" s="6"/>
    </row>
    <row r="254" spans="9:13" s="11" customFormat="1" x14ac:dyDescent="0.3">
      <c r="I254" s="39"/>
      <c r="J254" s="18"/>
      <c r="L254" s="44">
        <f>Table134567810111213141516171819202122232425[[#This Row],[الدولار]]+(Table134567810111213141516171819202122232425[[#This Row],[اللبناني]]/90)</f>
        <v>0</v>
      </c>
      <c r="M254" s="6"/>
    </row>
    <row r="255" spans="9:13" s="11" customFormat="1" x14ac:dyDescent="0.3">
      <c r="I255" s="39"/>
      <c r="J255" s="18"/>
      <c r="L255" s="44">
        <f>Table134567810111213141516171819202122232425[[#This Row],[الدولار]]+(Table134567810111213141516171819202122232425[[#This Row],[اللبناني]]/90)</f>
        <v>0</v>
      </c>
      <c r="M255" s="6"/>
    </row>
    <row r="256" spans="9:13" s="11" customFormat="1" x14ac:dyDescent="0.3">
      <c r="I256" s="39"/>
      <c r="J256" s="18"/>
      <c r="L256" s="44">
        <f>Table134567810111213141516171819202122232425[[#This Row],[الدولار]]+(Table134567810111213141516171819202122232425[[#This Row],[اللبناني]]/90)</f>
        <v>0</v>
      </c>
      <c r="M256" s="6"/>
    </row>
    <row r="257" spans="9:13" s="11" customFormat="1" x14ac:dyDescent="0.3">
      <c r="I257" s="39"/>
      <c r="J257" s="18"/>
      <c r="L257" s="44">
        <f>Table134567810111213141516171819202122232425[[#This Row],[الدولار]]+(Table134567810111213141516171819202122232425[[#This Row],[اللبناني]]/90)</f>
        <v>0</v>
      </c>
      <c r="M257" s="6"/>
    </row>
    <row r="258" spans="9:13" s="11" customFormat="1" x14ac:dyDescent="0.3">
      <c r="I258" s="39"/>
      <c r="J258" s="18"/>
      <c r="L258" s="44">
        <f>Table134567810111213141516171819202122232425[[#This Row],[الدولار]]+(Table134567810111213141516171819202122232425[[#This Row],[اللبناني]]/90)</f>
        <v>0</v>
      </c>
      <c r="M258" s="6"/>
    </row>
    <row r="259" spans="9:13" s="11" customFormat="1" x14ac:dyDescent="0.3">
      <c r="I259" s="39"/>
      <c r="J259" s="18"/>
      <c r="L259" s="44">
        <f>Table134567810111213141516171819202122232425[[#This Row],[الدولار]]+(Table134567810111213141516171819202122232425[[#This Row],[اللبناني]]/90)</f>
        <v>0</v>
      </c>
      <c r="M259" s="6"/>
    </row>
    <row r="260" spans="9:13" s="11" customFormat="1" x14ac:dyDescent="0.3">
      <c r="I260" s="39"/>
      <c r="J260" s="18"/>
      <c r="L260" s="44">
        <f>Table134567810111213141516171819202122232425[[#This Row],[الدولار]]+(Table134567810111213141516171819202122232425[[#This Row],[اللبناني]]/90)</f>
        <v>0</v>
      </c>
      <c r="M260" s="6"/>
    </row>
    <row r="261" spans="9:13" s="11" customFormat="1" x14ac:dyDescent="0.3">
      <c r="I261" s="39"/>
      <c r="J261" s="18"/>
      <c r="L261" s="44">
        <f>Table134567810111213141516171819202122232425[[#This Row],[الدولار]]+(Table134567810111213141516171819202122232425[[#This Row],[اللبناني]]/90)</f>
        <v>0</v>
      </c>
      <c r="M261" s="6"/>
    </row>
    <row r="262" spans="9:13" s="11" customFormat="1" x14ac:dyDescent="0.3">
      <c r="I262" s="39"/>
      <c r="J262" s="18"/>
      <c r="L262" s="44">
        <f>Table134567810111213141516171819202122232425[[#This Row],[الدولار]]+(Table134567810111213141516171819202122232425[[#This Row],[اللبناني]]/90)</f>
        <v>0</v>
      </c>
      <c r="M262" s="6"/>
    </row>
    <row r="263" spans="9:13" s="11" customFormat="1" x14ac:dyDescent="0.3">
      <c r="I263" s="39"/>
      <c r="J263" s="18"/>
      <c r="L263" s="44">
        <f>Table134567810111213141516171819202122232425[[#This Row],[الدولار]]+(Table134567810111213141516171819202122232425[[#This Row],[اللبناني]]/90)</f>
        <v>0</v>
      </c>
      <c r="M263" s="6"/>
    </row>
    <row r="264" spans="9:13" s="11" customFormat="1" x14ac:dyDescent="0.3">
      <c r="I264" s="39"/>
      <c r="J264" s="18"/>
      <c r="L264" s="44">
        <f>Table134567810111213141516171819202122232425[[#This Row],[الدولار]]+(Table134567810111213141516171819202122232425[[#This Row],[اللبناني]]/90)</f>
        <v>0</v>
      </c>
      <c r="M264" s="6"/>
    </row>
    <row r="265" spans="9:13" s="11" customFormat="1" x14ac:dyDescent="0.3">
      <c r="I265" s="39"/>
      <c r="J265" s="18"/>
      <c r="L265" s="44">
        <f>Table134567810111213141516171819202122232425[[#This Row],[الدولار]]+(Table134567810111213141516171819202122232425[[#This Row],[اللبناني]]/90)</f>
        <v>0</v>
      </c>
      <c r="M265" s="6"/>
    </row>
    <row r="266" spans="9:13" s="11" customFormat="1" x14ac:dyDescent="0.3">
      <c r="I266" s="39"/>
      <c r="J266" s="18"/>
      <c r="L266" s="44">
        <f>Table134567810111213141516171819202122232425[[#This Row],[الدولار]]+(Table134567810111213141516171819202122232425[[#This Row],[اللبناني]]/90)</f>
        <v>0</v>
      </c>
      <c r="M266" s="6"/>
    </row>
    <row r="267" spans="9:13" s="11" customFormat="1" x14ac:dyDescent="0.3">
      <c r="I267" s="39"/>
      <c r="J267" s="18"/>
      <c r="L267" s="44">
        <f>Table134567810111213141516171819202122232425[[#This Row],[الدولار]]+(Table134567810111213141516171819202122232425[[#This Row],[اللبناني]]/90)</f>
        <v>0</v>
      </c>
      <c r="M267" s="6"/>
    </row>
    <row r="268" spans="9:13" s="11" customFormat="1" x14ac:dyDescent="0.3">
      <c r="I268" s="39"/>
      <c r="J268" s="18"/>
      <c r="L268" s="44">
        <f>Table134567810111213141516171819202122232425[[#This Row],[الدولار]]+(Table134567810111213141516171819202122232425[[#This Row],[اللبناني]]/90)</f>
        <v>0</v>
      </c>
      <c r="M268" s="6"/>
    </row>
    <row r="269" spans="9:13" s="11" customFormat="1" x14ac:dyDescent="0.3">
      <c r="I269" s="39"/>
      <c r="J269" s="18"/>
      <c r="L269" s="44">
        <f>Table134567810111213141516171819202122232425[[#This Row],[الدولار]]+(Table134567810111213141516171819202122232425[[#This Row],[اللبناني]]/90)</f>
        <v>0</v>
      </c>
      <c r="M269" s="6"/>
    </row>
    <row r="270" spans="9:13" s="11" customFormat="1" x14ac:dyDescent="0.3">
      <c r="I270" s="39"/>
      <c r="J270" s="18"/>
      <c r="L270" s="44">
        <f>Table134567810111213141516171819202122232425[[#This Row],[الدولار]]+(Table134567810111213141516171819202122232425[[#This Row],[اللبناني]]/90)</f>
        <v>0</v>
      </c>
      <c r="M270" s="6"/>
    </row>
    <row r="271" spans="9:13" s="11" customFormat="1" x14ac:dyDescent="0.3">
      <c r="I271" s="39"/>
      <c r="J271" s="18"/>
      <c r="L271" s="44">
        <f>Table134567810111213141516171819202122232425[[#This Row],[الدولار]]+(Table134567810111213141516171819202122232425[[#This Row],[اللبناني]]/90)</f>
        <v>0</v>
      </c>
      <c r="M271" s="6"/>
    </row>
    <row r="272" spans="9:13" s="11" customFormat="1" x14ac:dyDescent="0.3">
      <c r="I272" s="39"/>
      <c r="J272" s="18"/>
      <c r="L272" s="44">
        <f>Table134567810111213141516171819202122232425[[#This Row],[الدولار]]+(Table134567810111213141516171819202122232425[[#This Row],[اللبناني]]/90)</f>
        <v>0</v>
      </c>
      <c r="M272" s="6"/>
    </row>
    <row r="273" spans="9:13" s="11" customFormat="1" x14ac:dyDescent="0.3">
      <c r="I273" s="39"/>
      <c r="J273" s="18"/>
      <c r="L273" s="44">
        <f>Table134567810111213141516171819202122232425[[#This Row],[الدولار]]+(Table134567810111213141516171819202122232425[[#This Row],[اللبناني]]/90)</f>
        <v>0</v>
      </c>
      <c r="M273" s="6"/>
    </row>
    <row r="274" spans="9:13" s="11" customFormat="1" x14ac:dyDescent="0.3">
      <c r="I274" s="39"/>
      <c r="J274" s="18"/>
      <c r="L274" s="44">
        <f>Table134567810111213141516171819202122232425[[#This Row],[الدولار]]+(Table134567810111213141516171819202122232425[[#This Row],[اللبناني]]/90)</f>
        <v>0</v>
      </c>
      <c r="M274" s="6"/>
    </row>
    <row r="275" spans="9:13" s="11" customFormat="1" x14ac:dyDescent="0.3">
      <c r="I275" s="39"/>
      <c r="J275" s="18"/>
      <c r="L275" s="44">
        <f>Table134567810111213141516171819202122232425[[#This Row],[الدولار]]+(Table134567810111213141516171819202122232425[[#This Row],[اللبناني]]/90)</f>
        <v>0</v>
      </c>
      <c r="M275" s="6"/>
    </row>
    <row r="276" spans="9:13" s="11" customFormat="1" x14ac:dyDescent="0.3">
      <c r="I276" s="39"/>
      <c r="J276" s="18"/>
      <c r="L276" s="44">
        <f>Table134567810111213141516171819202122232425[[#This Row],[الدولار]]+(Table134567810111213141516171819202122232425[[#This Row],[اللبناني]]/90)</f>
        <v>0</v>
      </c>
      <c r="M276" s="6"/>
    </row>
    <row r="277" spans="9:13" s="11" customFormat="1" x14ac:dyDescent="0.3">
      <c r="I277" s="39"/>
      <c r="J277" s="18"/>
      <c r="L277" s="44">
        <f>Table134567810111213141516171819202122232425[[#This Row],[الدولار]]+(Table134567810111213141516171819202122232425[[#This Row],[اللبناني]]/90)</f>
        <v>0</v>
      </c>
      <c r="M277" s="6"/>
    </row>
    <row r="278" spans="9:13" s="11" customFormat="1" x14ac:dyDescent="0.3">
      <c r="I278" s="39"/>
      <c r="J278" s="18"/>
      <c r="L278" s="44">
        <f>Table134567810111213141516171819202122232425[[#This Row],[الدولار]]+(Table134567810111213141516171819202122232425[[#This Row],[اللبناني]]/90)</f>
        <v>0</v>
      </c>
      <c r="M278" s="6"/>
    </row>
    <row r="279" spans="9:13" s="11" customFormat="1" x14ac:dyDescent="0.3">
      <c r="I279" s="39"/>
      <c r="J279" s="18"/>
      <c r="L279" s="44">
        <f>Table134567810111213141516171819202122232425[[#This Row],[الدولار]]+(Table134567810111213141516171819202122232425[[#This Row],[اللبناني]]/90)</f>
        <v>0</v>
      </c>
      <c r="M279" s="6"/>
    </row>
    <row r="280" spans="9:13" s="11" customFormat="1" x14ac:dyDescent="0.3">
      <c r="I280" s="39"/>
      <c r="J280" s="18"/>
      <c r="L280" s="44">
        <f>Table134567810111213141516171819202122232425[[#This Row],[الدولار]]+(Table134567810111213141516171819202122232425[[#This Row],[اللبناني]]/90)</f>
        <v>0</v>
      </c>
      <c r="M280" s="6"/>
    </row>
    <row r="281" spans="9:13" s="11" customFormat="1" x14ac:dyDescent="0.3">
      <c r="I281" s="39"/>
      <c r="J281" s="18"/>
      <c r="L281" s="44">
        <f>Table134567810111213141516171819202122232425[[#This Row],[الدولار]]+(Table134567810111213141516171819202122232425[[#This Row],[اللبناني]]/90)</f>
        <v>0</v>
      </c>
      <c r="M281" s="6"/>
    </row>
    <row r="282" spans="9:13" s="11" customFormat="1" x14ac:dyDescent="0.3">
      <c r="I282" s="39"/>
      <c r="J282" s="18"/>
      <c r="L282" s="44">
        <f>Table134567810111213141516171819202122232425[[#This Row],[الدولار]]+(Table134567810111213141516171819202122232425[[#This Row],[اللبناني]]/90)</f>
        <v>0</v>
      </c>
      <c r="M282" s="6"/>
    </row>
    <row r="283" spans="9:13" s="11" customFormat="1" x14ac:dyDescent="0.3">
      <c r="I283" s="39"/>
      <c r="J283" s="18"/>
      <c r="L283" s="44">
        <f>Table134567810111213141516171819202122232425[[#This Row],[الدولار]]+(Table134567810111213141516171819202122232425[[#This Row],[اللبناني]]/90)</f>
        <v>0</v>
      </c>
      <c r="M283" s="6"/>
    </row>
    <row r="284" spans="9:13" s="11" customFormat="1" x14ac:dyDescent="0.3">
      <c r="I284" s="39"/>
      <c r="J284" s="18"/>
      <c r="L284" s="44">
        <f>Table134567810111213141516171819202122232425[[#This Row],[الدولار]]+(Table134567810111213141516171819202122232425[[#This Row],[اللبناني]]/90)</f>
        <v>0</v>
      </c>
      <c r="M284" s="6"/>
    </row>
    <row r="285" spans="9:13" s="11" customFormat="1" x14ac:dyDescent="0.3">
      <c r="I285" s="39"/>
      <c r="J285" s="18"/>
      <c r="L285" s="44">
        <f>Table134567810111213141516171819202122232425[[#This Row],[الدولار]]+(Table134567810111213141516171819202122232425[[#This Row],[اللبناني]]/90)</f>
        <v>0</v>
      </c>
      <c r="M285" s="6"/>
    </row>
    <row r="286" spans="9:13" s="11" customFormat="1" x14ac:dyDescent="0.3">
      <c r="I286" s="39"/>
      <c r="J286" s="18"/>
      <c r="L286" s="44">
        <f>Table134567810111213141516171819202122232425[[#This Row],[الدولار]]+(Table134567810111213141516171819202122232425[[#This Row],[اللبناني]]/90)</f>
        <v>0</v>
      </c>
      <c r="M286" s="6"/>
    </row>
    <row r="287" spans="9:13" s="11" customFormat="1" x14ac:dyDescent="0.3">
      <c r="I287" s="39"/>
      <c r="J287" s="18"/>
      <c r="L287" s="44">
        <f>Table134567810111213141516171819202122232425[[#This Row],[الدولار]]+(Table134567810111213141516171819202122232425[[#This Row],[اللبناني]]/90)</f>
        <v>0</v>
      </c>
      <c r="M287" s="6"/>
    </row>
    <row r="288" spans="9:13" s="11" customFormat="1" x14ac:dyDescent="0.3">
      <c r="I288" s="39"/>
      <c r="J288" s="18"/>
      <c r="L288" s="44">
        <f>Table134567810111213141516171819202122232425[[#This Row],[الدولار]]+(Table134567810111213141516171819202122232425[[#This Row],[اللبناني]]/90)</f>
        <v>0</v>
      </c>
      <c r="M288" s="6"/>
    </row>
    <row r="289" spans="9:13" s="11" customFormat="1" x14ac:dyDescent="0.3">
      <c r="I289" s="39"/>
      <c r="J289" s="18"/>
      <c r="L289" s="44">
        <f>Table134567810111213141516171819202122232425[[#This Row],[الدولار]]+(Table134567810111213141516171819202122232425[[#This Row],[اللبناني]]/90)</f>
        <v>0</v>
      </c>
      <c r="M289" s="6"/>
    </row>
    <row r="290" spans="9:13" s="11" customFormat="1" x14ac:dyDescent="0.3">
      <c r="I290" s="39"/>
      <c r="J290" s="18"/>
      <c r="L290" s="44">
        <f>Table134567810111213141516171819202122232425[[#This Row],[الدولار]]+(Table134567810111213141516171819202122232425[[#This Row],[اللبناني]]/90)</f>
        <v>0</v>
      </c>
      <c r="M290" s="6"/>
    </row>
    <row r="291" spans="9:13" s="11" customFormat="1" x14ac:dyDescent="0.3">
      <c r="I291" s="39"/>
      <c r="J291" s="18"/>
      <c r="L291" s="44">
        <f>Table134567810111213141516171819202122232425[[#This Row],[الدولار]]+(Table134567810111213141516171819202122232425[[#This Row],[اللبناني]]/90)</f>
        <v>0</v>
      </c>
      <c r="M291" s="6"/>
    </row>
    <row r="292" spans="9:13" s="11" customFormat="1" x14ac:dyDescent="0.3">
      <c r="I292" s="39"/>
      <c r="J292" s="18"/>
      <c r="L292" s="44">
        <f>Table134567810111213141516171819202122232425[[#This Row],[الدولار]]+(Table134567810111213141516171819202122232425[[#This Row],[اللبناني]]/90)</f>
        <v>0</v>
      </c>
      <c r="M292" s="6"/>
    </row>
    <row r="293" spans="9:13" s="11" customFormat="1" x14ac:dyDescent="0.3">
      <c r="I293" s="39"/>
      <c r="J293" s="18"/>
      <c r="L293" s="44">
        <f>Table134567810111213141516171819202122232425[[#This Row],[الدولار]]+(Table134567810111213141516171819202122232425[[#This Row],[اللبناني]]/90)</f>
        <v>0</v>
      </c>
      <c r="M293" s="6"/>
    </row>
    <row r="294" spans="9:13" s="11" customFormat="1" x14ac:dyDescent="0.3">
      <c r="I294" s="39"/>
      <c r="J294" s="18"/>
      <c r="L294" s="44">
        <f>Table134567810111213141516171819202122232425[[#This Row],[الدولار]]+(Table134567810111213141516171819202122232425[[#This Row],[اللبناني]]/90)</f>
        <v>0</v>
      </c>
      <c r="M294" s="6"/>
    </row>
    <row r="295" spans="9:13" s="11" customFormat="1" x14ac:dyDescent="0.3">
      <c r="I295" s="39"/>
      <c r="J295" s="18"/>
      <c r="L295" s="44">
        <f>Table134567810111213141516171819202122232425[[#This Row],[الدولار]]+(Table134567810111213141516171819202122232425[[#This Row],[اللبناني]]/90)</f>
        <v>0</v>
      </c>
      <c r="M295" s="6"/>
    </row>
    <row r="296" spans="9:13" s="11" customFormat="1" x14ac:dyDescent="0.3">
      <c r="I296" s="39"/>
      <c r="J296" s="18"/>
      <c r="L296" s="44">
        <f>Table134567810111213141516171819202122232425[[#This Row],[الدولار]]+(Table134567810111213141516171819202122232425[[#This Row],[اللبناني]]/90)</f>
        <v>0</v>
      </c>
      <c r="M296" s="6"/>
    </row>
    <row r="297" spans="9:13" s="11" customFormat="1" x14ac:dyDescent="0.3">
      <c r="I297" s="39"/>
      <c r="J297" s="18"/>
      <c r="L297" s="44">
        <f>Table134567810111213141516171819202122232425[[#This Row],[الدولار]]+(Table134567810111213141516171819202122232425[[#This Row],[اللبناني]]/90)</f>
        <v>0</v>
      </c>
      <c r="M297" s="6"/>
    </row>
    <row r="298" spans="9:13" s="11" customFormat="1" x14ac:dyDescent="0.3">
      <c r="I298" s="39"/>
      <c r="J298" s="18"/>
      <c r="L298" s="44">
        <f>Table134567810111213141516171819202122232425[[#This Row],[الدولار]]+(Table134567810111213141516171819202122232425[[#This Row],[اللبناني]]/90)</f>
        <v>0</v>
      </c>
      <c r="M298" s="6"/>
    </row>
    <row r="299" spans="9:13" s="11" customFormat="1" x14ac:dyDescent="0.3">
      <c r="I299" s="39"/>
      <c r="J299" s="18"/>
      <c r="L299" s="44">
        <f>Table134567810111213141516171819202122232425[[#This Row],[الدولار]]+(Table134567810111213141516171819202122232425[[#This Row],[اللبناني]]/90)</f>
        <v>0</v>
      </c>
      <c r="M299" s="6"/>
    </row>
    <row r="300" spans="9:13" s="11" customFormat="1" x14ac:dyDescent="0.3">
      <c r="I300" s="39"/>
      <c r="J300" s="18"/>
      <c r="L300" s="44">
        <f>Table134567810111213141516171819202122232425[[#This Row],[الدولار]]+(Table134567810111213141516171819202122232425[[#This Row],[اللبناني]]/90)</f>
        <v>0</v>
      </c>
      <c r="M300" s="6"/>
    </row>
    <row r="301" spans="9:13" s="11" customFormat="1" x14ac:dyDescent="0.3">
      <c r="I301" s="39"/>
      <c r="J301" s="18"/>
      <c r="L301" s="44">
        <f>Table134567810111213141516171819202122232425[[#This Row],[الدولار]]+(Table134567810111213141516171819202122232425[[#This Row],[اللبناني]]/90)</f>
        <v>0</v>
      </c>
      <c r="M301" s="6"/>
    </row>
    <row r="302" spans="9:13" s="11" customFormat="1" x14ac:dyDescent="0.3">
      <c r="I302" s="39"/>
      <c r="J302" s="18"/>
      <c r="L302" s="44">
        <f>Table134567810111213141516171819202122232425[[#This Row],[الدولار]]+(Table134567810111213141516171819202122232425[[#This Row],[اللبناني]]/90)</f>
        <v>0</v>
      </c>
      <c r="M302" s="6"/>
    </row>
    <row r="303" spans="9:13" s="11" customFormat="1" x14ac:dyDescent="0.3">
      <c r="I303" s="39"/>
      <c r="J303" s="18"/>
      <c r="L303" s="44">
        <f>Table134567810111213141516171819202122232425[[#This Row],[الدولار]]+(Table134567810111213141516171819202122232425[[#This Row],[اللبناني]]/90)</f>
        <v>0</v>
      </c>
      <c r="M303" s="6"/>
    </row>
    <row r="304" spans="9:13" s="11" customFormat="1" x14ac:dyDescent="0.3">
      <c r="I304" s="39"/>
      <c r="J304" s="18"/>
      <c r="L304" s="44">
        <f>Table134567810111213141516171819202122232425[[#This Row],[الدولار]]+(Table134567810111213141516171819202122232425[[#This Row],[اللبناني]]/90)</f>
        <v>0</v>
      </c>
      <c r="M304" s="6"/>
    </row>
    <row r="305" spans="9:13" s="11" customFormat="1" x14ac:dyDescent="0.3">
      <c r="I305" s="39"/>
      <c r="J305" s="18"/>
      <c r="L305" s="44">
        <f>Table134567810111213141516171819202122232425[[#This Row],[الدولار]]+(Table134567810111213141516171819202122232425[[#This Row],[اللبناني]]/90)</f>
        <v>0</v>
      </c>
      <c r="M305" s="6"/>
    </row>
    <row r="306" spans="9:13" s="11" customFormat="1" x14ac:dyDescent="0.3">
      <c r="I306" s="39"/>
      <c r="J306" s="18"/>
      <c r="L306" s="44">
        <f>Table134567810111213141516171819202122232425[[#This Row],[الدولار]]+(Table134567810111213141516171819202122232425[[#This Row],[اللبناني]]/90)</f>
        <v>0</v>
      </c>
      <c r="M306" s="6"/>
    </row>
    <row r="307" spans="9:13" s="11" customFormat="1" x14ac:dyDescent="0.3">
      <c r="I307" s="39"/>
      <c r="J307" s="18"/>
      <c r="L307" s="44">
        <f>Table134567810111213141516171819202122232425[[#This Row],[الدولار]]+(Table134567810111213141516171819202122232425[[#This Row],[اللبناني]]/90)</f>
        <v>0</v>
      </c>
      <c r="M307" s="6"/>
    </row>
    <row r="308" spans="9:13" s="11" customFormat="1" x14ac:dyDescent="0.3">
      <c r="I308" s="39"/>
      <c r="J308" s="18"/>
      <c r="L308" s="44">
        <f>Table134567810111213141516171819202122232425[[#This Row],[الدولار]]+(Table134567810111213141516171819202122232425[[#This Row],[اللبناني]]/90)</f>
        <v>0</v>
      </c>
      <c r="M308" s="6"/>
    </row>
    <row r="309" spans="9:13" s="11" customFormat="1" x14ac:dyDescent="0.3">
      <c r="I309" s="39"/>
      <c r="J309" s="18"/>
      <c r="L309" s="44">
        <f>Table134567810111213141516171819202122232425[[#This Row],[الدولار]]+(Table134567810111213141516171819202122232425[[#This Row],[اللبناني]]/90)</f>
        <v>0</v>
      </c>
      <c r="M309" s="6"/>
    </row>
    <row r="310" spans="9:13" s="11" customFormat="1" x14ac:dyDescent="0.3">
      <c r="I310" s="39"/>
      <c r="J310" s="18"/>
      <c r="L310" s="44">
        <f>Table134567810111213141516171819202122232425[[#This Row],[الدولار]]+(Table134567810111213141516171819202122232425[[#This Row],[اللبناني]]/90)</f>
        <v>0</v>
      </c>
      <c r="M310" s="6"/>
    </row>
    <row r="311" spans="9:13" s="11" customFormat="1" x14ac:dyDescent="0.3">
      <c r="I311" s="39"/>
      <c r="J311" s="18"/>
      <c r="L311" s="44">
        <f>Table134567810111213141516171819202122232425[[#This Row],[الدولار]]+(Table134567810111213141516171819202122232425[[#This Row],[اللبناني]]/90)</f>
        <v>0</v>
      </c>
      <c r="M311" s="6"/>
    </row>
    <row r="312" spans="9:13" s="11" customFormat="1" x14ac:dyDescent="0.3">
      <c r="I312" s="39"/>
      <c r="J312" s="18"/>
      <c r="L312" s="44">
        <f>Table134567810111213141516171819202122232425[[#This Row],[الدولار]]+(Table134567810111213141516171819202122232425[[#This Row],[اللبناني]]/90)</f>
        <v>0</v>
      </c>
      <c r="M312" s="6"/>
    </row>
    <row r="313" spans="9:13" s="11" customFormat="1" x14ac:dyDescent="0.3">
      <c r="I313" s="39"/>
      <c r="J313" s="18"/>
      <c r="L313" s="44">
        <f>Table134567810111213141516171819202122232425[[#This Row],[الدولار]]+(Table134567810111213141516171819202122232425[[#This Row],[اللبناني]]/90)</f>
        <v>0</v>
      </c>
      <c r="M313" s="6"/>
    </row>
    <row r="314" spans="9:13" s="11" customFormat="1" x14ac:dyDescent="0.3">
      <c r="I314" s="39"/>
      <c r="J314" s="18"/>
      <c r="L314" s="44">
        <f>Table134567810111213141516171819202122232425[[#This Row],[الدولار]]+(Table134567810111213141516171819202122232425[[#This Row],[اللبناني]]/90)</f>
        <v>0</v>
      </c>
      <c r="M314" s="6"/>
    </row>
    <row r="315" spans="9:13" s="11" customFormat="1" x14ac:dyDescent="0.3">
      <c r="I315" s="39"/>
      <c r="J315" s="18"/>
      <c r="L315" s="44">
        <f>Table134567810111213141516171819202122232425[[#This Row],[الدولار]]+(Table134567810111213141516171819202122232425[[#This Row],[اللبناني]]/90)</f>
        <v>0</v>
      </c>
      <c r="M315" s="6"/>
    </row>
    <row r="316" spans="9:13" s="11" customFormat="1" x14ac:dyDescent="0.3">
      <c r="I316" s="39"/>
      <c r="J316" s="18"/>
      <c r="L316" s="44">
        <f>Table134567810111213141516171819202122232425[[#This Row],[الدولار]]+(Table134567810111213141516171819202122232425[[#This Row],[اللبناني]]/90)</f>
        <v>0</v>
      </c>
      <c r="M316" s="6"/>
    </row>
    <row r="317" spans="9:13" s="11" customFormat="1" x14ac:dyDescent="0.3">
      <c r="I317" s="39"/>
      <c r="J317" s="18"/>
      <c r="L317" s="44">
        <f>Table134567810111213141516171819202122232425[[#This Row],[الدولار]]+(Table134567810111213141516171819202122232425[[#This Row],[اللبناني]]/90)</f>
        <v>0</v>
      </c>
      <c r="M317" s="6"/>
    </row>
    <row r="318" spans="9:13" s="11" customFormat="1" x14ac:dyDescent="0.3">
      <c r="I318" s="39"/>
      <c r="J318" s="18"/>
      <c r="L318" s="44">
        <f>Table134567810111213141516171819202122232425[[#This Row],[الدولار]]+(Table134567810111213141516171819202122232425[[#This Row],[اللبناني]]/90)</f>
        <v>0</v>
      </c>
      <c r="M318" s="6"/>
    </row>
    <row r="319" spans="9:13" s="11" customFormat="1" x14ac:dyDescent="0.3">
      <c r="I319" s="39"/>
      <c r="J319" s="18"/>
      <c r="L319" s="44">
        <f>Table134567810111213141516171819202122232425[[#This Row],[الدولار]]+(Table134567810111213141516171819202122232425[[#This Row],[اللبناني]]/90)</f>
        <v>0</v>
      </c>
      <c r="M319" s="6"/>
    </row>
    <row r="320" spans="9:13" s="11" customFormat="1" x14ac:dyDescent="0.3">
      <c r="I320" s="39"/>
      <c r="J320" s="18"/>
      <c r="L320" s="44">
        <f>Table134567810111213141516171819202122232425[[#This Row],[الدولار]]+(Table134567810111213141516171819202122232425[[#This Row],[اللبناني]]/90)</f>
        <v>0</v>
      </c>
      <c r="M320" s="6"/>
    </row>
    <row r="321" spans="9:13" s="11" customFormat="1" x14ac:dyDescent="0.3">
      <c r="I321" s="39"/>
      <c r="J321" s="18"/>
      <c r="L321" s="44">
        <f>Table134567810111213141516171819202122232425[[#This Row],[الدولار]]+(Table134567810111213141516171819202122232425[[#This Row],[اللبناني]]/90)</f>
        <v>0</v>
      </c>
      <c r="M321" s="6"/>
    </row>
    <row r="322" spans="9:13" s="11" customFormat="1" x14ac:dyDescent="0.3">
      <c r="I322" s="39"/>
      <c r="J322" s="18"/>
      <c r="L322" s="44">
        <f>Table134567810111213141516171819202122232425[[#This Row],[الدولار]]+(Table134567810111213141516171819202122232425[[#This Row],[اللبناني]]/90)</f>
        <v>0</v>
      </c>
      <c r="M322" s="6"/>
    </row>
    <row r="323" spans="9:13" s="11" customFormat="1" x14ac:dyDescent="0.3">
      <c r="I323" s="39"/>
      <c r="J323" s="18"/>
      <c r="L323" s="44">
        <f>Table134567810111213141516171819202122232425[[#This Row],[الدولار]]+(Table134567810111213141516171819202122232425[[#This Row],[اللبناني]]/90)</f>
        <v>0</v>
      </c>
      <c r="M323" s="6"/>
    </row>
    <row r="324" spans="9:13" s="11" customFormat="1" x14ac:dyDescent="0.3">
      <c r="I324" s="39"/>
      <c r="J324" s="18"/>
      <c r="L324" s="44">
        <f>Table134567810111213141516171819202122232425[[#This Row],[الدولار]]+(Table134567810111213141516171819202122232425[[#This Row],[اللبناني]]/90)</f>
        <v>0</v>
      </c>
      <c r="M324" s="6"/>
    </row>
    <row r="325" spans="9:13" s="11" customFormat="1" x14ac:dyDescent="0.3">
      <c r="I325" s="39"/>
      <c r="J325" s="18"/>
      <c r="L325" s="44">
        <f>Table134567810111213141516171819202122232425[[#This Row],[الدولار]]+(Table134567810111213141516171819202122232425[[#This Row],[اللبناني]]/90)</f>
        <v>0</v>
      </c>
      <c r="M325" s="6"/>
    </row>
    <row r="326" spans="9:13" s="11" customFormat="1" x14ac:dyDescent="0.3">
      <c r="I326" s="39"/>
      <c r="J326" s="18"/>
      <c r="L326" s="44">
        <f>Table134567810111213141516171819202122232425[[#This Row],[الدولار]]+(Table134567810111213141516171819202122232425[[#This Row],[اللبناني]]/90)</f>
        <v>0</v>
      </c>
      <c r="M326" s="6"/>
    </row>
    <row r="327" spans="9:13" s="11" customFormat="1" x14ac:dyDescent="0.3">
      <c r="I327" s="39"/>
      <c r="J327" s="18"/>
      <c r="L327" s="44">
        <f>Table134567810111213141516171819202122232425[[#This Row],[الدولار]]+(Table134567810111213141516171819202122232425[[#This Row],[اللبناني]]/90)</f>
        <v>0</v>
      </c>
      <c r="M327" s="6"/>
    </row>
    <row r="328" spans="9:13" s="11" customFormat="1" x14ac:dyDescent="0.3">
      <c r="I328" s="39"/>
      <c r="J328" s="18"/>
      <c r="L328" s="44">
        <f>Table134567810111213141516171819202122232425[[#This Row],[الدولار]]+(Table134567810111213141516171819202122232425[[#This Row],[اللبناني]]/90)</f>
        <v>0</v>
      </c>
      <c r="M328" s="6"/>
    </row>
    <row r="329" spans="9:13" s="11" customFormat="1" x14ac:dyDescent="0.3">
      <c r="I329" s="39"/>
      <c r="J329" s="18"/>
      <c r="L329" s="44">
        <f>Table134567810111213141516171819202122232425[[#This Row],[الدولار]]+(Table134567810111213141516171819202122232425[[#This Row],[اللبناني]]/90)</f>
        <v>0</v>
      </c>
      <c r="M329" s="6"/>
    </row>
    <row r="330" spans="9:13" s="11" customFormat="1" x14ac:dyDescent="0.3">
      <c r="I330" s="39"/>
      <c r="J330" s="18"/>
      <c r="L330" s="44">
        <f>Table134567810111213141516171819202122232425[[#This Row],[الدولار]]+(Table134567810111213141516171819202122232425[[#This Row],[اللبناني]]/90)</f>
        <v>0</v>
      </c>
      <c r="M330" s="6"/>
    </row>
    <row r="331" spans="9:13" s="11" customFormat="1" x14ac:dyDescent="0.3">
      <c r="I331" s="39"/>
      <c r="J331" s="18"/>
      <c r="L331" s="44">
        <f>Table134567810111213141516171819202122232425[[#This Row],[الدولار]]+(Table134567810111213141516171819202122232425[[#This Row],[اللبناني]]/90)</f>
        <v>0</v>
      </c>
      <c r="M331" s="6"/>
    </row>
    <row r="332" spans="9:13" s="11" customFormat="1" x14ac:dyDescent="0.3">
      <c r="I332" s="39"/>
      <c r="J332" s="18"/>
      <c r="L332" s="44">
        <f>Table134567810111213141516171819202122232425[[#This Row],[الدولار]]+(Table134567810111213141516171819202122232425[[#This Row],[اللبناني]]/90)</f>
        <v>0</v>
      </c>
      <c r="M332" s="6"/>
    </row>
    <row r="333" spans="9:13" s="11" customFormat="1" x14ac:dyDescent="0.3">
      <c r="I333" s="39"/>
      <c r="J333" s="18"/>
      <c r="L333" s="44">
        <f>Table134567810111213141516171819202122232425[[#This Row],[الدولار]]+(Table134567810111213141516171819202122232425[[#This Row],[اللبناني]]/90)</f>
        <v>0</v>
      </c>
      <c r="M333" s="6"/>
    </row>
    <row r="334" spans="9:13" s="11" customFormat="1" x14ac:dyDescent="0.3">
      <c r="I334" s="39"/>
      <c r="J334" s="18"/>
      <c r="L334" s="44">
        <f>Table134567810111213141516171819202122232425[[#This Row],[الدولار]]+(Table134567810111213141516171819202122232425[[#This Row],[اللبناني]]/90)</f>
        <v>0</v>
      </c>
      <c r="M334" s="6"/>
    </row>
    <row r="335" spans="9:13" s="11" customFormat="1" x14ac:dyDescent="0.3">
      <c r="I335" s="39"/>
      <c r="J335" s="18"/>
      <c r="L335" s="44">
        <f>Table134567810111213141516171819202122232425[[#This Row],[الدولار]]+(Table134567810111213141516171819202122232425[[#This Row],[اللبناني]]/90)</f>
        <v>0</v>
      </c>
      <c r="M335" s="6"/>
    </row>
    <row r="336" spans="9:13" s="11" customFormat="1" x14ac:dyDescent="0.3">
      <c r="I336" s="39"/>
      <c r="J336" s="18"/>
      <c r="L336" s="44">
        <f>Table134567810111213141516171819202122232425[[#This Row],[الدولار]]+(Table134567810111213141516171819202122232425[[#This Row],[اللبناني]]/90)</f>
        <v>0</v>
      </c>
      <c r="M336" s="6"/>
    </row>
    <row r="337" spans="9:13" s="11" customFormat="1" x14ac:dyDescent="0.3">
      <c r="I337" s="39"/>
      <c r="J337" s="18"/>
      <c r="L337" s="44">
        <f>Table134567810111213141516171819202122232425[[#This Row],[الدولار]]+(Table134567810111213141516171819202122232425[[#This Row],[اللبناني]]/90)</f>
        <v>0</v>
      </c>
      <c r="M337" s="6"/>
    </row>
    <row r="338" spans="9:13" s="11" customFormat="1" x14ac:dyDescent="0.3">
      <c r="I338" s="39"/>
      <c r="J338" s="18"/>
      <c r="L338" s="44">
        <f>Table134567810111213141516171819202122232425[[#This Row],[الدولار]]+(Table134567810111213141516171819202122232425[[#This Row],[اللبناني]]/90)</f>
        <v>0</v>
      </c>
      <c r="M338" s="6"/>
    </row>
    <row r="339" spans="9:13" s="11" customFormat="1" x14ac:dyDescent="0.3">
      <c r="I339" s="39"/>
      <c r="J339" s="18"/>
      <c r="L339" s="44">
        <f>Table134567810111213141516171819202122232425[[#This Row],[الدولار]]+(Table134567810111213141516171819202122232425[[#This Row],[اللبناني]]/90)</f>
        <v>0</v>
      </c>
      <c r="M339" s="6"/>
    </row>
    <row r="340" spans="9:13" s="11" customFormat="1" x14ac:dyDescent="0.3">
      <c r="I340" s="39"/>
      <c r="J340" s="18"/>
      <c r="L340" s="44">
        <f>Table134567810111213141516171819202122232425[[#This Row],[الدولار]]+(Table134567810111213141516171819202122232425[[#This Row],[اللبناني]]/90)</f>
        <v>0</v>
      </c>
      <c r="M340" s="6"/>
    </row>
    <row r="341" spans="9:13" s="11" customFormat="1" x14ac:dyDescent="0.3">
      <c r="I341" s="39"/>
      <c r="J341" s="18"/>
      <c r="L341" s="44">
        <f>Table134567810111213141516171819202122232425[[#This Row],[الدولار]]+(Table134567810111213141516171819202122232425[[#This Row],[اللبناني]]/90)</f>
        <v>0</v>
      </c>
      <c r="M341" s="6"/>
    </row>
    <row r="342" spans="9:13" s="11" customFormat="1" x14ac:dyDescent="0.3">
      <c r="I342" s="39"/>
      <c r="J342" s="18"/>
      <c r="L342" s="44">
        <f>Table134567810111213141516171819202122232425[[#This Row],[الدولار]]+(Table134567810111213141516171819202122232425[[#This Row],[اللبناني]]/90)</f>
        <v>0</v>
      </c>
      <c r="M342" s="6"/>
    </row>
    <row r="343" spans="9:13" s="11" customFormat="1" x14ac:dyDescent="0.3">
      <c r="I343" s="39"/>
      <c r="J343" s="18"/>
      <c r="L343" s="44">
        <f>Table134567810111213141516171819202122232425[[#This Row],[الدولار]]+(Table134567810111213141516171819202122232425[[#This Row],[اللبناني]]/90)</f>
        <v>0</v>
      </c>
      <c r="M343" s="6"/>
    </row>
    <row r="344" spans="9:13" s="11" customFormat="1" x14ac:dyDescent="0.3">
      <c r="I344" s="39"/>
      <c r="J344" s="18"/>
      <c r="L344" s="44">
        <f>Table134567810111213141516171819202122232425[[#This Row],[الدولار]]+(Table134567810111213141516171819202122232425[[#This Row],[اللبناني]]/90)</f>
        <v>0</v>
      </c>
      <c r="M344" s="6"/>
    </row>
    <row r="345" spans="9:13" s="11" customFormat="1" x14ac:dyDescent="0.3">
      <c r="I345" s="39"/>
      <c r="J345" s="18"/>
      <c r="L345" s="44">
        <f>Table134567810111213141516171819202122232425[[#This Row],[الدولار]]+(Table134567810111213141516171819202122232425[[#This Row],[اللبناني]]/90)</f>
        <v>0</v>
      </c>
      <c r="M345" s="6"/>
    </row>
    <row r="346" spans="9:13" s="11" customFormat="1" x14ac:dyDescent="0.3">
      <c r="I346" s="39"/>
      <c r="J346" s="18"/>
      <c r="L346" s="44">
        <f>Table134567810111213141516171819202122232425[[#This Row],[الدولار]]+(Table134567810111213141516171819202122232425[[#This Row],[اللبناني]]/90)</f>
        <v>0</v>
      </c>
      <c r="M346" s="6"/>
    </row>
    <row r="347" spans="9:13" s="11" customFormat="1" x14ac:dyDescent="0.3">
      <c r="I347" s="39"/>
      <c r="J347" s="18"/>
      <c r="L347" s="44">
        <f>Table134567810111213141516171819202122232425[[#This Row],[الدولار]]+(Table134567810111213141516171819202122232425[[#This Row],[اللبناني]]/90)</f>
        <v>0</v>
      </c>
      <c r="M347" s="6"/>
    </row>
    <row r="348" spans="9:13" s="11" customFormat="1" x14ac:dyDescent="0.3">
      <c r="I348" s="39"/>
      <c r="J348" s="18"/>
      <c r="L348" s="44">
        <f>Table134567810111213141516171819202122232425[[#This Row],[الدولار]]+(Table134567810111213141516171819202122232425[[#This Row],[اللبناني]]/90)</f>
        <v>0</v>
      </c>
      <c r="M348" s="6"/>
    </row>
    <row r="349" spans="9:13" s="11" customFormat="1" x14ac:dyDescent="0.3">
      <c r="I349" s="39"/>
      <c r="J349" s="18"/>
      <c r="L349" s="44">
        <f>Table134567810111213141516171819202122232425[[#This Row],[الدولار]]+(Table134567810111213141516171819202122232425[[#This Row],[اللبناني]]/90)</f>
        <v>0</v>
      </c>
      <c r="M349" s="6"/>
    </row>
    <row r="350" spans="9:13" s="11" customFormat="1" x14ac:dyDescent="0.3">
      <c r="I350" s="39"/>
      <c r="J350" s="18"/>
      <c r="L350" s="44">
        <f>Table134567810111213141516171819202122232425[[#This Row],[الدولار]]+(Table134567810111213141516171819202122232425[[#This Row],[اللبناني]]/90)</f>
        <v>0</v>
      </c>
      <c r="M350" s="6"/>
    </row>
    <row r="351" spans="9:13" s="11" customFormat="1" x14ac:dyDescent="0.3">
      <c r="I351" s="39"/>
      <c r="J351" s="18"/>
      <c r="L351" s="44">
        <f>Table134567810111213141516171819202122232425[[#This Row],[الدولار]]+(Table134567810111213141516171819202122232425[[#This Row],[اللبناني]]/90)</f>
        <v>0</v>
      </c>
      <c r="M351" s="6"/>
    </row>
    <row r="352" spans="9:13" s="11" customFormat="1" x14ac:dyDescent="0.3">
      <c r="I352" s="39"/>
      <c r="J352" s="18"/>
      <c r="L352" s="44">
        <f>Table134567810111213141516171819202122232425[[#This Row],[الدولار]]+(Table134567810111213141516171819202122232425[[#This Row],[اللبناني]]/90)</f>
        <v>0</v>
      </c>
      <c r="M352" s="6"/>
    </row>
    <row r="353" spans="9:13" s="11" customFormat="1" x14ac:dyDescent="0.3">
      <c r="I353" s="39"/>
      <c r="J353" s="18"/>
      <c r="L353" s="44">
        <f>Table134567810111213141516171819202122232425[[#This Row],[الدولار]]+(Table134567810111213141516171819202122232425[[#This Row],[اللبناني]]/90)</f>
        <v>0</v>
      </c>
      <c r="M353" s="6"/>
    </row>
    <row r="354" spans="9:13" s="11" customFormat="1" x14ac:dyDescent="0.3">
      <c r="I354" s="39"/>
      <c r="J354" s="18"/>
      <c r="L354" s="44">
        <f>Table134567810111213141516171819202122232425[[#This Row],[الدولار]]+(Table134567810111213141516171819202122232425[[#This Row],[اللبناني]]/90)</f>
        <v>0</v>
      </c>
      <c r="M354" s="6"/>
    </row>
  </sheetData>
  <mergeCells count="4">
    <mergeCell ref="A13:F13"/>
    <mergeCell ref="N13:S13"/>
    <mergeCell ref="Q22:R22"/>
    <mergeCell ref="N23:O23"/>
  </mergeCells>
  <pageMargins left="0.25" right="0.25" top="0.75" bottom="0.75" header="0.3" footer="0.3"/>
  <pageSetup paperSize="9" scale="65" fitToHeight="0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B7B8-90D2-4FAA-97DD-259EA06B09C9}">
  <sheetPr>
    <pageSetUpPr fitToPage="1"/>
  </sheetPr>
  <dimension ref="A1:S354"/>
  <sheetViews>
    <sheetView rightToLeft="1" topLeftCell="A13" zoomScale="115" zoomScaleNormal="115" workbookViewId="0">
      <selection activeCell="J131" sqref="J131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7.88671875" style="2" bestFit="1" customWidth="1"/>
    <col min="4" max="4" width="9.109375" style="2" bestFit="1" customWidth="1"/>
    <col min="5" max="5" width="5.109375" style="2" bestFit="1" customWidth="1"/>
    <col min="6" max="6" width="10.44140625" style="2" bestFit="1" customWidth="1"/>
    <col min="7" max="7" width="2.44140625" style="2" customWidth="1"/>
    <col min="8" max="8" width="8.88671875" style="2" bestFit="1" customWidth="1"/>
    <col min="9" max="9" width="14.109375" style="39" bestFit="1" customWidth="1"/>
    <col min="10" max="10" width="12.109375" style="7" bestFit="1" customWidth="1"/>
    <col min="11" max="11" width="8.5546875" style="11" bestFit="1" customWidth="1"/>
    <col min="12" max="12" width="9" style="6" bestFit="1" customWidth="1"/>
    <col min="13" max="13" width="2.5546875" style="6" customWidth="1"/>
    <col min="14" max="14" width="9.44140625" style="2" bestFit="1" customWidth="1"/>
    <col min="15" max="15" width="5.109375" style="2" bestFit="1" customWidth="1"/>
    <col min="16" max="16" width="8.5546875" style="2" bestFit="1" customWidth="1"/>
    <col min="17" max="17" width="9.109375" style="2" bestFit="1" customWidth="1"/>
    <col min="18" max="18" width="5.109375" style="2" bestFit="1" customWidth="1"/>
    <col min="19" max="19" width="11.109375" style="2" bestFit="1" customWidth="1"/>
    <col min="20" max="16384" width="8.88671875" style="2"/>
  </cols>
  <sheetData>
    <row r="1" spans="1:19" x14ac:dyDescent="0.3">
      <c r="I1" s="39" t="s">
        <v>38</v>
      </c>
      <c r="J1" s="7">
        <f>SUM(J3:J11)</f>
        <v>285</v>
      </c>
      <c r="K1" s="7">
        <f>SUM(K3:K11)</f>
        <v>165</v>
      </c>
      <c r="L1" s="7">
        <f>SUM(L3:L11)</f>
        <v>168.16666666666666</v>
      </c>
    </row>
    <row r="2" spans="1:19" x14ac:dyDescent="0.3">
      <c r="H2" s="2" t="s">
        <v>426</v>
      </c>
      <c r="I2" s="40" t="s">
        <v>6</v>
      </c>
      <c r="J2" s="3" t="s">
        <v>5</v>
      </c>
      <c r="K2" s="12" t="s">
        <v>4</v>
      </c>
      <c r="L2" s="12" t="s">
        <v>415</v>
      </c>
    </row>
    <row r="3" spans="1:19" x14ac:dyDescent="0.3">
      <c r="H3" s="5" t="s">
        <v>434</v>
      </c>
      <c r="I3" s="41"/>
      <c r="J3" s="20"/>
      <c r="K3" s="11">
        <v>100</v>
      </c>
      <c r="L3" s="44">
        <f t="shared" ref="L3:L11" si="0">K3+(J3/90)</f>
        <v>100</v>
      </c>
    </row>
    <row r="4" spans="1:19" x14ac:dyDescent="0.3">
      <c r="H4" s="5" t="s">
        <v>434</v>
      </c>
      <c r="I4" s="41"/>
      <c r="J4" s="20">
        <v>-225</v>
      </c>
      <c r="L4" s="44">
        <f t="shared" si="0"/>
        <v>-2.5</v>
      </c>
    </row>
    <row r="5" spans="1:19" x14ac:dyDescent="0.3">
      <c r="H5" s="5" t="s">
        <v>434</v>
      </c>
      <c r="I5" s="41"/>
      <c r="J5" s="20"/>
      <c r="K5" s="11">
        <v>15</v>
      </c>
      <c r="L5" s="44">
        <f t="shared" si="0"/>
        <v>15</v>
      </c>
    </row>
    <row r="6" spans="1:19" x14ac:dyDescent="0.3">
      <c r="H6" s="5" t="s">
        <v>434</v>
      </c>
      <c r="I6" s="41"/>
      <c r="J6" s="20">
        <v>100</v>
      </c>
      <c r="L6" s="44">
        <f t="shared" si="0"/>
        <v>1.1111111111111112</v>
      </c>
    </row>
    <row r="7" spans="1:19" x14ac:dyDescent="0.3">
      <c r="H7" s="5" t="s">
        <v>434</v>
      </c>
      <c r="I7" s="42"/>
      <c r="J7" s="20">
        <v>360</v>
      </c>
      <c r="L7" s="44">
        <f t="shared" si="0"/>
        <v>4</v>
      </c>
    </row>
    <row r="8" spans="1:19" x14ac:dyDescent="0.3">
      <c r="H8" s="5" t="s">
        <v>434</v>
      </c>
      <c r="I8" s="41"/>
      <c r="J8" s="20"/>
      <c r="K8" s="11">
        <v>10</v>
      </c>
      <c r="L8" s="44">
        <f t="shared" si="0"/>
        <v>10</v>
      </c>
    </row>
    <row r="9" spans="1:19" x14ac:dyDescent="0.3">
      <c r="H9" s="2" t="s">
        <v>434</v>
      </c>
      <c r="I9" s="41"/>
      <c r="J9" s="20">
        <v>50</v>
      </c>
      <c r="K9" s="11">
        <v>5</v>
      </c>
      <c r="L9" s="44">
        <f t="shared" si="0"/>
        <v>5.5555555555555554</v>
      </c>
    </row>
    <row r="10" spans="1:19" x14ac:dyDescent="0.3">
      <c r="H10" s="2" t="s">
        <v>434</v>
      </c>
      <c r="I10" s="41" t="s">
        <v>438</v>
      </c>
      <c r="J10" s="20"/>
      <c r="K10" s="11">
        <v>35</v>
      </c>
      <c r="L10" s="44">
        <f t="shared" si="0"/>
        <v>35</v>
      </c>
    </row>
    <row r="11" spans="1:19" x14ac:dyDescent="0.3">
      <c r="I11" s="41"/>
      <c r="J11" s="20"/>
      <c r="L11" s="44">
        <f t="shared" si="0"/>
        <v>0</v>
      </c>
    </row>
    <row r="13" spans="1:19" x14ac:dyDescent="0.3">
      <c r="A13" s="65" t="s">
        <v>29</v>
      </c>
      <c r="B13" s="65"/>
      <c r="C13" s="65"/>
      <c r="D13" s="65"/>
      <c r="E13" s="65"/>
      <c r="F13" s="65"/>
      <c r="I13" s="39" t="s">
        <v>38</v>
      </c>
      <c r="J13" s="7">
        <f>SUM(Table13456781011121314151617181920212223242526[اللبناني])</f>
        <v>-70</v>
      </c>
      <c r="K13" s="7">
        <f>SUM(Table13456781011121314151617181920212223242526[الدولار])</f>
        <v>-86</v>
      </c>
      <c r="L13" s="7">
        <f>SUM(Table13456781011121314151617181920212223242526[مبيع $])</f>
        <v>-86.777777777777771</v>
      </c>
      <c r="N13" s="65" t="s">
        <v>33</v>
      </c>
      <c r="O13" s="65"/>
      <c r="P13" s="65"/>
      <c r="Q13" s="65"/>
      <c r="R13" s="65"/>
      <c r="S13" s="65"/>
    </row>
    <row r="14" spans="1:19" x14ac:dyDescent="0.3">
      <c r="A14" s="1" t="s">
        <v>2</v>
      </c>
      <c r="B14" s="1" t="s">
        <v>0</v>
      </c>
      <c r="C14" s="1" t="s">
        <v>1</v>
      </c>
      <c r="D14" s="1" t="s">
        <v>3</v>
      </c>
      <c r="E14" s="1" t="s">
        <v>0</v>
      </c>
      <c r="F14" s="1" t="s">
        <v>1</v>
      </c>
      <c r="H14" s="2" t="s">
        <v>426</v>
      </c>
      <c r="I14" s="40" t="s">
        <v>6</v>
      </c>
      <c r="J14" s="3" t="s">
        <v>5</v>
      </c>
      <c r="K14" s="12" t="s">
        <v>4</v>
      </c>
      <c r="L14" s="12" t="s">
        <v>415</v>
      </c>
      <c r="M14" s="2"/>
      <c r="N14" s="1" t="s">
        <v>2</v>
      </c>
      <c r="O14" s="1" t="s">
        <v>0</v>
      </c>
      <c r="P14" s="1" t="s">
        <v>1</v>
      </c>
      <c r="Q14" s="1" t="s">
        <v>3</v>
      </c>
      <c r="R14" s="1" t="s">
        <v>0</v>
      </c>
      <c r="S14" s="1" t="s">
        <v>1</v>
      </c>
    </row>
    <row r="15" spans="1:19" x14ac:dyDescent="0.3">
      <c r="A15" s="15">
        <v>1</v>
      </c>
      <c r="C15" s="21">
        <f>A15*B15</f>
        <v>0</v>
      </c>
      <c r="D15" s="17">
        <v>5</v>
      </c>
      <c r="E15" s="2">
        <v>42</v>
      </c>
      <c r="F15" s="23">
        <f>D15*E15</f>
        <v>210</v>
      </c>
      <c r="G15" s="5"/>
      <c r="H15" s="2" t="s">
        <v>434</v>
      </c>
      <c r="I15" s="41" t="s">
        <v>439</v>
      </c>
      <c r="J15" s="20"/>
      <c r="K15" s="11">
        <v>40</v>
      </c>
      <c r="L15" s="44">
        <f>Table13456781011121314151617181920212223242526[[#This Row],[الدولار]]+(Table13456781011121314151617181920212223242526[[#This Row],[اللبناني]]/90)</f>
        <v>40</v>
      </c>
      <c r="N15" s="15">
        <v>1</v>
      </c>
      <c r="P15" s="21">
        <f>N15*O15</f>
        <v>0</v>
      </c>
      <c r="Q15" s="17">
        <v>5</v>
      </c>
      <c r="R15" s="2">
        <v>31</v>
      </c>
      <c r="S15" s="23">
        <f>Q15*R15</f>
        <v>155</v>
      </c>
    </row>
    <row r="16" spans="1:19" x14ac:dyDescent="0.3">
      <c r="A16" s="15">
        <v>5</v>
      </c>
      <c r="B16" s="2">
        <v>5</v>
      </c>
      <c r="C16" s="21">
        <f t="shared" ref="C16:C20" si="1">A16*B16</f>
        <v>25</v>
      </c>
      <c r="D16" s="17">
        <v>10</v>
      </c>
      <c r="E16" s="2">
        <v>24</v>
      </c>
      <c r="F16" s="23">
        <f t="shared" ref="F16:F19" si="2">D16*E16</f>
        <v>240</v>
      </c>
      <c r="G16" s="5"/>
      <c r="H16" s="2" t="s">
        <v>434</v>
      </c>
      <c r="I16" s="41" t="s">
        <v>428</v>
      </c>
      <c r="J16" s="20">
        <v>200</v>
      </c>
      <c r="K16" s="11">
        <v>25</v>
      </c>
      <c r="L16" s="44">
        <f>Table13456781011121314151617181920212223242526[[#This Row],[الدولار]]+(Table13456781011121314151617181920212223242526[[#This Row],[اللبناني]]/90)</f>
        <v>27.222222222222221</v>
      </c>
      <c r="N16" s="15">
        <v>5</v>
      </c>
      <c r="O16" s="2">
        <v>7</v>
      </c>
      <c r="P16" s="21">
        <f t="shared" ref="P16:P20" si="3">N16*O16</f>
        <v>35</v>
      </c>
      <c r="Q16" s="17">
        <v>10</v>
      </c>
      <c r="R16" s="2">
        <v>24</v>
      </c>
      <c r="S16" s="23">
        <f t="shared" ref="S16:S19" si="4">Q16*R16</f>
        <v>240</v>
      </c>
    </row>
    <row r="17" spans="1:19" x14ac:dyDescent="0.3">
      <c r="A17" s="15">
        <v>10</v>
      </c>
      <c r="B17" s="2">
        <v>55</v>
      </c>
      <c r="C17" s="21">
        <f t="shared" si="1"/>
        <v>550</v>
      </c>
      <c r="D17" s="17">
        <v>20</v>
      </c>
      <c r="E17" s="2">
        <v>2</v>
      </c>
      <c r="F17" s="23">
        <f t="shared" si="2"/>
        <v>40</v>
      </c>
      <c r="G17" s="5"/>
      <c r="H17" s="2" t="s">
        <v>434</v>
      </c>
      <c r="I17" s="41" t="s">
        <v>223</v>
      </c>
      <c r="J17" s="20">
        <v>200</v>
      </c>
      <c r="L17" s="44">
        <f>Table13456781011121314151617181920212223242526[[#This Row],[الدولار]]+(Table13456781011121314151617181920212223242526[[#This Row],[اللبناني]]/90)</f>
        <v>2.2222222222222223</v>
      </c>
      <c r="N17" s="15">
        <v>10</v>
      </c>
      <c r="O17" s="2">
        <v>56</v>
      </c>
      <c r="P17" s="21">
        <f t="shared" si="3"/>
        <v>560</v>
      </c>
      <c r="Q17" s="17">
        <v>20</v>
      </c>
      <c r="R17" s="2">
        <v>3</v>
      </c>
      <c r="S17" s="23">
        <f t="shared" si="4"/>
        <v>60</v>
      </c>
    </row>
    <row r="18" spans="1:19" x14ac:dyDescent="0.3">
      <c r="A18" s="15">
        <v>20</v>
      </c>
      <c r="B18" s="2">
        <v>16</v>
      </c>
      <c r="C18" s="21">
        <f t="shared" si="1"/>
        <v>320</v>
      </c>
      <c r="D18" s="17">
        <v>50</v>
      </c>
      <c r="E18" s="2">
        <v>5</v>
      </c>
      <c r="F18" s="23">
        <f t="shared" si="2"/>
        <v>250</v>
      </c>
      <c r="G18" s="5"/>
      <c r="H18" s="2" t="s">
        <v>434</v>
      </c>
      <c r="I18" s="41" t="s">
        <v>440</v>
      </c>
      <c r="J18" s="20"/>
      <c r="K18" s="11">
        <v>67</v>
      </c>
      <c r="L18" s="44">
        <f>Table13456781011121314151617181920212223242526[[#This Row],[الدولار]]+(Table13456781011121314151617181920212223242526[[#This Row],[اللبناني]]/90)</f>
        <v>67</v>
      </c>
      <c r="N18" s="15">
        <v>20</v>
      </c>
      <c r="O18" s="2">
        <v>23</v>
      </c>
      <c r="P18" s="21">
        <f t="shared" si="3"/>
        <v>460</v>
      </c>
      <c r="Q18" s="17">
        <v>50</v>
      </c>
      <c r="R18" s="2">
        <v>2</v>
      </c>
      <c r="S18" s="23">
        <f t="shared" si="4"/>
        <v>100</v>
      </c>
    </row>
    <row r="19" spans="1:19" x14ac:dyDescent="0.3">
      <c r="A19" s="15">
        <v>50</v>
      </c>
      <c r="B19" s="2">
        <v>3</v>
      </c>
      <c r="C19" s="21">
        <f t="shared" si="1"/>
        <v>150</v>
      </c>
      <c r="D19" s="17">
        <v>100</v>
      </c>
      <c r="E19" s="2">
        <v>15</v>
      </c>
      <c r="F19" s="23">
        <f t="shared" si="2"/>
        <v>1500</v>
      </c>
      <c r="G19" s="5"/>
      <c r="H19" s="2" t="s">
        <v>436</v>
      </c>
      <c r="I19" s="42" t="s">
        <v>22</v>
      </c>
      <c r="J19" s="20"/>
      <c r="K19" s="11">
        <v>10</v>
      </c>
      <c r="L19" s="44">
        <f>Table13456781011121314151617181920212223242526[[#This Row],[الدولار]]+(Table13456781011121314151617181920212223242526[[#This Row],[اللبناني]]/90)</f>
        <v>10</v>
      </c>
      <c r="N19" s="15">
        <v>50</v>
      </c>
      <c r="O19" s="2">
        <v>6</v>
      </c>
      <c r="P19" s="21">
        <f t="shared" si="3"/>
        <v>300</v>
      </c>
      <c r="Q19" s="17">
        <v>100</v>
      </c>
      <c r="R19" s="2">
        <v>31</v>
      </c>
      <c r="S19" s="23">
        <f t="shared" si="4"/>
        <v>3100</v>
      </c>
    </row>
    <row r="20" spans="1:19" x14ac:dyDescent="0.3">
      <c r="A20" s="15">
        <v>100</v>
      </c>
      <c r="B20" s="2">
        <v>1</v>
      </c>
      <c r="C20" s="21">
        <f t="shared" si="1"/>
        <v>100</v>
      </c>
      <c r="D20" s="1" t="s">
        <v>1</v>
      </c>
      <c r="E20" s="1"/>
      <c r="F20" s="19">
        <f>SUM(F15:F19)</f>
        <v>2240</v>
      </c>
      <c r="G20" s="5"/>
      <c r="H20" s="2" t="s">
        <v>435</v>
      </c>
      <c r="I20" s="41" t="s">
        <v>441</v>
      </c>
      <c r="J20" s="20"/>
      <c r="K20" s="11">
        <v>-10</v>
      </c>
      <c r="L20" s="44">
        <f>Table13456781011121314151617181920212223242526[[#This Row],[الدولار]]+(Table13456781011121314151617181920212223242526[[#This Row],[اللبناني]]/90)</f>
        <v>-10</v>
      </c>
      <c r="N20" s="15">
        <v>100</v>
      </c>
      <c r="O20" s="2">
        <v>3</v>
      </c>
      <c r="P20" s="21">
        <f t="shared" si="3"/>
        <v>300</v>
      </c>
      <c r="Q20" s="1" t="s">
        <v>1</v>
      </c>
      <c r="R20" s="1"/>
      <c r="S20" s="19">
        <f>SUM(S15:S19)</f>
        <v>3655</v>
      </c>
    </row>
    <row r="21" spans="1:19" x14ac:dyDescent="0.3">
      <c r="A21" s="1" t="s">
        <v>1</v>
      </c>
      <c r="B21" s="1"/>
      <c r="C21" s="22">
        <f>SUM(C15:C20)</f>
        <v>1145</v>
      </c>
      <c r="H21" s="2" t="s">
        <v>434</v>
      </c>
      <c r="I21" s="41" t="s">
        <v>419</v>
      </c>
      <c r="J21" s="20"/>
      <c r="K21" s="11">
        <v>3</v>
      </c>
      <c r="L21" s="44">
        <f>Table13456781011121314151617181920212223242526[[#This Row],[الدولار]]+(Table13456781011121314151617181920212223242526[[#This Row],[اللبناني]]/90)</f>
        <v>3</v>
      </c>
      <c r="N21" s="1" t="s">
        <v>1</v>
      </c>
      <c r="O21" s="1"/>
      <c r="P21" s="22">
        <f>SUM(P15:P20)</f>
        <v>1655</v>
      </c>
      <c r="S21" s="20"/>
    </row>
    <row r="22" spans="1:19" x14ac:dyDescent="0.3">
      <c r="H22" s="2" t="s">
        <v>434</v>
      </c>
      <c r="I22" s="41" t="s">
        <v>135</v>
      </c>
      <c r="J22" s="20">
        <v>270</v>
      </c>
      <c r="L22" s="44">
        <f>Table13456781011121314151617181920212223242526[[#This Row],[الدولار]]+(Table13456781011121314151617181920212223242526[[#This Row],[اللبناني]]/90)</f>
        <v>3</v>
      </c>
      <c r="P22" s="27"/>
      <c r="Q22" s="66" t="s">
        <v>40</v>
      </c>
      <c r="R22" s="66"/>
      <c r="S22" s="24">
        <f>SUM(Table13456781011121314151617181920212223242526[اللبناني])</f>
        <v>-70</v>
      </c>
    </row>
    <row r="23" spans="1:19" x14ac:dyDescent="0.3">
      <c r="H23" s="2" t="s">
        <v>434</v>
      </c>
      <c r="I23" s="41" t="s">
        <v>442</v>
      </c>
      <c r="J23" s="20">
        <v>-180</v>
      </c>
      <c r="K23" s="11">
        <v>20</v>
      </c>
      <c r="L23" s="44">
        <f>Table13456781011121314151617181920212223242526[[#This Row],[الدولار]]+(Table13456781011121314151617181920212223242526[[#This Row],[اللبناني]]/90)</f>
        <v>18</v>
      </c>
      <c r="N23" s="66" t="s">
        <v>39</v>
      </c>
      <c r="O23" s="66"/>
      <c r="P23" s="12">
        <f>SUM(Table13456781011121314151617181920212223242526[الدولار])</f>
        <v>-86</v>
      </c>
      <c r="S23" s="20"/>
    </row>
    <row r="24" spans="1:19" x14ac:dyDescent="0.3">
      <c r="H24" s="2" t="s">
        <v>434</v>
      </c>
      <c r="I24" s="41" t="s">
        <v>443</v>
      </c>
      <c r="J24" s="20">
        <v>-180</v>
      </c>
      <c r="K24" s="11">
        <v>50</v>
      </c>
      <c r="L24" s="44">
        <f>Table13456781011121314151617181920212223242526[[#This Row],[الدولار]]+(Table13456781011121314151617181920212223242526[[#This Row],[اللبناني]]/90)</f>
        <v>48</v>
      </c>
      <c r="P24" s="27"/>
      <c r="Q24" s="1" t="s">
        <v>27</v>
      </c>
      <c r="R24" s="1"/>
      <c r="S24" s="24">
        <f>S20-S22-F20</f>
        <v>1485</v>
      </c>
    </row>
    <row r="25" spans="1:19" x14ac:dyDescent="0.3">
      <c r="C25" s="14"/>
      <c r="D25" s="14"/>
      <c r="F25" s="14"/>
      <c r="H25" s="2" t="s">
        <v>434</v>
      </c>
      <c r="I25" s="41" t="s">
        <v>444</v>
      </c>
      <c r="J25" s="20">
        <v>-300</v>
      </c>
      <c r="K25" s="11">
        <v>10</v>
      </c>
      <c r="L25" s="44">
        <f>Table13456781011121314151617181920212223242526[[#This Row],[الدولار]]+(Table13456781011121314151617181920212223242526[[#This Row],[اللبناني]]/90)</f>
        <v>6.6666666666666661</v>
      </c>
      <c r="N25" s="1" t="s">
        <v>27</v>
      </c>
      <c r="O25" s="1"/>
      <c r="P25" s="12">
        <f>P21-P23-C21</f>
        <v>596</v>
      </c>
    </row>
    <row r="26" spans="1:19" x14ac:dyDescent="0.3">
      <c r="C26" s="14"/>
      <c r="D26" s="14"/>
      <c r="F26" s="14"/>
      <c r="H26" s="2" t="s">
        <v>434</v>
      </c>
      <c r="I26" s="43" t="s">
        <v>445</v>
      </c>
      <c r="J26" s="18">
        <v>25</v>
      </c>
      <c r="L26" s="44">
        <f>Table13456781011121314151617181920212223242526[[#This Row],[الدولار]]+(Table13456781011121314151617181920212223242526[[#This Row],[اللبناني]]/90)</f>
        <v>0.27777777777777779</v>
      </c>
    </row>
    <row r="27" spans="1:19" x14ac:dyDescent="0.3">
      <c r="C27" s="14"/>
      <c r="D27" s="14"/>
      <c r="F27" s="14"/>
      <c r="H27" s="2" t="s">
        <v>434</v>
      </c>
      <c r="I27" s="43" t="s">
        <v>447</v>
      </c>
      <c r="J27" s="18">
        <v>400</v>
      </c>
      <c r="K27" s="11">
        <v>50</v>
      </c>
      <c r="L27" s="44">
        <f>Table13456781011121314151617181920212223242526[[#This Row],[الدولار]]+(Table13456781011121314151617181920212223242526[[#This Row],[اللبناني]]/90)</f>
        <v>54.444444444444443</v>
      </c>
    </row>
    <row r="28" spans="1:19" x14ac:dyDescent="0.3">
      <c r="C28" s="14"/>
      <c r="D28" s="14"/>
      <c r="F28" s="14"/>
      <c r="H28" s="2" t="s">
        <v>434</v>
      </c>
      <c r="I28" s="41" t="s">
        <v>448</v>
      </c>
      <c r="J28" s="18"/>
      <c r="K28" s="11">
        <v>65</v>
      </c>
      <c r="L28" s="44">
        <f>Table13456781011121314151617181920212223242526[[#This Row],[الدولار]]+(Table13456781011121314151617181920212223242526[[#This Row],[اللبناني]]/90)</f>
        <v>65</v>
      </c>
    </row>
    <row r="29" spans="1:19" s="11" customFormat="1" x14ac:dyDescent="0.3">
      <c r="C29" s="14"/>
      <c r="D29" s="14"/>
      <c r="E29" s="2"/>
      <c r="F29" s="14"/>
      <c r="G29" s="2"/>
      <c r="H29" s="2" t="s">
        <v>434</v>
      </c>
      <c r="I29" s="43" t="s">
        <v>438</v>
      </c>
      <c r="J29" s="20"/>
      <c r="K29" s="11">
        <v>57</v>
      </c>
      <c r="L29" s="44">
        <f>Table13456781011121314151617181920212223242526[[#This Row],[الدولار]]+(Table13456781011121314151617181920212223242526[[#This Row],[اللبناني]]/90)</f>
        <v>57</v>
      </c>
      <c r="M29" s="6"/>
    </row>
    <row r="30" spans="1:19" s="11" customFormat="1" x14ac:dyDescent="0.3">
      <c r="C30" s="14"/>
      <c r="D30" s="2"/>
      <c r="E30" s="2"/>
      <c r="F30" s="14"/>
      <c r="G30" s="2"/>
      <c r="H30" s="2" t="s">
        <v>434</v>
      </c>
      <c r="I30" s="43" t="s">
        <v>438</v>
      </c>
      <c r="J30" s="20"/>
      <c r="K30" s="11">
        <v>55</v>
      </c>
      <c r="L30" s="44">
        <f>Table13456781011121314151617181920212223242526[[#This Row],[الدولار]]+(Table13456781011121314151617181920212223242526[[#This Row],[اللبناني]]/90)</f>
        <v>55</v>
      </c>
      <c r="M30" s="6"/>
    </row>
    <row r="31" spans="1:19" s="11" customFormat="1" x14ac:dyDescent="0.3">
      <c r="C31" s="14"/>
      <c r="D31" s="2"/>
      <c r="E31" s="2"/>
      <c r="F31" s="2"/>
      <c r="G31" s="2"/>
      <c r="H31" s="2" t="s">
        <v>436</v>
      </c>
      <c r="I31" s="43" t="s">
        <v>449</v>
      </c>
      <c r="J31" s="20"/>
      <c r="K31" s="11">
        <v>-112</v>
      </c>
      <c r="L31" s="44">
        <f>Table13456781011121314151617181920212223242526[[#This Row],[الدولار]]+(Table13456781011121314151617181920212223242526[[#This Row],[اللبناني]]/90)</f>
        <v>-112</v>
      </c>
      <c r="M31" s="6"/>
    </row>
    <row r="32" spans="1:19" s="11" customFormat="1" x14ac:dyDescent="0.3">
      <c r="C32" s="2"/>
      <c r="D32" s="2"/>
      <c r="E32" s="2"/>
      <c r="F32" s="6"/>
      <c r="G32" s="2"/>
      <c r="H32" s="2" t="s">
        <v>434</v>
      </c>
      <c r="I32" s="41" t="s">
        <v>450</v>
      </c>
      <c r="J32" s="20"/>
      <c r="K32" s="11">
        <v>80</v>
      </c>
      <c r="L32" s="44">
        <f>Table13456781011121314151617181920212223242526[[#This Row],[الدولار]]+(Table13456781011121314151617181920212223242526[[#This Row],[اللبناني]]/90)</f>
        <v>80</v>
      </c>
      <c r="M32" s="6"/>
    </row>
    <row r="33" spans="3:13" s="11" customFormat="1" x14ac:dyDescent="0.3">
      <c r="C33" s="6"/>
      <c r="D33" s="2"/>
      <c r="E33" s="2"/>
      <c r="F33" s="2"/>
      <c r="G33" s="2"/>
      <c r="H33" s="2" t="s">
        <v>434</v>
      </c>
      <c r="I33" s="41" t="s">
        <v>451</v>
      </c>
      <c r="J33" s="20">
        <v>400</v>
      </c>
      <c r="K33" s="11">
        <v>20</v>
      </c>
      <c r="L33" s="44">
        <f>Table13456781011121314151617181920212223242526[[#This Row],[الدولار]]+(Table13456781011121314151617181920212223242526[[#This Row],[اللبناني]]/90)</f>
        <v>24.444444444444443</v>
      </c>
      <c r="M33" s="6"/>
    </row>
    <row r="34" spans="3:13" s="11" customFormat="1" x14ac:dyDescent="0.3">
      <c r="C34" s="2"/>
      <c r="D34" s="2"/>
      <c r="E34" s="2"/>
      <c r="F34" s="6"/>
      <c r="G34" s="2"/>
      <c r="H34" s="2" t="s">
        <v>434</v>
      </c>
      <c r="I34" s="41" t="s">
        <v>452</v>
      </c>
      <c r="J34" s="20">
        <v>-180</v>
      </c>
      <c r="K34" s="11">
        <v>15</v>
      </c>
      <c r="L34" s="44">
        <f>Table13456781011121314151617181920212223242526[[#This Row],[الدولار]]+(Table13456781011121314151617181920212223242526[[#This Row],[اللبناني]]/90)</f>
        <v>13</v>
      </c>
      <c r="M34" s="6"/>
    </row>
    <row r="35" spans="3:13" s="11" customFormat="1" x14ac:dyDescent="0.3">
      <c r="C35" s="6"/>
      <c r="D35" s="2"/>
      <c r="E35" s="2"/>
      <c r="F35" s="2"/>
      <c r="G35" s="2"/>
      <c r="H35" s="2" t="s">
        <v>434</v>
      </c>
      <c r="I35" s="41" t="s">
        <v>386</v>
      </c>
      <c r="J35" s="20">
        <v>150</v>
      </c>
      <c r="L35" s="44">
        <f>Table13456781011121314151617181920212223242526[[#This Row],[الدولار]]+(Table13456781011121314151617181920212223242526[[#This Row],[اللبناني]]/90)</f>
        <v>1.6666666666666667</v>
      </c>
      <c r="M35" s="6"/>
    </row>
    <row r="36" spans="3:13" s="11" customFormat="1" x14ac:dyDescent="0.3">
      <c r="C36" s="2"/>
      <c r="D36" s="2"/>
      <c r="E36" s="2"/>
      <c r="F36" s="2"/>
      <c r="G36" s="2"/>
      <c r="H36" s="2" t="s">
        <v>434</v>
      </c>
      <c r="I36" s="41" t="s">
        <v>453</v>
      </c>
      <c r="J36" s="20"/>
      <c r="K36" s="11">
        <v>10</v>
      </c>
      <c r="L36" s="44">
        <f>Table13456781011121314151617181920212223242526[[#This Row],[الدولار]]+(Table13456781011121314151617181920212223242526[[#This Row],[اللبناني]]/90)</f>
        <v>10</v>
      </c>
      <c r="M36" s="6"/>
    </row>
    <row r="37" spans="3:13" s="11" customFormat="1" x14ac:dyDescent="0.3">
      <c r="C37" s="2"/>
      <c r="D37" s="2"/>
      <c r="E37" s="2"/>
      <c r="F37" s="2"/>
      <c r="G37" s="2"/>
      <c r="H37" s="2" t="s">
        <v>434</v>
      </c>
      <c r="I37" s="41" t="s">
        <v>333</v>
      </c>
      <c r="J37" s="20">
        <v>170</v>
      </c>
      <c r="L37" s="44">
        <f>Table13456781011121314151617181920212223242526[[#This Row],[الدولار]]+(Table13456781011121314151617181920212223242526[[#This Row],[اللبناني]]/90)</f>
        <v>1.8888888888888888</v>
      </c>
      <c r="M37" s="6"/>
    </row>
    <row r="38" spans="3:13" s="11" customFormat="1" x14ac:dyDescent="0.3">
      <c r="C38" s="2"/>
      <c r="D38" s="2"/>
      <c r="E38" s="2"/>
      <c r="F38" s="2"/>
      <c r="G38" s="2"/>
      <c r="H38" s="2" t="s">
        <v>434</v>
      </c>
      <c r="I38" s="41" t="s">
        <v>454</v>
      </c>
      <c r="J38" s="20">
        <v>-400</v>
      </c>
      <c r="K38" s="11">
        <v>10</v>
      </c>
      <c r="L38" s="44">
        <f>Table13456781011121314151617181920212223242526[[#This Row],[الدولار]]+(Table13456781011121314151617181920212223242526[[#This Row],[اللبناني]]/90)</f>
        <v>5.5555555555555554</v>
      </c>
      <c r="M38" s="6"/>
    </row>
    <row r="39" spans="3:13" s="11" customFormat="1" x14ac:dyDescent="0.3">
      <c r="C39" s="2"/>
      <c r="D39" s="2"/>
      <c r="E39" s="2"/>
      <c r="F39" s="2"/>
      <c r="G39" s="2"/>
      <c r="H39" s="2" t="s">
        <v>434</v>
      </c>
      <c r="I39" s="41" t="s">
        <v>384</v>
      </c>
      <c r="J39" s="18">
        <v>-90</v>
      </c>
      <c r="K39" s="11">
        <v>5</v>
      </c>
      <c r="L39" s="44">
        <f>Table13456781011121314151617181920212223242526[[#This Row],[الدولار]]+(Table13456781011121314151617181920212223242526[[#This Row],[اللبناني]]/90)</f>
        <v>4</v>
      </c>
      <c r="M39" s="6"/>
    </row>
    <row r="40" spans="3:13" s="11" customFormat="1" x14ac:dyDescent="0.3">
      <c r="C40" s="2"/>
      <c r="D40" s="2"/>
      <c r="E40" s="2"/>
      <c r="F40" s="2"/>
      <c r="G40" s="2"/>
      <c r="H40" s="2" t="s">
        <v>435</v>
      </c>
      <c r="I40" s="39"/>
      <c r="J40" s="18">
        <v>-600</v>
      </c>
      <c r="L40" s="44">
        <f>Table13456781011121314151617181920212223242526[[#This Row],[الدولار]]+(Table13456781011121314151617181920212223242526[[#This Row],[اللبناني]]/90)</f>
        <v>-6.666666666666667</v>
      </c>
      <c r="M40" s="6"/>
    </row>
    <row r="41" spans="3:13" s="11" customFormat="1" x14ac:dyDescent="0.3">
      <c r="C41" s="2"/>
      <c r="D41" s="2"/>
      <c r="E41" s="2"/>
      <c r="F41" s="2"/>
      <c r="G41" s="2"/>
      <c r="H41" s="2" t="s">
        <v>434</v>
      </c>
      <c r="I41" s="39" t="s">
        <v>455</v>
      </c>
      <c r="J41" s="18">
        <v>900</v>
      </c>
      <c r="L41" s="44">
        <f>Table13456781011121314151617181920212223242526[[#This Row],[الدولار]]+(Table13456781011121314151617181920212223242526[[#This Row],[اللبناني]]/90)</f>
        <v>10</v>
      </c>
      <c r="M41" s="6"/>
    </row>
    <row r="42" spans="3:13" s="11" customFormat="1" x14ac:dyDescent="0.3">
      <c r="C42" s="2"/>
      <c r="D42" s="2"/>
      <c r="E42" s="2"/>
      <c r="F42" s="2"/>
      <c r="G42" s="2"/>
      <c r="H42" s="2" t="s">
        <v>434</v>
      </c>
      <c r="I42" s="39"/>
      <c r="J42" s="18">
        <v>350</v>
      </c>
      <c r="K42" s="11">
        <v>20</v>
      </c>
      <c r="L42" s="44">
        <f>Table13456781011121314151617181920212223242526[[#This Row],[الدولار]]+(Table13456781011121314151617181920212223242526[[#This Row],[اللبناني]]/90)</f>
        <v>23.888888888888889</v>
      </c>
      <c r="M42" s="6"/>
    </row>
    <row r="43" spans="3:13" s="11" customFormat="1" x14ac:dyDescent="0.3">
      <c r="C43" s="2"/>
      <c r="D43" s="2"/>
      <c r="E43" s="2"/>
      <c r="F43" s="2"/>
      <c r="G43" s="2"/>
      <c r="H43" s="2" t="s">
        <v>434</v>
      </c>
      <c r="I43" s="39"/>
      <c r="J43" s="18">
        <v>60</v>
      </c>
      <c r="L43" s="44">
        <f>Table13456781011121314151617181920212223242526[[#This Row],[الدولار]]+(Table13456781011121314151617181920212223242526[[#This Row],[اللبناني]]/90)</f>
        <v>0.66666666666666663</v>
      </c>
      <c r="M43" s="6"/>
    </row>
    <row r="44" spans="3:13" s="11" customFormat="1" x14ac:dyDescent="0.3">
      <c r="C44" s="2"/>
      <c r="D44" s="2"/>
      <c r="E44" s="2"/>
      <c r="F44" s="2"/>
      <c r="G44" s="2"/>
      <c r="H44" s="2" t="s">
        <v>434</v>
      </c>
      <c r="I44" s="39" t="s">
        <v>240</v>
      </c>
      <c r="J44" s="18"/>
      <c r="K44" s="11">
        <v>10</v>
      </c>
      <c r="L44" s="44">
        <f>Table13456781011121314151617181920212223242526[[#This Row],[الدولار]]+(Table13456781011121314151617181920212223242526[[#This Row],[اللبناني]]/90)</f>
        <v>10</v>
      </c>
      <c r="M44" s="6"/>
    </row>
    <row r="45" spans="3:13" s="11" customFormat="1" x14ac:dyDescent="0.3">
      <c r="H45" s="2" t="s">
        <v>434</v>
      </c>
      <c r="I45" s="39" t="s">
        <v>456</v>
      </c>
      <c r="J45" s="18">
        <v>50</v>
      </c>
      <c r="L45" s="44">
        <f>Table13456781011121314151617181920212223242526[[#This Row],[الدولار]]+(Table13456781011121314151617181920212223242526[[#This Row],[اللبناني]]/90)</f>
        <v>0.55555555555555558</v>
      </c>
      <c r="M45" s="6"/>
    </row>
    <row r="46" spans="3:13" s="11" customFormat="1" x14ac:dyDescent="0.3">
      <c r="H46" s="2" t="s">
        <v>434</v>
      </c>
      <c r="I46" s="39"/>
      <c r="J46" s="18"/>
      <c r="K46" s="11">
        <v>15</v>
      </c>
      <c r="L46" s="44">
        <f>Table13456781011121314151617181920212223242526[[#This Row],[الدولار]]+(Table13456781011121314151617181920212223242526[[#This Row],[اللبناني]]/90)</f>
        <v>15</v>
      </c>
      <c r="M46" s="6"/>
    </row>
    <row r="47" spans="3:13" s="11" customFormat="1" x14ac:dyDescent="0.3">
      <c r="H47" s="2" t="s">
        <v>434</v>
      </c>
      <c r="I47" s="39"/>
      <c r="J47" s="18">
        <v>500</v>
      </c>
      <c r="L47" s="44">
        <f>Table13456781011121314151617181920212223242526[[#This Row],[الدولار]]+(Table13456781011121314151617181920212223242526[[#This Row],[اللبناني]]/90)</f>
        <v>5.5555555555555554</v>
      </c>
      <c r="M47" s="6"/>
    </row>
    <row r="48" spans="3:13" s="11" customFormat="1" x14ac:dyDescent="0.3">
      <c r="H48" s="2" t="s">
        <v>434</v>
      </c>
      <c r="I48" s="39"/>
      <c r="J48" s="18"/>
      <c r="K48" s="11">
        <v>5</v>
      </c>
      <c r="L48" s="44">
        <f>Table13456781011121314151617181920212223242526[[#This Row],[الدولار]]+(Table13456781011121314151617181920212223242526[[#This Row],[اللبناني]]/90)</f>
        <v>5</v>
      </c>
      <c r="M48" s="6"/>
    </row>
    <row r="49" spans="8:14" s="11" customFormat="1" x14ac:dyDescent="0.3">
      <c r="H49" s="2" t="s">
        <v>434</v>
      </c>
      <c r="I49" s="39"/>
      <c r="J49" s="18"/>
      <c r="K49" s="11">
        <v>5</v>
      </c>
      <c r="L49" s="44">
        <f>Table13456781011121314151617181920212223242526[[#This Row],[الدولار]]+(Table13456781011121314151617181920212223242526[[#This Row],[اللبناني]]/90)</f>
        <v>5</v>
      </c>
      <c r="M49" s="6"/>
    </row>
    <row r="50" spans="8:14" s="11" customFormat="1" x14ac:dyDescent="0.3">
      <c r="H50" s="2" t="s">
        <v>434</v>
      </c>
      <c r="I50" s="39"/>
      <c r="J50" s="18">
        <v>-360</v>
      </c>
      <c r="L50" s="44">
        <f>Table13456781011121314151617181920212223242526[[#This Row],[الدولار]]+(Table13456781011121314151617181920212223242526[[#This Row],[اللبناني]]/90)</f>
        <v>-4</v>
      </c>
      <c r="M50" s="6"/>
    </row>
    <row r="51" spans="8:14" s="11" customFormat="1" x14ac:dyDescent="0.3">
      <c r="H51" s="2" t="s">
        <v>434</v>
      </c>
      <c r="I51" s="39"/>
      <c r="J51" s="18">
        <v>150</v>
      </c>
      <c r="L51" s="44">
        <f>Table13456781011121314151617181920212223242526[[#This Row],[الدولار]]+(Table13456781011121314151617181920212223242526[[#This Row],[اللبناني]]/90)</f>
        <v>1.6666666666666667</v>
      </c>
      <c r="M51" s="6"/>
    </row>
    <row r="52" spans="8:14" s="11" customFormat="1" x14ac:dyDescent="0.3">
      <c r="H52" s="2" t="s">
        <v>434</v>
      </c>
      <c r="I52" s="39" t="s">
        <v>220</v>
      </c>
      <c r="J52" s="18">
        <v>-120</v>
      </c>
      <c r="K52" s="11">
        <v>-15</v>
      </c>
      <c r="L52" s="44">
        <f>Table13456781011121314151617181920212223242526[[#This Row],[الدولار]]+(Table13456781011121314151617181920212223242526[[#This Row],[اللبناني]]/90)</f>
        <v>-16.333333333333332</v>
      </c>
      <c r="M52" s="6"/>
      <c r="N52" s="11" t="s">
        <v>193</v>
      </c>
    </row>
    <row r="53" spans="8:14" s="11" customFormat="1" x14ac:dyDescent="0.3">
      <c r="H53" s="2" t="s">
        <v>434</v>
      </c>
      <c r="I53" s="39" t="s">
        <v>457</v>
      </c>
      <c r="J53" s="18"/>
      <c r="K53" s="11">
        <v>500</v>
      </c>
      <c r="L53" s="44">
        <f>Table13456781011121314151617181920212223242526[[#This Row],[الدولار]]+(Table13456781011121314151617181920212223242526[[#This Row],[اللبناني]]/90)</f>
        <v>500</v>
      </c>
      <c r="M53" s="6"/>
    </row>
    <row r="54" spans="8:14" s="11" customFormat="1" x14ac:dyDescent="0.3">
      <c r="H54" s="2" t="s">
        <v>434</v>
      </c>
      <c r="I54" s="39" t="s">
        <v>320</v>
      </c>
      <c r="J54" s="18">
        <v>140</v>
      </c>
      <c r="K54" s="11">
        <v>1</v>
      </c>
      <c r="L54" s="44">
        <f>Table13456781011121314151617181920212223242526[[#This Row],[الدولار]]+(Table13456781011121314151617181920212223242526[[#This Row],[اللبناني]]/90)</f>
        <v>2.5555555555555554</v>
      </c>
      <c r="M54" s="6"/>
    </row>
    <row r="55" spans="8:14" s="11" customFormat="1" x14ac:dyDescent="0.3">
      <c r="H55" s="2" t="s">
        <v>434</v>
      </c>
      <c r="I55" s="39" t="s">
        <v>24</v>
      </c>
      <c r="J55" s="18">
        <v>-300</v>
      </c>
      <c r="K55" s="11">
        <v>10</v>
      </c>
      <c r="L55" s="44">
        <f>Table13456781011121314151617181920212223242526[[#This Row],[الدولار]]+(Table13456781011121314151617181920212223242526[[#This Row],[اللبناني]]/90)</f>
        <v>6.6666666666666661</v>
      </c>
      <c r="M55" s="6"/>
    </row>
    <row r="56" spans="8:14" s="11" customFormat="1" x14ac:dyDescent="0.3">
      <c r="H56" s="2" t="s">
        <v>434</v>
      </c>
      <c r="I56" s="39"/>
      <c r="J56" s="18">
        <v>300</v>
      </c>
      <c r="L56" s="44">
        <f>Table13456781011121314151617181920212223242526[[#This Row],[الدولار]]+(Table13456781011121314151617181920212223242526[[#This Row],[اللبناني]]/90)</f>
        <v>3.3333333333333335</v>
      </c>
      <c r="M56" s="6"/>
    </row>
    <row r="57" spans="8:14" s="11" customFormat="1" x14ac:dyDescent="0.3">
      <c r="H57" s="2" t="s">
        <v>435</v>
      </c>
      <c r="I57" s="39"/>
      <c r="J57" s="18">
        <v>-2000</v>
      </c>
      <c r="L57" s="44">
        <f>Table13456781011121314151617181920212223242526[[#This Row],[الدولار]]+(Table13456781011121314151617181920212223242526[[#This Row],[اللبناني]]/90)</f>
        <v>-22.222222222222221</v>
      </c>
      <c r="M57" s="6"/>
    </row>
    <row r="58" spans="8:14" s="11" customFormat="1" x14ac:dyDescent="0.3">
      <c r="H58" s="2" t="s">
        <v>435</v>
      </c>
      <c r="I58" s="39"/>
      <c r="J58" s="18">
        <v>-300</v>
      </c>
      <c r="L58" s="44">
        <f>Table13456781011121314151617181920212223242526[[#This Row],[الدولار]]+(Table13456781011121314151617181920212223242526[[#This Row],[اللبناني]]/90)</f>
        <v>-3.3333333333333335</v>
      </c>
      <c r="M58" s="6"/>
    </row>
    <row r="59" spans="8:14" s="11" customFormat="1" x14ac:dyDescent="0.3">
      <c r="H59" s="2" t="s">
        <v>434</v>
      </c>
      <c r="I59" s="39"/>
      <c r="J59" s="18">
        <v>-300</v>
      </c>
      <c r="K59" s="11">
        <v>5</v>
      </c>
      <c r="L59" s="44">
        <f>Table13456781011121314151617181920212223242526[[#This Row],[الدولار]]+(Table13456781011121314151617181920212223242526[[#This Row],[اللبناني]]/90)</f>
        <v>1.6666666666666665</v>
      </c>
      <c r="M59" s="6"/>
    </row>
    <row r="60" spans="8:14" s="11" customFormat="1" x14ac:dyDescent="0.3">
      <c r="H60" s="2" t="s">
        <v>434</v>
      </c>
      <c r="I60" s="39"/>
      <c r="J60" s="18"/>
      <c r="K60" s="11">
        <v>5</v>
      </c>
      <c r="L60" s="44">
        <f>Table13456781011121314151617181920212223242526[[#This Row],[الدولار]]+(Table13456781011121314151617181920212223242526[[#This Row],[اللبناني]]/90)</f>
        <v>5</v>
      </c>
      <c r="M60" s="6"/>
    </row>
    <row r="61" spans="8:14" s="11" customFormat="1" x14ac:dyDescent="0.3">
      <c r="H61" s="2" t="s">
        <v>434</v>
      </c>
      <c r="I61" s="39"/>
      <c r="J61" s="18">
        <v>60</v>
      </c>
      <c r="L61" s="44">
        <f>Table13456781011121314151617181920212223242526[[#This Row],[الدولار]]+(Table13456781011121314151617181920212223242526[[#This Row],[اللبناني]]/90)</f>
        <v>0.66666666666666663</v>
      </c>
      <c r="M61" s="6"/>
    </row>
    <row r="62" spans="8:14" s="11" customFormat="1" x14ac:dyDescent="0.3">
      <c r="H62" s="2" t="s">
        <v>434</v>
      </c>
      <c r="I62" s="39"/>
      <c r="J62" s="18">
        <v>-150</v>
      </c>
      <c r="K62" s="11">
        <v>20</v>
      </c>
      <c r="L62" s="44">
        <f>Table13456781011121314151617181920212223242526[[#This Row],[الدولار]]+(Table13456781011121314151617181920212223242526[[#This Row],[اللبناني]]/90)</f>
        <v>18.333333333333332</v>
      </c>
      <c r="M62" s="6"/>
    </row>
    <row r="63" spans="8:14" s="11" customFormat="1" x14ac:dyDescent="0.3">
      <c r="H63" s="2" t="s">
        <v>434</v>
      </c>
      <c r="I63" s="39"/>
      <c r="J63" s="18"/>
      <c r="K63" s="11">
        <v>30</v>
      </c>
      <c r="L63" s="44">
        <f>Table13456781011121314151617181920212223242526[[#This Row],[الدولار]]+(Table13456781011121314151617181920212223242526[[#This Row],[اللبناني]]/90)</f>
        <v>30</v>
      </c>
      <c r="M63" s="6"/>
    </row>
    <row r="64" spans="8:14" s="11" customFormat="1" x14ac:dyDescent="0.3">
      <c r="H64" s="2" t="s">
        <v>434</v>
      </c>
      <c r="I64" s="39"/>
      <c r="J64" s="18">
        <v>675</v>
      </c>
      <c r="L64" s="44">
        <f>Table13456781011121314151617181920212223242526[[#This Row],[الدولار]]+(Table13456781011121314151617181920212223242526[[#This Row],[اللبناني]]/90)</f>
        <v>7.5</v>
      </c>
      <c r="M64" s="6"/>
    </row>
    <row r="65" spans="8:13" s="11" customFormat="1" x14ac:dyDescent="0.3">
      <c r="H65" s="2" t="s">
        <v>434</v>
      </c>
      <c r="I65" s="39"/>
      <c r="J65" s="18"/>
      <c r="K65" s="11">
        <v>24</v>
      </c>
      <c r="L65" s="44">
        <f>Table13456781011121314151617181920212223242526[[#This Row],[الدولار]]+(Table13456781011121314151617181920212223242526[[#This Row],[اللبناني]]/90)</f>
        <v>24</v>
      </c>
      <c r="M65" s="6"/>
    </row>
    <row r="66" spans="8:13" s="11" customFormat="1" x14ac:dyDescent="0.3">
      <c r="H66" s="2" t="s">
        <v>434</v>
      </c>
      <c r="I66" s="39"/>
      <c r="J66" s="18">
        <v>-100</v>
      </c>
      <c r="L66" s="44">
        <f>Table13456781011121314151617181920212223242526[[#This Row],[الدولار]]+(Table13456781011121314151617181920212223242526[[#This Row],[اللبناني]]/90)</f>
        <v>-1.1111111111111112</v>
      </c>
      <c r="M66" s="6"/>
    </row>
    <row r="67" spans="8:13" s="11" customFormat="1" x14ac:dyDescent="0.3">
      <c r="H67" s="2" t="s">
        <v>434</v>
      </c>
      <c r="I67" s="39"/>
      <c r="J67" s="18"/>
      <c r="K67" s="11">
        <v>60</v>
      </c>
      <c r="L67" s="44">
        <f>Table13456781011121314151617181920212223242526[[#This Row],[الدولار]]+(Table13456781011121314151617181920212223242526[[#This Row],[اللبناني]]/90)</f>
        <v>60</v>
      </c>
      <c r="M67" s="6"/>
    </row>
    <row r="68" spans="8:13" s="11" customFormat="1" x14ac:dyDescent="0.3">
      <c r="H68" s="2" t="s">
        <v>434</v>
      </c>
      <c r="I68" s="39"/>
      <c r="J68" s="18">
        <v>500</v>
      </c>
      <c r="L68" s="44">
        <f>Table13456781011121314151617181920212223242526[[#This Row],[الدولار]]+(Table13456781011121314151617181920212223242526[[#This Row],[اللبناني]]/90)</f>
        <v>5.5555555555555554</v>
      </c>
      <c r="M68" s="6"/>
    </row>
    <row r="69" spans="8:13" s="11" customFormat="1" x14ac:dyDescent="0.3">
      <c r="H69" s="2" t="s">
        <v>434</v>
      </c>
      <c r="I69" s="39"/>
      <c r="J69" s="18">
        <v>-325</v>
      </c>
      <c r="L69" s="44">
        <f>Table13456781011121314151617181920212223242526[[#This Row],[الدولار]]+(Table13456781011121314151617181920212223242526[[#This Row],[اللبناني]]/90)</f>
        <v>-3.6111111111111112</v>
      </c>
      <c r="M69" s="6"/>
    </row>
    <row r="70" spans="8:13" s="11" customFormat="1" x14ac:dyDescent="0.3">
      <c r="H70" s="2" t="s">
        <v>434</v>
      </c>
      <c r="I70" s="39"/>
      <c r="J70" s="18">
        <v>-200</v>
      </c>
      <c r="K70" s="11">
        <v>5</v>
      </c>
      <c r="L70" s="44">
        <f>Table13456781011121314151617181920212223242526[[#This Row],[الدولار]]+(Table13456781011121314151617181920212223242526[[#This Row],[اللبناني]]/90)</f>
        <v>2.7777777777777777</v>
      </c>
      <c r="M70" s="6"/>
    </row>
    <row r="71" spans="8:13" s="11" customFormat="1" x14ac:dyDescent="0.3">
      <c r="H71" s="2" t="s">
        <v>434</v>
      </c>
      <c r="I71" s="39"/>
      <c r="J71" s="18">
        <v>-100</v>
      </c>
      <c r="K71" s="11">
        <v>5</v>
      </c>
      <c r="L71" s="44">
        <f>Table13456781011121314151617181920212223242526[[#This Row],[الدولار]]+(Table13456781011121314151617181920212223242526[[#This Row],[اللبناني]]/90)</f>
        <v>3.8888888888888888</v>
      </c>
      <c r="M71" s="6"/>
    </row>
    <row r="72" spans="8:13" s="11" customFormat="1" x14ac:dyDescent="0.3">
      <c r="H72" s="2" t="s">
        <v>434</v>
      </c>
      <c r="I72" s="39"/>
      <c r="J72" s="18">
        <v>100</v>
      </c>
      <c r="K72" s="11">
        <v>5</v>
      </c>
      <c r="L72" s="44">
        <f>Table13456781011121314151617181920212223242526[[#This Row],[الدولار]]+(Table13456781011121314151617181920212223242526[[#This Row],[اللبناني]]/90)</f>
        <v>6.1111111111111107</v>
      </c>
      <c r="M72" s="6"/>
    </row>
    <row r="73" spans="8:13" s="11" customFormat="1" x14ac:dyDescent="0.3">
      <c r="H73" s="2" t="s">
        <v>434</v>
      </c>
      <c r="I73" s="39"/>
      <c r="J73" s="18">
        <v>140</v>
      </c>
      <c r="L73" s="44">
        <f>Table13456781011121314151617181920212223242526[[#This Row],[الدولار]]+(Table13456781011121314151617181920212223242526[[#This Row],[اللبناني]]/90)</f>
        <v>1.5555555555555556</v>
      </c>
      <c r="M73" s="6"/>
    </row>
    <row r="74" spans="8:13" s="11" customFormat="1" x14ac:dyDescent="0.3">
      <c r="H74" s="2" t="s">
        <v>434</v>
      </c>
      <c r="I74" s="39"/>
      <c r="J74" s="18">
        <v>250</v>
      </c>
      <c r="L74" s="44">
        <f>Table13456781011121314151617181920212223242526[[#This Row],[الدولار]]+(Table13456781011121314151617181920212223242526[[#This Row],[اللبناني]]/90)</f>
        <v>2.7777777777777777</v>
      </c>
      <c r="M74" s="6"/>
    </row>
    <row r="75" spans="8:13" s="11" customFormat="1" x14ac:dyDescent="0.3">
      <c r="H75" s="2" t="s">
        <v>434</v>
      </c>
      <c r="I75" s="39"/>
      <c r="J75" s="18">
        <v>-270</v>
      </c>
      <c r="L75" s="44">
        <f>Table13456781011121314151617181920212223242526[[#This Row],[الدولار]]+(Table13456781011121314151617181920212223242526[[#This Row],[اللبناني]]/90)</f>
        <v>-3</v>
      </c>
      <c r="M75" s="6"/>
    </row>
    <row r="76" spans="8:13" s="11" customFormat="1" x14ac:dyDescent="0.3">
      <c r="H76" s="2" t="s">
        <v>434</v>
      </c>
      <c r="I76" s="39"/>
      <c r="J76" s="18">
        <v>-320</v>
      </c>
      <c r="K76" s="11">
        <v>10</v>
      </c>
      <c r="L76" s="44">
        <f>Table13456781011121314151617181920212223242526[[#This Row],[الدولار]]+(Table13456781011121314151617181920212223242526[[#This Row],[اللبناني]]/90)</f>
        <v>6.4444444444444446</v>
      </c>
      <c r="M76" s="6"/>
    </row>
    <row r="77" spans="8:13" s="11" customFormat="1" x14ac:dyDescent="0.3">
      <c r="H77" s="2" t="s">
        <v>434</v>
      </c>
      <c r="I77" s="39"/>
      <c r="J77" s="18">
        <v>-320</v>
      </c>
      <c r="K77" s="11">
        <v>10</v>
      </c>
      <c r="L77" s="44">
        <f>Table13456781011121314151617181920212223242526[[#This Row],[الدولار]]+(Table13456781011121314151617181920212223242526[[#This Row],[اللبناني]]/90)</f>
        <v>6.4444444444444446</v>
      </c>
      <c r="M77" s="6"/>
    </row>
    <row r="78" spans="8:13" s="11" customFormat="1" x14ac:dyDescent="0.3">
      <c r="H78" s="2" t="s">
        <v>434</v>
      </c>
      <c r="I78" s="39"/>
      <c r="J78" s="18">
        <v>100</v>
      </c>
      <c r="K78" s="11">
        <v>120</v>
      </c>
      <c r="L78" s="44">
        <f>Table13456781011121314151617181920212223242526[[#This Row],[الدولار]]+(Table13456781011121314151617181920212223242526[[#This Row],[اللبناني]]/90)</f>
        <v>121.11111111111111</v>
      </c>
      <c r="M78" s="6"/>
    </row>
    <row r="79" spans="8:13" s="11" customFormat="1" x14ac:dyDescent="0.3">
      <c r="H79" s="2" t="s">
        <v>434</v>
      </c>
      <c r="I79" s="39"/>
      <c r="J79" s="18"/>
      <c r="K79" s="11">
        <v>32</v>
      </c>
      <c r="L79" s="44">
        <f>Table13456781011121314151617181920212223242526[[#This Row],[الدولار]]+(Table13456781011121314151617181920212223242526[[#This Row],[اللبناني]]/90)</f>
        <v>32</v>
      </c>
      <c r="M79" s="6"/>
    </row>
    <row r="80" spans="8:13" s="11" customFormat="1" x14ac:dyDescent="0.3">
      <c r="H80" s="2" t="s">
        <v>434</v>
      </c>
      <c r="I80" s="39"/>
      <c r="J80" s="18">
        <v>50</v>
      </c>
      <c r="L80" s="44">
        <f>Table13456781011121314151617181920212223242526[[#This Row],[الدولار]]+(Table13456781011121314151617181920212223242526[[#This Row],[اللبناني]]/90)</f>
        <v>0.55555555555555558</v>
      </c>
      <c r="M80" s="6"/>
    </row>
    <row r="81" spans="8:13" s="11" customFormat="1" x14ac:dyDescent="0.3">
      <c r="H81" s="2" t="s">
        <v>434</v>
      </c>
      <c r="I81" s="39"/>
      <c r="J81" s="18"/>
      <c r="K81" s="11">
        <v>20</v>
      </c>
      <c r="L81" s="44">
        <f>Table13456781011121314151617181920212223242526[[#This Row],[الدولار]]+(Table13456781011121314151617181920212223242526[[#This Row],[اللبناني]]/90)</f>
        <v>20</v>
      </c>
      <c r="M81" s="6"/>
    </row>
    <row r="82" spans="8:13" s="11" customFormat="1" x14ac:dyDescent="0.3">
      <c r="H82" s="2" t="s">
        <v>434</v>
      </c>
      <c r="I82" s="39"/>
      <c r="J82" s="18"/>
      <c r="K82" s="11">
        <v>10</v>
      </c>
      <c r="L82" s="44">
        <f>Table13456781011121314151617181920212223242526[[#This Row],[الدولار]]+(Table13456781011121314151617181920212223242526[[#This Row],[اللبناني]]/90)</f>
        <v>10</v>
      </c>
      <c r="M82" s="6"/>
    </row>
    <row r="83" spans="8:13" s="11" customFormat="1" x14ac:dyDescent="0.3">
      <c r="H83" s="2" t="s">
        <v>434</v>
      </c>
      <c r="I83" s="39"/>
      <c r="J83" s="18">
        <v>150</v>
      </c>
      <c r="L83" s="44">
        <f>Table13456781011121314151617181920212223242526[[#This Row],[الدولار]]+(Table13456781011121314151617181920212223242526[[#This Row],[اللبناني]]/90)</f>
        <v>1.6666666666666667</v>
      </c>
      <c r="M83" s="6"/>
    </row>
    <row r="84" spans="8:13" s="11" customFormat="1" x14ac:dyDescent="0.3">
      <c r="H84" s="2" t="s">
        <v>434</v>
      </c>
      <c r="I84" s="39"/>
      <c r="J84" s="18">
        <v>200</v>
      </c>
      <c r="L84" s="44">
        <f>Table13456781011121314151617181920212223242526[[#This Row],[الدولار]]+(Table13456781011121314151617181920212223242526[[#This Row],[اللبناني]]/90)</f>
        <v>2.2222222222222223</v>
      </c>
      <c r="M84" s="6"/>
    </row>
    <row r="85" spans="8:13" s="11" customFormat="1" x14ac:dyDescent="0.3">
      <c r="H85" s="2" t="s">
        <v>434</v>
      </c>
      <c r="I85" s="39"/>
      <c r="J85" s="18">
        <v>-100</v>
      </c>
      <c r="K85" s="11">
        <v>130</v>
      </c>
      <c r="L85" s="44">
        <f>Table13456781011121314151617181920212223242526[[#This Row],[الدولار]]+(Table13456781011121314151617181920212223242526[[#This Row],[اللبناني]]/90)</f>
        <v>128.88888888888889</v>
      </c>
      <c r="M85" s="6"/>
    </row>
    <row r="86" spans="8:13" s="11" customFormat="1" x14ac:dyDescent="0.3">
      <c r="H86" s="2" t="s">
        <v>434</v>
      </c>
      <c r="I86" s="39"/>
      <c r="J86" s="18">
        <v>-360</v>
      </c>
      <c r="K86" s="11">
        <v>10</v>
      </c>
      <c r="L86" s="44">
        <f>Table13456781011121314151617181920212223242526[[#This Row],[الدولار]]+(Table13456781011121314151617181920212223242526[[#This Row],[اللبناني]]/90)</f>
        <v>6</v>
      </c>
      <c r="M86" s="6"/>
    </row>
    <row r="87" spans="8:13" s="11" customFormat="1" x14ac:dyDescent="0.3">
      <c r="H87" s="2" t="s">
        <v>434</v>
      </c>
      <c r="I87" s="39"/>
      <c r="J87" s="18">
        <v>-360</v>
      </c>
      <c r="K87" s="11">
        <v>350</v>
      </c>
      <c r="L87" s="44">
        <f>Table13456781011121314151617181920212223242526[[#This Row],[الدولار]]+(Table13456781011121314151617181920212223242526[[#This Row],[اللبناني]]/90)</f>
        <v>346</v>
      </c>
      <c r="M87" s="6"/>
    </row>
    <row r="88" spans="8:13" s="11" customFormat="1" x14ac:dyDescent="0.3">
      <c r="H88" s="2" t="s">
        <v>434</v>
      </c>
      <c r="I88" s="39"/>
      <c r="J88" s="18">
        <v>-100</v>
      </c>
      <c r="K88" s="11">
        <v>10</v>
      </c>
      <c r="L88" s="44">
        <f>Table13456781011121314151617181920212223242526[[#This Row],[الدولار]]+(Table13456781011121314151617181920212223242526[[#This Row],[اللبناني]]/90)</f>
        <v>8.8888888888888893</v>
      </c>
      <c r="M88" s="6"/>
    </row>
    <row r="89" spans="8:13" s="11" customFormat="1" x14ac:dyDescent="0.3">
      <c r="H89" s="2" t="s">
        <v>434</v>
      </c>
      <c r="I89" s="39"/>
      <c r="J89" s="18">
        <v>60</v>
      </c>
      <c r="L89" s="44">
        <f>Table13456781011121314151617181920212223242526[[#This Row],[الدولار]]+(Table13456781011121314151617181920212223242526[[#This Row],[اللبناني]]/90)</f>
        <v>0.66666666666666663</v>
      </c>
      <c r="M89" s="6"/>
    </row>
    <row r="90" spans="8:13" s="11" customFormat="1" x14ac:dyDescent="0.3">
      <c r="H90" s="2" t="s">
        <v>434</v>
      </c>
      <c r="I90" s="39"/>
      <c r="J90" s="18">
        <v>-250</v>
      </c>
      <c r="K90" s="11">
        <v>5</v>
      </c>
      <c r="L90" s="44">
        <f>Table13456781011121314151617181920212223242526[[#This Row],[الدولار]]+(Table13456781011121314151617181920212223242526[[#This Row],[اللبناني]]/90)</f>
        <v>2.2222222222222223</v>
      </c>
      <c r="M90" s="6"/>
    </row>
    <row r="91" spans="8:13" s="11" customFormat="1" x14ac:dyDescent="0.3">
      <c r="H91" s="2" t="s">
        <v>436</v>
      </c>
      <c r="I91" s="39"/>
      <c r="J91" s="18"/>
      <c r="K91" s="11">
        <v>-100</v>
      </c>
      <c r="L91" s="44">
        <f>Table13456781011121314151617181920212223242526[[#This Row],[الدولار]]+(Table13456781011121314151617181920212223242526[[#This Row],[اللبناني]]/90)</f>
        <v>-100</v>
      </c>
      <c r="M91" s="6"/>
    </row>
    <row r="92" spans="8:13" s="11" customFormat="1" x14ac:dyDescent="0.3">
      <c r="H92" s="2" t="s">
        <v>434</v>
      </c>
      <c r="I92" s="39"/>
      <c r="J92" s="18"/>
      <c r="K92" s="11">
        <v>9</v>
      </c>
      <c r="L92" s="44">
        <f>Table13456781011121314151617181920212223242526[[#This Row],[الدولار]]+(Table13456781011121314151617181920212223242526[[#This Row],[اللبناني]]/90)</f>
        <v>9</v>
      </c>
      <c r="M92" s="6"/>
    </row>
    <row r="93" spans="8:13" s="11" customFormat="1" x14ac:dyDescent="0.3">
      <c r="H93" s="2" t="s">
        <v>434</v>
      </c>
      <c r="I93" s="39"/>
      <c r="J93" s="18">
        <v>360</v>
      </c>
      <c r="L93" s="44">
        <f>Table13456781011121314151617181920212223242526[[#This Row],[الدولار]]+(Table13456781011121314151617181920212223242526[[#This Row],[اللبناني]]/90)</f>
        <v>4</v>
      </c>
      <c r="M93" s="6"/>
    </row>
    <row r="94" spans="8:13" s="11" customFormat="1" x14ac:dyDescent="0.3">
      <c r="H94" s="2" t="s">
        <v>434</v>
      </c>
      <c r="I94" s="39"/>
      <c r="J94" s="18">
        <v>100</v>
      </c>
      <c r="L94" s="44">
        <f>Table13456781011121314151617181920212223242526[[#This Row],[الدولار]]+(Table13456781011121314151617181920212223242526[[#This Row],[اللبناني]]/90)</f>
        <v>1.1111111111111112</v>
      </c>
      <c r="M94" s="6"/>
    </row>
    <row r="95" spans="8:13" s="11" customFormat="1" x14ac:dyDescent="0.3">
      <c r="H95" s="2" t="s">
        <v>434</v>
      </c>
      <c r="I95" s="39"/>
      <c r="J95" s="18">
        <v>100</v>
      </c>
      <c r="L95" s="44">
        <f>Table13456781011121314151617181920212223242526[[#This Row],[الدولار]]+(Table13456781011121314151617181920212223242526[[#This Row],[اللبناني]]/90)</f>
        <v>1.1111111111111112</v>
      </c>
      <c r="M95" s="6"/>
    </row>
    <row r="96" spans="8:13" s="11" customFormat="1" x14ac:dyDescent="0.3">
      <c r="H96" s="2" t="s">
        <v>434</v>
      </c>
      <c r="I96" s="39"/>
      <c r="J96" s="18">
        <v>2000</v>
      </c>
      <c r="L96" s="44">
        <f>Table13456781011121314151617181920212223242526[[#This Row],[الدولار]]+(Table13456781011121314151617181920212223242526[[#This Row],[اللبناني]]/90)</f>
        <v>22.222222222222221</v>
      </c>
      <c r="M96" s="6"/>
    </row>
    <row r="97" spans="8:13" s="11" customFormat="1" x14ac:dyDescent="0.3">
      <c r="H97" s="2" t="s">
        <v>434</v>
      </c>
      <c r="I97" s="39"/>
      <c r="J97" s="18">
        <v>225</v>
      </c>
      <c r="L97" s="44">
        <f>Table13456781011121314151617181920212223242526[[#This Row],[الدولار]]+(Table13456781011121314151617181920212223242526[[#This Row],[اللبناني]]/90)</f>
        <v>2.5</v>
      </c>
      <c r="M97" s="6"/>
    </row>
    <row r="98" spans="8:13" s="11" customFormat="1" x14ac:dyDescent="0.3">
      <c r="H98" s="2" t="s">
        <v>434</v>
      </c>
      <c r="I98" s="39"/>
      <c r="J98" s="18"/>
      <c r="K98" s="11">
        <v>10</v>
      </c>
      <c r="L98" s="44">
        <f>Table13456781011121314151617181920212223242526[[#This Row],[الدولار]]+(Table13456781011121314151617181920212223242526[[#This Row],[اللبناني]]/90)</f>
        <v>10</v>
      </c>
      <c r="M98" s="6"/>
    </row>
    <row r="99" spans="8:13" s="11" customFormat="1" x14ac:dyDescent="0.3">
      <c r="H99" s="2" t="s">
        <v>434</v>
      </c>
      <c r="I99" s="39"/>
      <c r="J99" s="18">
        <v>-400</v>
      </c>
      <c r="K99" s="11">
        <v>10</v>
      </c>
      <c r="L99" s="44">
        <f>Table13456781011121314151617181920212223242526[[#This Row],[الدولار]]+(Table13456781011121314151617181920212223242526[[#This Row],[اللبناني]]/90)</f>
        <v>5.5555555555555554</v>
      </c>
      <c r="M99" s="6"/>
    </row>
    <row r="100" spans="8:13" s="11" customFormat="1" x14ac:dyDescent="0.3">
      <c r="H100" s="2" t="s">
        <v>434</v>
      </c>
      <c r="I100" s="39"/>
      <c r="J100" s="18">
        <v>-450</v>
      </c>
      <c r="K100" s="11">
        <v>5</v>
      </c>
      <c r="L100" s="44">
        <f>Table13456781011121314151617181920212223242526[[#This Row],[الدولار]]+(Table13456781011121314151617181920212223242526[[#This Row],[اللبناني]]/90)</f>
        <v>0</v>
      </c>
      <c r="M100" s="6"/>
    </row>
    <row r="101" spans="8:13" s="11" customFormat="1" x14ac:dyDescent="0.3">
      <c r="H101" s="2" t="s">
        <v>434</v>
      </c>
      <c r="I101" s="39"/>
      <c r="J101" s="18">
        <v>-350</v>
      </c>
      <c r="K101" s="11">
        <v>10</v>
      </c>
      <c r="L101" s="44">
        <f>Table13456781011121314151617181920212223242526[[#This Row],[الدولار]]+(Table13456781011121314151617181920212223242526[[#This Row],[اللبناني]]/90)</f>
        <v>6.1111111111111107</v>
      </c>
      <c r="M101" s="6"/>
    </row>
    <row r="102" spans="8:13" s="11" customFormat="1" x14ac:dyDescent="0.3">
      <c r="H102" s="2" t="s">
        <v>434</v>
      </c>
      <c r="I102" s="39"/>
      <c r="J102" s="18"/>
      <c r="K102" s="11">
        <v>150</v>
      </c>
      <c r="L102" s="44">
        <f>Table13456781011121314151617181920212223242526[[#This Row],[الدولار]]+(Table13456781011121314151617181920212223242526[[#This Row],[اللبناني]]/90)</f>
        <v>150</v>
      </c>
      <c r="M102" s="6"/>
    </row>
    <row r="103" spans="8:13" s="11" customFormat="1" x14ac:dyDescent="0.3">
      <c r="H103" s="2" t="s">
        <v>434</v>
      </c>
      <c r="I103" s="39"/>
      <c r="J103" s="18">
        <v>50</v>
      </c>
      <c r="L103" s="44">
        <f>Table13456781011121314151617181920212223242526[[#This Row],[الدولار]]+(Table13456781011121314151617181920212223242526[[#This Row],[اللبناني]]/90)</f>
        <v>0.55555555555555558</v>
      </c>
      <c r="M103" s="6"/>
    </row>
    <row r="104" spans="8:13" s="11" customFormat="1" x14ac:dyDescent="0.3">
      <c r="H104" s="2" t="s">
        <v>434</v>
      </c>
      <c r="I104" s="39"/>
      <c r="J104" s="18"/>
      <c r="K104" s="11">
        <v>5</v>
      </c>
      <c r="L104" s="44">
        <f>Table13456781011121314151617181920212223242526[[#This Row],[الدولار]]+(Table13456781011121314151617181920212223242526[[#This Row],[اللبناني]]/90)</f>
        <v>5</v>
      </c>
      <c r="M104" s="6"/>
    </row>
    <row r="105" spans="8:13" s="11" customFormat="1" x14ac:dyDescent="0.3">
      <c r="H105" s="2" t="s">
        <v>434</v>
      </c>
      <c r="I105" s="39"/>
      <c r="J105" s="18">
        <v>-270</v>
      </c>
      <c r="K105" s="11">
        <v>5</v>
      </c>
      <c r="L105" s="44">
        <f>Table13456781011121314151617181920212223242526[[#This Row],[الدولار]]+(Table13456781011121314151617181920212223242526[[#This Row],[اللبناني]]/90)</f>
        <v>2</v>
      </c>
      <c r="M105" s="6"/>
    </row>
    <row r="106" spans="8:13" s="11" customFormat="1" x14ac:dyDescent="0.3">
      <c r="H106" s="2" t="s">
        <v>434</v>
      </c>
      <c r="I106" s="39"/>
      <c r="J106" s="18">
        <v>120</v>
      </c>
      <c r="K106" s="11">
        <v>5</v>
      </c>
      <c r="L106" s="44">
        <f>Table13456781011121314151617181920212223242526[[#This Row],[الدولار]]+(Table13456781011121314151617181920212223242526[[#This Row],[اللبناني]]/90)</f>
        <v>6.333333333333333</v>
      </c>
      <c r="M106" s="6"/>
    </row>
    <row r="107" spans="8:13" s="11" customFormat="1" x14ac:dyDescent="0.3">
      <c r="H107" s="2" t="s">
        <v>434</v>
      </c>
      <c r="I107" s="39"/>
      <c r="J107" s="18"/>
      <c r="K107" s="11">
        <v>40</v>
      </c>
      <c r="L107" s="44">
        <f>Table13456781011121314151617181920212223242526[[#This Row],[الدولار]]+(Table13456781011121314151617181920212223242526[[#This Row],[اللبناني]]/90)</f>
        <v>40</v>
      </c>
      <c r="M107" s="6"/>
    </row>
    <row r="108" spans="8:13" s="11" customFormat="1" x14ac:dyDescent="0.3">
      <c r="H108" s="2" t="s">
        <v>434</v>
      </c>
      <c r="I108" s="39"/>
      <c r="J108" s="18">
        <v>130</v>
      </c>
      <c r="L108" s="44">
        <f>Table13456781011121314151617181920212223242526[[#This Row],[الدولار]]+(Table13456781011121314151617181920212223242526[[#This Row],[اللبناني]]/90)</f>
        <v>1.4444444444444444</v>
      </c>
      <c r="M108" s="6"/>
    </row>
    <row r="109" spans="8:13" s="11" customFormat="1" x14ac:dyDescent="0.3">
      <c r="H109" s="2" t="s">
        <v>434</v>
      </c>
      <c r="I109" s="39"/>
      <c r="J109" s="18">
        <v>-400</v>
      </c>
      <c r="K109" s="11">
        <v>10</v>
      </c>
      <c r="L109" s="44">
        <f>Table13456781011121314151617181920212223242526[[#This Row],[الدولار]]+(Table13456781011121314151617181920212223242526[[#This Row],[اللبناني]]/90)</f>
        <v>5.5555555555555554</v>
      </c>
      <c r="M109" s="6"/>
    </row>
    <row r="110" spans="8:13" s="11" customFormat="1" x14ac:dyDescent="0.3">
      <c r="H110" s="2" t="s">
        <v>434</v>
      </c>
      <c r="I110" s="39"/>
      <c r="J110" s="18">
        <v>200</v>
      </c>
      <c r="K110" s="11">
        <v>1</v>
      </c>
      <c r="L110" s="44">
        <f>Table13456781011121314151617181920212223242526[[#This Row],[الدولار]]+(Table13456781011121314151617181920212223242526[[#This Row],[اللبناني]]/90)</f>
        <v>3.2222222222222223</v>
      </c>
      <c r="M110" s="6"/>
    </row>
    <row r="111" spans="8:13" s="11" customFormat="1" x14ac:dyDescent="0.3">
      <c r="H111" s="2" t="s">
        <v>434</v>
      </c>
      <c r="I111" s="39" t="s">
        <v>220</v>
      </c>
      <c r="J111" s="18"/>
      <c r="K111" s="11">
        <v>5</v>
      </c>
      <c r="L111" s="44">
        <f>Table13456781011121314151617181920212223242526[[#This Row],[الدولار]]+(Table13456781011121314151617181920212223242526[[#This Row],[اللبناني]]/90)</f>
        <v>5</v>
      </c>
      <c r="M111" s="6"/>
    </row>
    <row r="112" spans="8:13" s="11" customFormat="1" x14ac:dyDescent="0.3">
      <c r="H112" s="2" t="s">
        <v>434</v>
      </c>
      <c r="I112" s="39"/>
      <c r="J112" s="18">
        <v>600</v>
      </c>
      <c r="L112" s="44">
        <f>Table13456781011121314151617181920212223242526[[#This Row],[الدولار]]+(Table13456781011121314151617181920212223242526[[#This Row],[اللبناني]]/90)</f>
        <v>6.666666666666667</v>
      </c>
      <c r="M112" s="6"/>
    </row>
    <row r="113" spans="8:13" s="11" customFormat="1" x14ac:dyDescent="0.3">
      <c r="H113" s="2" t="s">
        <v>434</v>
      </c>
      <c r="I113" s="39"/>
      <c r="J113" s="18">
        <v>-300</v>
      </c>
      <c r="K113" s="11">
        <v>10</v>
      </c>
      <c r="L113" s="44">
        <f>Table13456781011121314151617181920212223242526[[#This Row],[الدولار]]+(Table13456781011121314151617181920212223242526[[#This Row],[اللبناني]]/90)</f>
        <v>6.6666666666666661</v>
      </c>
      <c r="M113" s="6"/>
    </row>
    <row r="114" spans="8:13" s="11" customFormat="1" x14ac:dyDescent="0.3">
      <c r="H114" s="2" t="s">
        <v>436</v>
      </c>
      <c r="I114" s="39"/>
      <c r="J114" s="18"/>
      <c r="K114" s="11">
        <v>-2200</v>
      </c>
      <c r="L114" s="44">
        <f>Table13456781011121314151617181920212223242526[[#This Row],[الدولار]]+(Table13456781011121314151617181920212223242526[[#This Row],[اللبناني]]/90)</f>
        <v>-2200</v>
      </c>
      <c r="M114" s="6"/>
    </row>
    <row r="115" spans="8:13" s="11" customFormat="1" x14ac:dyDescent="0.3">
      <c r="H115" s="2" t="s">
        <v>434</v>
      </c>
      <c r="I115" s="39"/>
      <c r="J115" s="18">
        <v>-10</v>
      </c>
      <c r="K115" s="11">
        <v>4</v>
      </c>
      <c r="L115" s="44">
        <f>Table13456781011121314151617181920212223242526[[#This Row],[الدولار]]+(Table13456781011121314151617181920212223242526[[#This Row],[اللبناني]]/90)</f>
        <v>3.8888888888888888</v>
      </c>
      <c r="M115" s="6"/>
    </row>
    <row r="116" spans="8:13" s="11" customFormat="1" x14ac:dyDescent="0.3">
      <c r="H116" s="2" t="s">
        <v>434</v>
      </c>
      <c r="I116" s="39"/>
      <c r="J116" s="18"/>
      <c r="K116" s="11">
        <v>35</v>
      </c>
      <c r="L116" s="44">
        <f>Table13456781011121314151617181920212223242526[[#This Row],[الدولار]]+(Table13456781011121314151617181920212223242526[[#This Row],[اللبناني]]/90)</f>
        <v>35</v>
      </c>
      <c r="M116" s="6"/>
    </row>
    <row r="117" spans="8:13" s="11" customFormat="1" x14ac:dyDescent="0.3">
      <c r="H117" s="2" t="s">
        <v>434</v>
      </c>
      <c r="I117" s="39"/>
      <c r="J117" s="18">
        <v>-110</v>
      </c>
      <c r="K117" s="11">
        <v>15</v>
      </c>
      <c r="L117" s="44">
        <f>Table13456781011121314151617181920212223242526[[#This Row],[الدولار]]+(Table13456781011121314151617181920212223242526[[#This Row],[اللبناني]]/90)</f>
        <v>13.777777777777779</v>
      </c>
      <c r="M117" s="6"/>
    </row>
    <row r="118" spans="8:13" s="11" customFormat="1" x14ac:dyDescent="0.3">
      <c r="H118" s="2" t="s">
        <v>434</v>
      </c>
      <c r="I118" s="39"/>
      <c r="J118" s="18">
        <v>-250</v>
      </c>
      <c r="L118" s="44">
        <f>Table13456781011121314151617181920212223242526[[#This Row],[الدولار]]+(Table13456781011121314151617181920212223242526[[#This Row],[اللبناني]]/90)</f>
        <v>-2.7777777777777777</v>
      </c>
      <c r="M118" s="6"/>
    </row>
    <row r="119" spans="8:13" s="11" customFormat="1" x14ac:dyDescent="0.3">
      <c r="H119" s="2" t="s">
        <v>434</v>
      </c>
      <c r="I119" s="39"/>
      <c r="J119" s="18"/>
      <c r="K119" s="11">
        <v>8</v>
      </c>
      <c r="L119" s="44">
        <f>Table13456781011121314151617181920212223242526[[#This Row],[الدولار]]+(Table13456781011121314151617181920212223242526[[#This Row],[اللبناني]]/90)</f>
        <v>8</v>
      </c>
      <c r="M119" s="6"/>
    </row>
    <row r="120" spans="8:13" s="11" customFormat="1" x14ac:dyDescent="0.3">
      <c r="H120" s="2" t="s">
        <v>434</v>
      </c>
      <c r="I120" s="39"/>
      <c r="J120" s="18">
        <v>400</v>
      </c>
      <c r="L120" s="44">
        <f>Table13456781011121314151617181920212223242526[[#This Row],[الدولار]]+(Table13456781011121314151617181920212223242526[[#This Row],[اللبناني]]/90)</f>
        <v>4.4444444444444446</v>
      </c>
      <c r="M120" s="6"/>
    </row>
    <row r="121" spans="8:13" s="11" customFormat="1" x14ac:dyDescent="0.3">
      <c r="H121" s="2" t="s">
        <v>434</v>
      </c>
      <c r="I121" s="39"/>
      <c r="J121" s="18"/>
      <c r="K121" s="11">
        <v>-10</v>
      </c>
      <c r="L121" s="44">
        <f>Table13456781011121314151617181920212223242526[[#This Row],[الدولار]]+(Table13456781011121314151617181920212223242526[[#This Row],[اللبناني]]/90)</f>
        <v>-10</v>
      </c>
      <c r="M121" s="6"/>
    </row>
    <row r="122" spans="8:13" s="11" customFormat="1" x14ac:dyDescent="0.3">
      <c r="H122" s="2" t="s">
        <v>434</v>
      </c>
      <c r="I122" s="39"/>
      <c r="J122" s="18">
        <v>-100</v>
      </c>
      <c r="L122" s="44">
        <f>Table13456781011121314151617181920212223242526[[#This Row],[الدولار]]+(Table13456781011121314151617181920212223242526[[#This Row],[اللبناني]]/90)</f>
        <v>-1.1111111111111112</v>
      </c>
      <c r="M122" s="6"/>
    </row>
    <row r="123" spans="8:13" s="11" customFormat="1" x14ac:dyDescent="0.3">
      <c r="H123" s="2" t="s">
        <v>434</v>
      </c>
      <c r="I123" s="39" t="s">
        <v>449</v>
      </c>
      <c r="J123" s="18"/>
      <c r="K123" s="11">
        <v>110</v>
      </c>
      <c r="L123" s="44">
        <f>Table13456781011121314151617181920212223242526[[#This Row],[الدولار]]+(Table13456781011121314151617181920212223242526[[#This Row],[اللبناني]]/90)</f>
        <v>110</v>
      </c>
      <c r="M123" s="6"/>
    </row>
    <row r="124" spans="8:13" s="11" customFormat="1" x14ac:dyDescent="0.3">
      <c r="H124" s="2" t="s">
        <v>434</v>
      </c>
      <c r="I124" s="39" t="s">
        <v>449</v>
      </c>
      <c r="J124" s="18"/>
      <c r="K124" s="11">
        <v>105</v>
      </c>
      <c r="L124" s="44">
        <f>Table13456781011121314151617181920212223242526[[#This Row],[الدولار]]+(Table13456781011121314151617181920212223242526[[#This Row],[اللبناني]]/90)</f>
        <v>105</v>
      </c>
      <c r="M124" s="6"/>
    </row>
    <row r="125" spans="8:13" s="11" customFormat="1" x14ac:dyDescent="0.3">
      <c r="H125" s="2" t="s">
        <v>434</v>
      </c>
      <c r="I125" s="39" t="s">
        <v>449</v>
      </c>
      <c r="J125" s="18"/>
      <c r="K125" s="11">
        <v>130</v>
      </c>
      <c r="L125" s="44">
        <f>Table13456781011121314151617181920212223242526[[#This Row],[الدولار]]+(Table13456781011121314151617181920212223242526[[#This Row],[اللبناني]]/90)</f>
        <v>130</v>
      </c>
      <c r="M125" s="6"/>
    </row>
    <row r="126" spans="8:13" s="11" customFormat="1" x14ac:dyDescent="0.3">
      <c r="H126" s="2" t="s">
        <v>434</v>
      </c>
      <c r="I126" s="39" t="s">
        <v>449</v>
      </c>
      <c r="J126" s="18"/>
      <c r="K126" s="11">
        <v>-110</v>
      </c>
      <c r="L126" s="44">
        <f>Table13456781011121314151617181920212223242526[[#This Row],[الدولار]]+(Table13456781011121314151617181920212223242526[[#This Row],[اللبناني]]/90)</f>
        <v>-110</v>
      </c>
      <c r="M126" s="6"/>
    </row>
    <row r="127" spans="8:13" s="11" customFormat="1" x14ac:dyDescent="0.3">
      <c r="H127" s="2" t="s">
        <v>434</v>
      </c>
      <c r="I127" s="39" t="s">
        <v>449</v>
      </c>
      <c r="J127" s="18"/>
      <c r="K127" s="11">
        <v>-105</v>
      </c>
      <c r="L127" s="44">
        <f>Table13456781011121314151617181920212223242526[[#This Row],[الدولار]]+(Table13456781011121314151617181920212223242526[[#This Row],[اللبناني]]/90)</f>
        <v>-105</v>
      </c>
      <c r="M127" s="6"/>
    </row>
    <row r="128" spans="8:13" s="11" customFormat="1" x14ac:dyDescent="0.3">
      <c r="H128" s="2" t="s">
        <v>434</v>
      </c>
      <c r="I128" s="39" t="s">
        <v>449</v>
      </c>
      <c r="J128" s="18"/>
      <c r="K128" s="11">
        <v>-130</v>
      </c>
      <c r="L128" s="44">
        <f>Table13456781011121314151617181920212223242526[[#This Row],[الدولار]]+(Table13456781011121314151617181920212223242526[[#This Row],[اللبناني]]/90)</f>
        <v>-130</v>
      </c>
      <c r="M128" s="6"/>
    </row>
    <row r="129" spans="8:13" s="11" customFormat="1" x14ac:dyDescent="0.3">
      <c r="H129" s="2" t="s">
        <v>434</v>
      </c>
      <c r="I129" s="39"/>
      <c r="J129" s="18"/>
      <c r="L129" s="44">
        <f>Table13456781011121314151617181920212223242526[[#This Row],[الدولار]]+(Table13456781011121314151617181920212223242526[[#This Row],[اللبناني]]/90)</f>
        <v>0</v>
      </c>
      <c r="M129" s="6"/>
    </row>
    <row r="130" spans="8:13" s="11" customFormat="1" x14ac:dyDescent="0.3">
      <c r="H130" s="2" t="s">
        <v>434</v>
      </c>
      <c r="I130" s="39"/>
      <c r="J130" s="18"/>
      <c r="L130" s="44">
        <f>Table13456781011121314151617181920212223242526[[#This Row],[الدولار]]+(Table13456781011121314151617181920212223242526[[#This Row],[اللبناني]]/90)</f>
        <v>0</v>
      </c>
      <c r="M130" s="6"/>
    </row>
    <row r="131" spans="8:13" s="11" customFormat="1" x14ac:dyDescent="0.3">
      <c r="H131" s="2" t="s">
        <v>434</v>
      </c>
      <c r="I131" s="39"/>
      <c r="J131" s="18"/>
      <c r="L131" s="44">
        <f>Table13456781011121314151617181920212223242526[[#This Row],[الدولار]]+(Table13456781011121314151617181920212223242526[[#This Row],[اللبناني]]/90)</f>
        <v>0</v>
      </c>
      <c r="M131" s="6"/>
    </row>
    <row r="132" spans="8:13" s="11" customFormat="1" x14ac:dyDescent="0.3">
      <c r="H132" s="2" t="s">
        <v>434</v>
      </c>
      <c r="I132" s="39"/>
      <c r="J132" s="18"/>
      <c r="L132" s="44">
        <f>Table13456781011121314151617181920212223242526[[#This Row],[الدولار]]+(Table13456781011121314151617181920212223242526[[#This Row],[اللبناني]]/90)</f>
        <v>0</v>
      </c>
      <c r="M132" s="6"/>
    </row>
    <row r="133" spans="8:13" s="11" customFormat="1" x14ac:dyDescent="0.3">
      <c r="H133" s="2" t="s">
        <v>434</v>
      </c>
      <c r="I133" s="39"/>
      <c r="J133" s="18"/>
      <c r="L133" s="44">
        <f>Table13456781011121314151617181920212223242526[[#This Row],[الدولار]]+(Table13456781011121314151617181920212223242526[[#This Row],[اللبناني]]/90)</f>
        <v>0</v>
      </c>
      <c r="M133" s="6"/>
    </row>
    <row r="134" spans="8:13" s="11" customFormat="1" x14ac:dyDescent="0.3">
      <c r="H134" s="2" t="s">
        <v>434</v>
      </c>
      <c r="I134" s="39"/>
      <c r="J134" s="18"/>
      <c r="L134" s="44">
        <f>Table13456781011121314151617181920212223242526[[#This Row],[الدولار]]+(Table13456781011121314151617181920212223242526[[#This Row],[اللبناني]]/90)</f>
        <v>0</v>
      </c>
      <c r="M134" s="6"/>
    </row>
    <row r="135" spans="8:13" s="11" customFormat="1" x14ac:dyDescent="0.3">
      <c r="H135" s="2" t="s">
        <v>434</v>
      </c>
      <c r="I135" s="39"/>
      <c r="J135" s="18"/>
      <c r="L135" s="44">
        <f>Table13456781011121314151617181920212223242526[[#This Row],[الدولار]]+(Table13456781011121314151617181920212223242526[[#This Row],[اللبناني]]/90)</f>
        <v>0</v>
      </c>
      <c r="M135" s="6"/>
    </row>
    <row r="136" spans="8:13" s="11" customFormat="1" x14ac:dyDescent="0.3">
      <c r="H136" s="2" t="s">
        <v>434</v>
      </c>
      <c r="I136" s="39"/>
      <c r="J136" s="18"/>
      <c r="L136" s="44">
        <f>Table13456781011121314151617181920212223242526[[#This Row],[الدولار]]+(Table13456781011121314151617181920212223242526[[#This Row],[اللبناني]]/90)</f>
        <v>0</v>
      </c>
      <c r="M136" s="6"/>
    </row>
    <row r="137" spans="8:13" s="11" customFormat="1" x14ac:dyDescent="0.3">
      <c r="H137" s="2" t="s">
        <v>434</v>
      </c>
      <c r="I137" s="39"/>
      <c r="J137" s="18"/>
      <c r="L137" s="44">
        <f>Table13456781011121314151617181920212223242526[[#This Row],[الدولار]]+(Table13456781011121314151617181920212223242526[[#This Row],[اللبناني]]/90)</f>
        <v>0</v>
      </c>
      <c r="M137" s="6"/>
    </row>
    <row r="138" spans="8:13" s="11" customFormat="1" x14ac:dyDescent="0.3">
      <c r="H138" s="2" t="s">
        <v>434</v>
      </c>
      <c r="I138" s="39"/>
      <c r="J138" s="18"/>
      <c r="L138" s="44">
        <f>Table13456781011121314151617181920212223242526[[#This Row],[الدولار]]+(Table13456781011121314151617181920212223242526[[#This Row],[اللبناني]]/90)</f>
        <v>0</v>
      </c>
      <c r="M138" s="6"/>
    </row>
    <row r="139" spans="8:13" s="11" customFormat="1" x14ac:dyDescent="0.3">
      <c r="H139" s="2" t="s">
        <v>434</v>
      </c>
      <c r="I139" s="39"/>
      <c r="J139" s="18"/>
      <c r="L139" s="44">
        <f>Table13456781011121314151617181920212223242526[[#This Row],[الدولار]]+(Table13456781011121314151617181920212223242526[[#This Row],[اللبناني]]/90)</f>
        <v>0</v>
      </c>
      <c r="M139" s="6"/>
    </row>
    <row r="140" spans="8:13" s="11" customFormat="1" x14ac:dyDescent="0.3">
      <c r="H140" s="2" t="s">
        <v>434</v>
      </c>
      <c r="I140" s="39"/>
      <c r="J140" s="18"/>
      <c r="L140" s="44">
        <f>Table13456781011121314151617181920212223242526[[#This Row],[الدولار]]+(Table13456781011121314151617181920212223242526[[#This Row],[اللبناني]]/90)</f>
        <v>0</v>
      </c>
      <c r="M140" s="6"/>
    </row>
    <row r="141" spans="8:13" s="11" customFormat="1" x14ac:dyDescent="0.3">
      <c r="H141" s="2" t="s">
        <v>434</v>
      </c>
      <c r="I141" s="39"/>
      <c r="J141" s="18"/>
      <c r="L141" s="44">
        <f>Table13456781011121314151617181920212223242526[[#This Row],[الدولار]]+(Table13456781011121314151617181920212223242526[[#This Row],[اللبناني]]/90)</f>
        <v>0</v>
      </c>
      <c r="M141" s="6"/>
    </row>
    <row r="142" spans="8:13" s="11" customFormat="1" x14ac:dyDescent="0.3">
      <c r="H142" s="2" t="s">
        <v>434</v>
      </c>
      <c r="I142" s="39"/>
      <c r="J142" s="18"/>
      <c r="L142" s="44">
        <f>Table13456781011121314151617181920212223242526[[#This Row],[الدولار]]+(Table13456781011121314151617181920212223242526[[#This Row],[اللبناني]]/90)</f>
        <v>0</v>
      </c>
      <c r="M142" s="6"/>
    </row>
    <row r="143" spans="8:13" s="11" customFormat="1" x14ac:dyDescent="0.3">
      <c r="H143" s="2" t="s">
        <v>434</v>
      </c>
      <c r="I143" s="39"/>
      <c r="J143" s="18"/>
      <c r="L143" s="44">
        <f>Table13456781011121314151617181920212223242526[[#This Row],[الدولار]]+(Table13456781011121314151617181920212223242526[[#This Row],[اللبناني]]/90)</f>
        <v>0</v>
      </c>
      <c r="M143" s="6"/>
    </row>
    <row r="144" spans="8:13" s="11" customFormat="1" x14ac:dyDescent="0.3">
      <c r="H144" s="2" t="s">
        <v>434</v>
      </c>
      <c r="I144" s="39"/>
      <c r="J144" s="18"/>
      <c r="L144" s="44">
        <f>Table13456781011121314151617181920212223242526[[#This Row],[الدولار]]+(Table13456781011121314151617181920212223242526[[#This Row],[اللبناني]]/90)</f>
        <v>0</v>
      </c>
      <c r="M144" s="6"/>
    </row>
    <row r="145" spans="8:13" s="11" customFormat="1" x14ac:dyDescent="0.3">
      <c r="H145" s="2" t="s">
        <v>434</v>
      </c>
      <c r="I145" s="39"/>
      <c r="J145" s="18"/>
      <c r="L145" s="44">
        <f>Table13456781011121314151617181920212223242526[[#This Row],[الدولار]]+(Table13456781011121314151617181920212223242526[[#This Row],[اللبناني]]/90)</f>
        <v>0</v>
      </c>
      <c r="M145" s="6"/>
    </row>
    <row r="146" spans="8:13" s="11" customFormat="1" x14ac:dyDescent="0.3">
      <c r="H146" s="2" t="s">
        <v>434</v>
      </c>
      <c r="I146" s="39"/>
      <c r="J146" s="18"/>
      <c r="L146" s="44">
        <f>Table13456781011121314151617181920212223242526[[#This Row],[الدولار]]+(Table13456781011121314151617181920212223242526[[#This Row],[اللبناني]]/90)</f>
        <v>0</v>
      </c>
      <c r="M146" s="6"/>
    </row>
    <row r="147" spans="8:13" s="11" customFormat="1" x14ac:dyDescent="0.3">
      <c r="H147" s="2" t="s">
        <v>434</v>
      </c>
      <c r="I147" s="39"/>
      <c r="J147" s="18"/>
      <c r="L147" s="44">
        <f>Table13456781011121314151617181920212223242526[[#This Row],[الدولار]]+(Table13456781011121314151617181920212223242526[[#This Row],[اللبناني]]/90)</f>
        <v>0</v>
      </c>
      <c r="M147" s="6"/>
    </row>
    <row r="148" spans="8:13" s="11" customFormat="1" x14ac:dyDescent="0.3">
      <c r="H148" s="2" t="s">
        <v>434</v>
      </c>
      <c r="I148" s="39"/>
      <c r="J148" s="18"/>
      <c r="L148" s="44">
        <f>Table13456781011121314151617181920212223242526[[#This Row],[الدولار]]+(Table13456781011121314151617181920212223242526[[#This Row],[اللبناني]]/90)</f>
        <v>0</v>
      </c>
      <c r="M148" s="6"/>
    </row>
    <row r="149" spans="8:13" s="11" customFormat="1" x14ac:dyDescent="0.3">
      <c r="H149" s="2" t="s">
        <v>434</v>
      </c>
      <c r="I149" s="39"/>
      <c r="J149" s="18"/>
      <c r="L149" s="44">
        <f>Table13456781011121314151617181920212223242526[[#This Row],[الدولار]]+(Table13456781011121314151617181920212223242526[[#This Row],[اللبناني]]/90)</f>
        <v>0</v>
      </c>
      <c r="M149" s="6"/>
    </row>
    <row r="150" spans="8:13" s="11" customFormat="1" x14ac:dyDescent="0.3">
      <c r="H150" s="2" t="s">
        <v>434</v>
      </c>
      <c r="I150" s="39"/>
      <c r="J150" s="18"/>
      <c r="L150" s="44">
        <f>Table13456781011121314151617181920212223242526[[#This Row],[الدولار]]+(Table13456781011121314151617181920212223242526[[#This Row],[اللبناني]]/90)</f>
        <v>0</v>
      </c>
      <c r="M150" s="6"/>
    </row>
    <row r="151" spans="8:13" s="11" customFormat="1" x14ac:dyDescent="0.3">
      <c r="H151" s="2" t="s">
        <v>434</v>
      </c>
      <c r="I151" s="39"/>
      <c r="J151" s="18"/>
      <c r="L151" s="44">
        <f>Table13456781011121314151617181920212223242526[[#This Row],[الدولار]]+(Table13456781011121314151617181920212223242526[[#This Row],[اللبناني]]/90)</f>
        <v>0</v>
      </c>
      <c r="M151" s="6"/>
    </row>
    <row r="152" spans="8:13" s="11" customFormat="1" x14ac:dyDescent="0.3">
      <c r="H152" s="2" t="s">
        <v>434</v>
      </c>
      <c r="I152" s="39"/>
      <c r="J152" s="18"/>
      <c r="L152" s="44">
        <f>Table13456781011121314151617181920212223242526[[#This Row],[الدولار]]+(Table13456781011121314151617181920212223242526[[#This Row],[اللبناني]]/90)</f>
        <v>0</v>
      </c>
      <c r="M152" s="6"/>
    </row>
    <row r="153" spans="8:13" s="11" customFormat="1" x14ac:dyDescent="0.3">
      <c r="H153" s="2" t="s">
        <v>434</v>
      </c>
      <c r="I153" s="39"/>
      <c r="J153" s="18"/>
      <c r="L153" s="44">
        <f>Table13456781011121314151617181920212223242526[[#This Row],[الدولار]]+(Table13456781011121314151617181920212223242526[[#This Row],[اللبناني]]/90)</f>
        <v>0</v>
      </c>
      <c r="M153" s="6"/>
    </row>
    <row r="154" spans="8:13" s="11" customFormat="1" x14ac:dyDescent="0.3">
      <c r="H154" s="2" t="s">
        <v>434</v>
      </c>
      <c r="I154" s="39"/>
      <c r="J154" s="18"/>
      <c r="L154" s="44">
        <f>Table13456781011121314151617181920212223242526[[#This Row],[الدولار]]+(Table13456781011121314151617181920212223242526[[#This Row],[اللبناني]]/90)</f>
        <v>0</v>
      </c>
      <c r="M154" s="6"/>
    </row>
    <row r="155" spans="8:13" s="11" customFormat="1" x14ac:dyDescent="0.3">
      <c r="H155" s="2" t="s">
        <v>434</v>
      </c>
      <c r="I155" s="39"/>
      <c r="J155" s="18"/>
      <c r="L155" s="44">
        <f>Table13456781011121314151617181920212223242526[[#This Row],[الدولار]]+(Table13456781011121314151617181920212223242526[[#This Row],[اللبناني]]/90)</f>
        <v>0</v>
      </c>
      <c r="M155" s="6"/>
    </row>
    <row r="156" spans="8:13" s="11" customFormat="1" x14ac:dyDescent="0.3">
      <c r="H156" s="2" t="s">
        <v>434</v>
      </c>
      <c r="I156" s="39"/>
      <c r="J156" s="18"/>
      <c r="L156" s="44">
        <f>Table13456781011121314151617181920212223242526[[#This Row],[الدولار]]+(Table13456781011121314151617181920212223242526[[#This Row],[اللبناني]]/90)</f>
        <v>0</v>
      </c>
      <c r="M156" s="6"/>
    </row>
    <row r="157" spans="8:13" s="11" customFormat="1" x14ac:dyDescent="0.3">
      <c r="H157" s="2" t="s">
        <v>434</v>
      </c>
      <c r="I157" s="39"/>
      <c r="J157" s="18"/>
      <c r="L157" s="44">
        <f>Table13456781011121314151617181920212223242526[[#This Row],[الدولار]]+(Table13456781011121314151617181920212223242526[[#This Row],[اللبناني]]/90)</f>
        <v>0</v>
      </c>
      <c r="M157" s="6"/>
    </row>
    <row r="158" spans="8:13" s="11" customFormat="1" x14ac:dyDescent="0.3">
      <c r="H158" s="2" t="s">
        <v>434</v>
      </c>
      <c r="I158" s="39"/>
      <c r="J158" s="18"/>
      <c r="L158" s="44">
        <f>Table13456781011121314151617181920212223242526[[#This Row],[الدولار]]+(Table13456781011121314151617181920212223242526[[#This Row],[اللبناني]]/90)</f>
        <v>0</v>
      </c>
      <c r="M158" s="6"/>
    </row>
    <row r="159" spans="8:13" s="11" customFormat="1" x14ac:dyDescent="0.3">
      <c r="H159" s="2" t="s">
        <v>434</v>
      </c>
      <c r="I159" s="39"/>
      <c r="J159" s="18"/>
      <c r="L159" s="44">
        <f>Table13456781011121314151617181920212223242526[[#This Row],[الدولار]]+(Table13456781011121314151617181920212223242526[[#This Row],[اللبناني]]/90)</f>
        <v>0</v>
      </c>
      <c r="M159" s="6"/>
    </row>
    <row r="160" spans="8:13" s="11" customFormat="1" x14ac:dyDescent="0.3">
      <c r="H160" s="2" t="s">
        <v>434</v>
      </c>
      <c r="I160" s="39"/>
      <c r="J160" s="18"/>
      <c r="L160" s="44">
        <f>Table13456781011121314151617181920212223242526[[#This Row],[الدولار]]+(Table13456781011121314151617181920212223242526[[#This Row],[اللبناني]]/90)</f>
        <v>0</v>
      </c>
      <c r="M160" s="6"/>
    </row>
    <row r="161" spans="8:13" s="11" customFormat="1" x14ac:dyDescent="0.3">
      <c r="H161" s="2" t="s">
        <v>434</v>
      </c>
      <c r="I161" s="39"/>
      <c r="J161" s="18"/>
      <c r="L161" s="44">
        <f>Table13456781011121314151617181920212223242526[[#This Row],[الدولار]]+(Table13456781011121314151617181920212223242526[[#This Row],[اللبناني]]/90)</f>
        <v>0</v>
      </c>
      <c r="M161" s="6"/>
    </row>
    <row r="162" spans="8:13" s="11" customFormat="1" x14ac:dyDescent="0.3">
      <c r="H162" s="2" t="s">
        <v>434</v>
      </c>
      <c r="I162" s="39"/>
      <c r="J162" s="18"/>
      <c r="L162" s="44">
        <f>Table13456781011121314151617181920212223242526[[#This Row],[الدولار]]+(Table13456781011121314151617181920212223242526[[#This Row],[اللبناني]]/90)</f>
        <v>0</v>
      </c>
      <c r="M162" s="6"/>
    </row>
    <row r="163" spans="8:13" s="11" customFormat="1" x14ac:dyDescent="0.3">
      <c r="H163" s="2" t="s">
        <v>434</v>
      </c>
      <c r="I163" s="39"/>
      <c r="J163" s="18"/>
      <c r="L163" s="44">
        <f>Table13456781011121314151617181920212223242526[[#This Row],[الدولار]]+(Table13456781011121314151617181920212223242526[[#This Row],[اللبناني]]/90)</f>
        <v>0</v>
      </c>
      <c r="M163" s="6"/>
    </row>
    <row r="164" spans="8:13" s="11" customFormat="1" x14ac:dyDescent="0.3">
      <c r="H164" s="2" t="s">
        <v>434</v>
      </c>
      <c r="I164" s="39"/>
      <c r="J164" s="18"/>
      <c r="L164" s="44">
        <f>Table13456781011121314151617181920212223242526[[#This Row],[الدولار]]+(Table13456781011121314151617181920212223242526[[#This Row],[اللبناني]]/90)</f>
        <v>0</v>
      </c>
      <c r="M164" s="6"/>
    </row>
    <row r="165" spans="8:13" s="11" customFormat="1" x14ac:dyDescent="0.3">
      <c r="H165" s="2" t="s">
        <v>434</v>
      </c>
      <c r="I165" s="39"/>
      <c r="J165" s="18"/>
      <c r="L165" s="44">
        <f>Table13456781011121314151617181920212223242526[[#This Row],[الدولار]]+(Table13456781011121314151617181920212223242526[[#This Row],[اللبناني]]/90)</f>
        <v>0</v>
      </c>
      <c r="M165" s="6"/>
    </row>
    <row r="166" spans="8:13" s="11" customFormat="1" x14ac:dyDescent="0.3">
      <c r="H166" s="2" t="s">
        <v>434</v>
      </c>
      <c r="I166" s="39"/>
      <c r="J166" s="18"/>
      <c r="L166" s="44">
        <f>Table13456781011121314151617181920212223242526[[#This Row],[الدولار]]+(Table13456781011121314151617181920212223242526[[#This Row],[اللبناني]]/90)</f>
        <v>0</v>
      </c>
      <c r="M166" s="6"/>
    </row>
    <row r="167" spans="8:13" s="11" customFormat="1" x14ac:dyDescent="0.3">
      <c r="H167" s="2" t="s">
        <v>434</v>
      </c>
      <c r="I167" s="39"/>
      <c r="J167" s="18"/>
      <c r="L167" s="44">
        <f>Table13456781011121314151617181920212223242526[[#This Row],[الدولار]]+(Table13456781011121314151617181920212223242526[[#This Row],[اللبناني]]/90)</f>
        <v>0</v>
      </c>
      <c r="M167" s="6"/>
    </row>
    <row r="168" spans="8:13" s="11" customFormat="1" x14ac:dyDescent="0.3">
      <c r="H168" s="2" t="s">
        <v>434</v>
      </c>
      <c r="I168" s="39"/>
      <c r="J168" s="18"/>
      <c r="L168" s="44">
        <f>Table13456781011121314151617181920212223242526[[#This Row],[الدولار]]+(Table13456781011121314151617181920212223242526[[#This Row],[اللبناني]]/90)</f>
        <v>0</v>
      </c>
      <c r="M168" s="6"/>
    </row>
    <row r="169" spans="8:13" s="11" customFormat="1" x14ac:dyDescent="0.3">
      <c r="H169" s="2" t="s">
        <v>434</v>
      </c>
      <c r="I169" s="39"/>
      <c r="J169" s="18"/>
      <c r="L169" s="44">
        <f>Table13456781011121314151617181920212223242526[[#This Row],[الدولار]]+(Table13456781011121314151617181920212223242526[[#This Row],[اللبناني]]/90)</f>
        <v>0</v>
      </c>
      <c r="M169" s="6"/>
    </row>
    <row r="170" spans="8:13" s="11" customFormat="1" x14ac:dyDescent="0.3">
      <c r="H170" s="2" t="s">
        <v>434</v>
      </c>
      <c r="I170" s="39"/>
      <c r="J170" s="18"/>
      <c r="L170" s="44">
        <f>Table13456781011121314151617181920212223242526[[#This Row],[الدولار]]+(Table13456781011121314151617181920212223242526[[#This Row],[اللبناني]]/90)</f>
        <v>0</v>
      </c>
      <c r="M170" s="6"/>
    </row>
    <row r="171" spans="8:13" s="11" customFormat="1" x14ac:dyDescent="0.3">
      <c r="H171" s="2" t="s">
        <v>434</v>
      </c>
      <c r="I171" s="39"/>
      <c r="J171" s="18"/>
      <c r="L171" s="44">
        <f>Table13456781011121314151617181920212223242526[[#This Row],[الدولار]]+(Table13456781011121314151617181920212223242526[[#This Row],[اللبناني]]/90)</f>
        <v>0</v>
      </c>
      <c r="M171" s="6"/>
    </row>
    <row r="172" spans="8:13" s="11" customFormat="1" x14ac:dyDescent="0.3">
      <c r="H172" s="2" t="s">
        <v>434</v>
      </c>
      <c r="I172" s="39"/>
      <c r="J172" s="18"/>
      <c r="L172" s="44">
        <f>Table13456781011121314151617181920212223242526[[#This Row],[الدولار]]+(Table13456781011121314151617181920212223242526[[#This Row],[اللبناني]]/90)</f>
        <v>0</v>
      </c>
      <c r="M172" s="6"/>
    </row>
    <row r="173" spans="8:13" s="11" customFormat="1" x14ac:dyDescent="0.3">
      <c r="H173" s="2" t="s">
        <v>434</v>
      </c>
      <c r="I173" s="39"/>
      <c r="J173" s="18"/>
      <c r="L173" s="44">
        <f>Table13456781011121314151617181920212223242526[[#This Row],[الدولار]]+(Table13456781011121314151617181920212223242526[[#This Row],[اللبناني]]/90)</f>
        <v>0</v>
      </c>
      <c r="M173" s="6"/>
    </row>
    <row r="174" spans="8:13" s="11" customFormat="1" x14ac:dyDescent="0.3">
      <c r="H174" s="2" t="s">
        <v>434</v>
      </c>
      <c r="I174" s="39"/>
      <c r="J174" s="18"/>
      <c r="L174" s="44">
        <f>Table13456781011121314151617181920212223242526[[#This Row],[الدولار]]+(Table13456781011121314151617181920212223242526[[#This Row],[اللبناني]]/90)</f>
        <v>0</v>
      </c>
      <c r="M174" s="6"/>
    </row>
    <row r="175" spans="8:13" s="11" customFormat="1" x14ac:dyDescent="0.3">
      <c r="H175" s="2" t="s">
        <v>434</v>
      </c>
      <c r="I175" s="39"/>
      <c r="J175" s="18"/>
      <c r="L175" s="44">
        <f>Table13456781011121314151617181920212223242526[[#This Row],[الدولار]]+(Table13456781011121314151617181920212223242526[[#This Row],[اللبناني]]/90)</f>
        <v>0</v>
      </c>
      <c r="M175" s="6"/>
    </row>
    <row r="176" spans="8:13" s="11" customFormat="1" x14ac:dyDescent="0.3">
      <c r="H176" s="2" t="s">
        <v>434</v>
      </c>
      <c r="I176" s="39"/>
      <c r="J176" s="18"/>
      <c r="L176" s="44">
        <f>Table13456781011121314151617181920212223242526[[#This Row],[الدولار]]+(Table13456781011121314151617181920212223242526[[#This Row],[اللبناني]]/90)</f>
        <v>0</v>
      </c>
      <c r="M176" s="6"/>
    </row>
    <row r="177" spans="8:13" s="11" customFormat="1" x14ac:dyDescent="0.3">
      <c r="H177" s="2" t="s">
        <v>434</v>
      </c>
      <c r="I177" s="39"/>
      <c r="J177" s="18"/>
      <c r="L177" s="44">
        <f>Table13456781011121314151617181920212223242526[[#This Row],[الدولار]]+(Table13456781011121314151617181920212223242526[[#This Row],[اللبناني]]/90)</f>
        <v>0</v>
      </c>
      <c r="M177" s="6"/>
    </row>
    <row r="178" spans="8:13" s="11" customFormat="1" x14ac:dyDescent="0.3">
      <c r="H178" s="2" t="s">
        <v>434</v>
      </c>
      <c r="I178" s="39"/>
      <c r="J178" s="18"/>
      <c r="L178" s="44">
        <f>Table13456781011121314151617181920212223242526[[#This Row],[الدولار]]+(Table13456781011121314151617181920212223242526[[#This Row],[اللبناني]]/90)</f>
        <v>0</v>
      </c>
      <c r="M178" s="6"/>
    </row>
    <row r="179" spans="8:13" s="11" customFormat="1" x14ac:dyDescent="0.3">
      <c r="H179" s="2" t="s">
        <v>434</v>
      </c>
      <c r="I179" s="39"/>
      <c r="J179" s="18"/>
      <c r="L179" s="44">
        <f>Table13456781011121314151617181920212223242526[[#This Row],[الدولار]]+(Table13456781011121314151617181920212223242526[[#This Row],[اللبناني]]/90)</f>
        <v>0</v>
      </c>
      <c r="M179" s="6"/>
    </row>
    <row r="180" spans="8:13" s="11" customFormat="1" x14ac:dyDescent="0.3">
      <c r="H180" s="2" t="s">
        <v>434</v>
      </c>
      <c r="I180" s="39"/>
      <c r="J180" s="18"/>
      <c r="L180" s="44">
        <f>Table13456781011121314151617181920212223242526[[#This Row],[الدولار]]+(Table13456781011121314151617181920212223242526[[#This Row],[اللبناني]]/90)</f>
        <v>0</v>
      </c>
      <c r="M180" s="6"/>
    </row>
    <row r="181" spans="8:13" s="11" customFormat="1" x14ac:dyDescent="0.3">
      <c r="H181" s="2" t="s">
        <v>434</v>
      </c>
      <c r="I181" s="39"/>
      <c r="J181" s="18"/>
      <c r="L181" s="44">
        <f>Table13456781011121314151617181920212223242526[[#This Row],[الدولار]]+(Table13456781011121314151617181920212223242526[[#This Row],[اللبناني]]/90)</f>
        <v>0</v>
      </c>
      <c r="M181" s="6"/>
    </row>
    <row r="182" spans="8:13" s="11" customFormat="1" x14ac:dyDescent="0.3">
      <c r="H182" s="2" t="s">
        <v>434</v>
      </c>
      <c r="I182" s="39"/>
      <c r="J182" s="18"/>
      <c r="L182" s="44">
        <f>Table13456781011121314151617181920212223242526[[#This Row],[الدولار]]+(Table13456781011121314151617181920212223242526[[#This Row],[اللبناني]]/90)</f>
        <v>0</v>
      </c>
      <c r="M182" s="6"/>
    </row>
    <row r="183" spans="8:13" s="11" customFormat="1" x14ac:dyDescent="0.3">
      <c r="H183" s="2" t="s">
        <v>434</v>
      </c>
      <c r="I183" s="39"/>
      <c r="J183" s="18"/>
      <c r="L183" s="44">
        <f>Table13456781011121314151617181920212223242526[[#This Row],[الدولار]]+(Table13456781011121314151617181920212223242526[[#This Row],[اللبناني]]/90)</f>
        <v>0</v>
      </c>
      <c r="M183" s="6"/>
    </row>
    <row r="184" spans="8:13" s="11" customFormat="1" x14ac:dyDescent="0.3">
      <c r="H184" s="2" t="s">
        <v>434</v>
      </c>
      <c r="I184" s="39"/>
      <c r="J184" s="18"/>
      <c r="L184" s="44">
        <f>Table13456781011121314151617181920212223242526[[#This Row],[الدولار]]+(Table13456781011121314151617181920212223242526[[#This Row],[اللبناني]]/90)</f>
        <v>0</v>
      </c>
      <c r="M184" s="6"/>
    </row>
    <row r="185" spans="8:13" s="11" customFormat="1" x14ac:dyDescent="0.3">
      <c r="H185" s="2" t="s">
        <v>434</v>
      </c>
      <c r="I185" s="39"/>
      <c r="J185" s="18"/>
      <c r="L185" s="44">
        <f>Table13456781011121314151617181920212223242526[[#This Row],[الدولار]]+(Table13456781011121314151617181920212223242526[[#This Row],[اللبناني]]/90)</f>
        <v>0</v>
      </c>
      <c r="M185" s="6"/>
    </row>
    <row r="186" spans="8:13" s="11" customFormat="1" x14ac:dyDescent="0.3">
      <c r="H186" s="2" t="s">
        <v>434</v>
      </c>
      <c r="I186" s="39"/>
      <c r="J186" s="18"/>
      <c r="L186" s="44">
        <f>Table13456781011121314151617181920212223242526[[#This Row],[الدولار]]+(Table13456781011121314151617181920212223242526[[#This Row],[اللبناني]]/90)</f>
        <v>0</v>
      </c>
      <c r="M186" s="6"/>
    </row>
    <row r="187" spans="8:13" s="11" customFormat="1" x14ac:dyDescent="0.3">
      <c r="H187" s="2" t="s">
        <v>434</v>
      </c>
      <c r="I187" s="39"/>
      <c r="J187" s="18"/>
      <c r="L187" s="44">
        <f>Table13456781011121314151617181920212223242526[[#This Row],[الدولار]]+(Table13456781011121314151617181920212223242526[[#This Row],[اللبناني]]/90)</f>
        <v>0</v>
      </c>
      <c r="M187" s="6"/>
    </row>
    <row r="188" spans="8:13" s="11" customFormat="1" x14ac:dyDescent="0.3">
      <c r="H188" s="2" t="s">
        <v>434</v>
      </c>
      <c r="I188" s="39"/>
      <c r="J188" s="18"/>
      <c r="L188" s="44">
        <f>Table13456781011121314151617181920212223242526[[#This Row],[الدولار]]+(Table13456781011121314151617181920212223242526[[#This Row],[اللبناني]]/90)</f>
        <v>0</v>
      </c>
      <c r="M188" s="6"/>
    </row>
    <row r="189" spans="8:13" s="11" customFormat="1" x14ac:dyDescent="0.3">
      <c r="H189" s="2" t="s">
        <v>434</v>
      </c>
      <c r="I189" s="39"/>
      <c r="J189" s="18"/>
      <c r="L189" s="44">
        <f>Table13456781011121314151617181920212223242526[[#This Row],[الدولار]]+(Table13456781011121314151617181920212223242526[[#This Row],[اللبناني]]/90)</f>
        <v>0</v>
      </c>
      <c r="M189" s="6"/>
    </row>
    <row r="190" spans="8:13" s="11" customFormat="1" x14ac:dyDescent="0.3">
      <c r="H190" s="2" t="s">
        <v>434</v>
      </c>
      <c r="I190" s="39"/>
      <c r="J190" s="18"/>
      <c r="L190" s="44">
        <f>Table13456781011121314151617181920212223242526[[#This Row],[الدولار]]+(Table13456781011121314151617181920212223242526[[#This Row],[اللبناني]]/90)</f>
        <v>0</v>
      </c>
      <c r="M190" s="6"/>
    </row>
    <row r="191" spans="8:13" s="11" customFormat="1" x14ac:dyDescent="0.3">
      <c r="H191" s="2" t="s">
        <v>434</v>
      </c>
      <c r="I191" s="39"/>
      <c r="J191" s="18"/>
      <c r="L191" s="44">
        <f>Table13456781011121314151617181920212223242526[[#This Row],[الدولار]]+(Table13456781011121314151617181920212223242526[[#This Row],[اللبناني]]/90)</f>
        <v>0</v>
      </c>
      <c r="M191" s="6"/>
    </row>
    <row r="192" spans="8:13" s="11" customFormat="1" x14ac:dyDescent="0.3">
      <c r="H192" s="2" t="s">
        <v>434</v>
      </c>
      <c r="I192" s="39"/>
      <c r="J192" s="18"/>
      <c r="L192" s="44">
        <f>Table13456781011121314151617181920212223242526[[#This Row],[الدولار]]+(Table13456781011121314151617181920212223242526[[#This Row],[اللبناني]]/90)</f>
        <v>0</v>
      </c>
      <c r="M192" s="6"/>
    </row>
    <row r="193" spans="8:13" s="11" customFormat="1" x14ac:dyDescent="0.3">
      <c r="H193" s="2" t="s">
        <v>434</v>
      </c>
      <c r="I193" s="39"/>
      <c r="J193" s="18"/>
      <c r="L193" s="44">
        <f>Table13456781011121314151617181920212223242526[[#This Row],[الدولار]]+(Table13456781011121314151617181920212223242526[[#This Row],[اللبناني]]/90)</f>
        <v>0</v>
      </c>
      <c r="M193" s="6"/>
    </row>
    <row r="194" spans="8:13" s="11" customFormat="1" x14ac:dyDescent="0.3">
      <c r="H194" s="2" t="s">
        <v>434</v>
      </c>
      <c r="I194" s="39"/>
      <c r="J194" s="18"/>
      <c r="L194" s="44">
        <f>Table13456781011121314151617181920212223242526[[#This Row],[الدولار]]+(Table13456781011121314151617181920212223242526[[#This Row],[اللبناني]]/90)</f>
        <v>0</v>
      </c>
      <c r="M194" s="6"/>
    </row>
    <row r="195" spans="8:13" s="11" customFormat="1" x14ac:dyDescent="0.3">
      <c r="H195" s="2" t="s">
        <v>434</v>
      </c>
      <c r="I195" s="39"/>
      <c r="J195" s="18"/>
      <c r="L195" s="44">
        <f>Table13456781011121314151617181920212223242526[[#This Row],[الدولار]]+(Table13456781011121314151617181920212223242526[[#This Row],[اللبناني]]/90)</f>
        <v>0</v>
      </c>
      <c r="M195" s="6"/>
    </row>
    <row r="196" spans="8:13" s="11" customFormat="1" x14ac:dyDescent="0.3">
      <c r="H196" s="2" t="s">
        <v>434</v>
      </c>
      <c r="I196" s="39"/>
      <c r="J196" s="18"/>
      <c r="L196" s="44">
        <f>Table13456781011121314151617181920212223242526[[#This Row],[الدولار]]+(Table13456781011121314151617181920212223242526[[#This Row],[اللبناني]]/90)</f>
        <v>0</v>
      </c>
      <c r="M196" s="6"/>
    </row>
    <row r="197" spans="8:13" s="11" customFormat="1" x14ac:dyDescent="0.3">
      <c r="H197" s="2" t="s">
        <v>434</v>
      </c>
      <c r="I197" s="39"/>
      <c r="J197" s="18"/>
      <c r="L197" s="44">
        <f>Table13456781011121314151617181920212223242526[[#This Row],[الدولار]]+(Table13456781011121314151617181920212223242526[[#This Row],[اللبناني]]/90)</f>
        <v>0</v>
      </c>
      <c r="M197" s="6"/>
    </row>
    <row r="198" spans="8:13" s="11" customFormat="1" x14ac:dyDescent="0.3">
      <c r="H198" s="2" t="s">
        <v>434</v>
      </c>
      <c r="I198" s="39"/>
      <c r="J198" s="18"/>
      <c r="L198" s="44">
        <f>Table13456781011121314151617181920212223242526[[#This Row],[الدولار]]+(Table13456781011121314151617181920212223242526[[#This Row],[اللبناني]]/90)</f>
        <v>0</v>
      </c>
      <c r="M198" s="6"/>
    </row>
    <row r="199" spans="8:13" s="11" customFormat="1" x14ac:dyDescent="0.3">
      <c r="H199" s="2" t="s">
        <v>434</v>
      </c>
      <c r="I199" s="39"/>
      <c r="J199" s="18"/>
      <c r="L199" s="44">
        <f>Table13456781011121314151617181920212223242526[[#This Row],[الدولار]]+(Table13456781011121314151617181920212223242526[[#This Row],[اللبناني]]/90)</f>
        <v>0</v>
      </c>
      <c r="M199" s="6"/>
    </row>
    <row r="200" spans="8:13" s="11" customFormat="1" x14ac:dyDescent="0.3">
      <c r="H200" s="2" t="s">
        <v>434</v>
      </c>
      <c r="I200" s="39"/>
      <c r="J200" s="18"/>
      <c r="L200" s="44">
        <f>Table13456781011121314151617181920212223242526[[#This Row],[الدولار]]+(Table13456781011121314151617181920212223242526[[#This Row],[اللبناني]]/90)</f>
        <v>0</v>
      </c>
      <c r="M200" s="6"/>
    </row>
    <row r="201" spans="8:13" s="11" customFormat="1" x14ac:dyDescent="0.3">
      <c r="H201" s="2" t="s">
        <v>434</v>
      </c>
      <c r="I201" s="39"/>
      <c r="J201" s="18"/>
      <c r="L201" s="44">
        <f>Table13456781011121314151617181920212223242526[[#This Row],[الدولار]]+(Table13456781011121314151617181920212223242526[[#This Row],[اللبناني]]/90)</f>
        <v>0</v>
      </c>
      <c r="M201" s="6"/>
    </row>
    <row r="202" spans="8:13" s="11" customFormat="1" x14ac:dyDescent="0.3">
      <c r="H202" s="2" t="s">
        <v>434</v>
      </c>
      <c r="I202" s="39"/>
      <c r="J202" s="18"/>
      <c r="L202" s="44">
        <f>Table13456781011121314151617181920212223242526[[#This Row],[الدولار]]+(Table13456781011121314151617181920212223242526[[#This Row],[اللبناني]]/90)</f>
        <v>0</v>
      </c>
      <c r="M202" s="6"/>
    </row>
    <row r="203" spans="8:13" s="11" customFormat="1" x14ac:dyDescent="0.3">
      <c r="H203" s="2" t="s">
        <v>434</v>
      </c>
      <c r="I203" s="39"/>
      <c r="J203" s="18"/>
      <c r="L203" s="44">
        <f>Table13456781011121314151617181920212223242526[[#This Row],[الدولار]]+(Table13456781011121314151617181920212223242526[[#This Row],[اللبناني]]/90)</f>
        <v>0</v>
      </c>
      <c r="M203" s="6"/>
    </row>
    <row r="204" spans="8:13" s="11" customFormat="1" x14ac:dyDescent="0.3">
      <c r="H204" s="2" t="s">
        <v>434</v>
      </c>
      <c r="I204" s="39"/>
      <c r="J204" s="18"/>
      <c r="L204" s="44">
        <f>Table13456781011121314151617181920212223242526[[#This Row],[الدولار]]+(Table13456781011121314151617181920212223242526[[#This Row],[اللبناني]]/90)</f>
        <v>0</v>
      </c>
      <c r="M204" s="6"/>
    </row>
    <row r="205" spans="8:13" s="11" customFormat="1" x14ac:dyDescent="0.3">
      <c r="H205" s="2" t="s">
        <v>434</v>
      </c>
      <c r="I205" s="39"/>
      <c r="J205" s="18"/>
      <c r="L205" s="44">
        <f>Table13456781011121314151617181920212223242526[[#This Row],[الدولار]]+(Table13456781011121314151617181920212223242526[[#This Row],[اللبناني]]/90)</f>
        <v>0</v>
      </c>
      <c r="M205" s="6"/>
    </row>
    <row r="206" spans="8:13" s="11" customFormat="1" x14ac:dyDescent="0.3">
      <c r="H206" s="2" t="s">
        <v>434</v>
      </c>
      <c r="I206" s="39"/>
      <c r="J206" s="18"/>
      <c r="L206" s="44">
        <f>Table13456781011121314151617181920212223242526[[#This Row],[الدولار]]+(Table13456781011121314151617181920212223242526[[#This Row],[اللبناني]]/90)</f>
        <v>0</v>
      </c>
      <c r="M206" s="6"/>
    </row>
    <row r="207" spans="8:13" s="11" customFormat="1" x14ac:dyDescent="0.3">
      <c r="H207" s="2" t="s">
        <v>434</v>
      </c>
      <c r="I207" s="39"/>
      <c r="J207" s="18"/>
      <c r="L207" s="44">
        <f>Table13456781011121314151617181920212223242526[[#This Row],[الدولار]]+(Table13456781011121314151617181920212223242526[[#This Row],[اللبناني]]/90)</f>
        <v>0</v>
      </c>
      <c r="M207" s="6"/>
    </row>
    <row r="208" spans="8:13" s="11" customFormat="1" x14ac:dyDescent="0.3">
      <c r="H208" s="2" t="s">
        <v>434</v>
      </c>
      <c r="I208" s="39"/>
      <c r="J208" s="18"/>
      <c r="L208" s="44">
        <f>Table13456781011121314151617181920212223242526[[#This Row],[الدولار]]+(Table13456781011121314151617181920212223242526[[#This Row],[اللبناني]]/90)</f>
        <v>0</v>
      </c>
      <c r="M208" s="6"/>
    </row>
    <row r="209" spans="8:13" s="11" customFormat="1" x14ac:dyDescent="0.3">
      <c r="H209" s="2" t="s">
        <v>434</v>
      </c>
      <c r="I209" s="39"/>
      <c r="J209" s="18"/>
      <c r="L209" s="44">
        <f>Table13456781011121314151617181920212223242526[[#This Row],[الدولار]]+(Table13456781011121314151617181920212223242526[[#This Row],[اللبناني]]/90)</f>
        <v>0</v>
      </c>
      <c r="M209" s="6"/>
    </row>
    <row r="210" spans="8:13" s="11" customFormat="1" x14ac:dyDescent="0.3">
      <c r="H210" s="2" t="s">
        <v>434</v>
      </c>
      <c r="I210" s="39"/>
      <c r="J210" s="18"/>
      <c r="L210" s="44">
        <f>Table13456781011121314151617181920212223242526[[#This Row],[الدولار]]+(Table13456781011121314151617181920212223242526[[#This Row],[اللبناني]]/90)</f>
        <v>0</v>
      </c>
      <c r="M210" s="6"/>
    </row>
    <row r="211" spans="8:13" s="11" customFormat="1" x14ac:dyDescent="0.3">
      <c r="H211" s="2" t="s">
        <v>434</v>
      </c>
      <c r="I211" s="39"/>
      <c r="J211" s="18"/>
      <c r="L211" s="44">
        <f>Table13456781011121314151617181920212223242526[[#This Row],[الدولار]]+(Table13456781011121314151617181920212223242526[[#This Row],[اللبناني]]/90)</f>
        <v>0</v>
      </c>
      <c r="M211" s="6"/>
    </row>
    <row r="212" spans="8:13" s="11" customFormat="1" x14ac:dyDescent="0.3">
      <c r="H212" s="2" t="s">
        <v>434</v>
      </c>
      <c r="I212" s="39"/>
      <c r="J212" s="18"/>
      <c r="L212" s="44">
        <f>Table13456781011121314151617181920212223242526[[#This Row],[الدولار]]+(Table13456781011121314151617181920212223242526[[#This Row],[اللبناني]]/90)</f>
        <v>0</v>
      </c>
      <c r="M212" s="6"/>
    </row>
    <row r="213" spans="8:13" s="11" customFormat="1" x14ac:dyDescent="0.3">
      <c r="H213" s="2" t="s">
        <v>434</v>
      </c>
      <c r="I213" s="39"/>
      <c r="J213" s="18"/>
      <c r="L213" s="44">
        <f>Table13456781011121314151617181920212223242526[[#This Row],[الدولار]]+(Table13456781011121314151617181920212223242526[[#This Row],[اللبناني]]/90)</f>
        <v>0</v>
      </c>
      <c r="M213" s="6"/>
    </row>
    <row r="214" spans="8:13" s="11" customFormat="1" x14ac:dyDescent="0.3">
      <c r="H214" s="2" t="s">
        <v>434</v>
      </c>
      <c r="I214" s="39"/>
      <c r="J214" s="18"/>
      <c r="L214" s="44">
        <f>Table13456781011121314151617181920212223242526[[#This Row],[الدولار]]+(Table13456781011121314151617181920212223242526[[#This Row],[اللبناني]]/90)</f>
        <v>0</v>
      </c>
      <c r="M214" s="6"/>
    </row>
    <row r="215" spans="8:13" s="11" customFormat="1" x14ac:dyDescent="0.3">
      <c r="H215" s="2" t="s">
        <v>434</v>
      </c>
      <c r="I215" s="39"/>
      <c r="J215" s="18"/>
      <c r="L215" s="44">
        <f>Table13456781011121314151617181920212223242526[[#This Row],[الدولار]]+(Table13456781011121314151617181920212223242526[[#This Row],[اللبناني]]/90)</f>
        <v>0</v>
      </c>
      <c r="M215" s="6"/>
    </row>
    <row r="216" spans="8:13" s="11" customFormat="1" x14ac:dyDescent="0.3">
      <c r="H216" s="2" t="s">
        <v>434</v>
      </c>
      <c r="I216" s="39"/>
      <c r="J216" s="18"/>
      <c r="L216" s="44">
        <f>Table13456781011121314151617181920212223242526[[#This Row],[الدولار]]+(Table13456781011121314151617181920212223242526[[#This Row],[اللبناني]]/90)</f>
        <v>0</v>
      </c>
      <c r="M216" s="6"/>
    </row>
    <row r="217" spans="8:13" s="11" customFormat="1" x14ac:dyDescent="0.3">
      <c r="H217" s="2" t="s">
        <v>434</v>
      </c>
      <c r="I217" s="39"/>
      <c r="J217" s="18"/>
      <c r="L217" s="44">
        <f>Table13456781011121314151617181920212223242526[[#This Row],[الدولار]]+(Table13456781011121314151617181920212223242526[[#This Row],[اللبناني]]/90)</f>
        <v>0</v>
      </c>
      <c r="M217" s="6"/>
    </row>
    <row r="218" spans="8:13" s="11" customFormat="1" x14ac:dyDescent="0.3">
      <c r="H218" s="2" t="s">
        <v>434</v>
      </c>
      <c r="I218" s="39"/>
      <c r="J218" s="18"/>
      <c r="L218" s="44">
        <f>Table13456781011121314151617181920212223242526[[#This Row],[الدولار]]+(Table13456781011121314151617181920212223242526[[#This Row],[اللبناني]]/90)</f>
        <v>0</v>
      </c>
      <c r="M218" s="6"/>
    </row>
    <row r="219" spans="8:13" s="11" customFormat="1" x14ac:dyDescent="0.3">
      <c r="H219" s="2" t="s">
        <v>434</v>
      </c>
      <c r="I219" s="39"/>
      <c r="J219" s="18"/>
      <c r="L219" s="44">
        <f>Table13456781011121314151617181920212223242526[[#This Row],[الدولار]]+(Table13456781011121314151617181920212223242526[[#This Row],[اللبناني]]/90)</f>
        <v>0</v>
      </c>
      <c r="M219" s="6"/>
    </row>
    <row r="220" spans="8:13" s="11" customFormat="1" x14ac:dyDescent="0.3">
      <c r="H220" s="2" t="s">
        <v>434</v>
      </c>
      <c r="I220" s="39"/>
      <c r="J220" s="18"/>
      <c r="L220" s="44">
        <f>Table13456781011121314151617181920212223242526[[#This Row],[الدولار]]+(Table13456781011121314151617181920212223242526[[#This Row],[اللبناني]]/90)</f>
        <v>0</v>
      </c>
      <c r="M220" s="6"/>
    </row>
    <row r="221" spans="8:13" s="11" customFormat="1" x14ac:dyDescent="0.3">
      <c r="H221" s="2" t="s">
        <v>434</v>
      </c>
      <c r="I221" s="39"/>
      <c r="J221" s="18"/>
      <c r="L221" s="44">
        <f>Table13456781011121314151617181920212223242526[[#This Row],[الدولار]]+(Table13456781011121314151617181920212223242526[[#This Row],[اللبناني]]/90)</f>
        <v>0</v>
      </c>
      <c r="M221" s="6"/>
    </row>
    <row r="222" spans="8:13" s="11" customFormat="1" x14ac:dyDescent="0.3">
      <c r="H222" s="2" t="s">
        <v>434</v>
      </c>
      <c r="I222" s="39"/>
      <c r="J222" s="18"/>
      <c r="L222" s="44">
        <f>Table13456781011121314151617181920212223242526[[#This Row],[الدولار]]+(Table13456781011121314151617181920212223242526[[#This Row],[اللبناني]]/90)</f>
        <v>0</v>
      </c>
      <c r="M222" s="6"/>
    </row>
    <row r="223" spans="8:13" s="11" customFormat="1" x14ac:dyDescent="0.3">
      <c r="H223" s="2" t="s">
        <v>434</v>
      </c>
      <c r="I223" s="39"/>
      <c r="J223" s="18"/>
      <c r="L223" s="44">
        <f>Table13456781011121314151617181920212223242526[[#This Row],[الدولار]]+(Table13456781011121314151617181920212223242526[[#This Row],[اللبناني]]/90)</f>
        <v>0</v>
      </c>
      <c r="M223" s="6"/>
    </row>
    <row r="224" spans="8:13" s="11" customFormat="1" x14ac:dyDescent="0.3">
      <c r="H224" s="2" t="s">
        <v>434</v>
      </c>
      <c r="I224" s="39"/>
      <c r="J224" s="18"/>
      <c r="L224" s="44">
        <f>Table13456781011121314151617181920212223242526[[#This Row],[الدولار]]+(Table13456781011121314151617181920212223242526[[#This Row],[اللبناني]]/90)</f>
        <v>0</v>
      </c>
      <c r="M224" s="6"/>
    </row>
    <row r="225" spans="8:13" s="11" customFormat="1" x14ac:dyDescent="0.3">
      <c r="H225" s="2" t="s">
        <v>434</v>
      </c>
      <c r="I225" s="39"/>
      <c r="J225" s="18"/>
      <c r="L225" s="44">
        <f>Table13456781011121314151617181920212223242526[[#This Row],[الدولار]]+(Table13456781011121314151617181920212223242526[[#This Row],[اللبناني]]/90)</f>
        <v>0</v>
      </c>
      <c r="M225" s="6"/>
    </row>
    <row r="226" spans="8:13" s="11" customFormat="1" x14ac:dyDescent="0.3">
      <c r="H226" s="2" t="s">
        <v>434</v>
      </c>
      <c r="I226" s="39"/>
      <c r="J226" s="18"/>
      <c r="L226" s="44">
        <f>Table13456781011121314151617181920212223242526[[#This Row],[الدولار]]+(Table13456781011121314151617181920212223242526[[#This Row],[اللبناني]]/90)</f>
        <v>0</v>
      </c>
      <c r="M226" s="6"/>
    </row>
    <row r="227" spans="8:13" s="11" customFormat="1" x14ac:dyDescent="0.3">
      <c r="H227" s="2" t="s">
        <v>434</v>
      </c>
      <c r="I227" s="39"/>
      <c r="J227" s="18"/>
      <c r="L227" s="44">
        <f>Table13456781011121314151617181920212223242526[[#This Row],[الدولار]]+(Table13456781011121314151617181920212223242526[[#This Row],[اللبناني]]/90)</f>
        <v>0</v>
      </c>
      <c r="M227" s="6"/>
    </row>
    <row r="228" spans="8:13" s="11" customFormat="1" x14ac:dyDescent="0.3">
      <c r="H228" s="2" t="s">
        <v>434</v>
      </c>
      <c r="I228" s="39"/>
      <c r="J228" s="18"/>
      <c r="L228" s="44">
        <f>Table13456781011121314151617181920212223242526[[#This Row],[الدولار]]+(Table13456781011121314151617181920212223242526[[#This Row],[اللبناني]]/90)</f>
        <v>0</v>
      </c>
      <c r="M228" s="6"/>
    </row>
    <row r="229" spans="8:13" s="11" customFormat="1" x14ac:dyDescent="0.3">
      <c r="H229" s="2" t="s">
        <v>434</v>
      </c>
      <c r="I229" s="39"/>
      <c r="J229" s="18"/>
      <c r="L229" s="44">
        <f>Table13456781011121314151617181920212223242526[[#This Row],[الدولار]]+(Table13456781011121314151617181920212223242526[[#This Row],[اللبناني]]/90)</f>
        <v>0</v>
      </c>
      <c r="M229" s="6"/>
    </row>
    <row r="230" spans="8:13" s="11" customFormat="1" x14ac:dyDescent="0.3">
      <c r="H230" s="2" t="s">
        <v>434</v>
      </c>
      <c r="I230" s="39"/>
      <c r="J230" s="18"/>
      <c r="L230" s="44">
        <f>Table13456781011121314151617181920212223242526[[#This Row],[الدولار]]+(Table13456781011121314151617181920212223242526[[#This Row],[اللبناني]]/90)</f>
        <v>0</v>
      </c>
      <c r="M230" s="6"/>
    </row>
    <row r="231" spans="8:13" s="11" customFormat="1" x14ac:dyDescent="0.3">
      <c r="H231" s="2" t="s">
        <v>434</v>
      </c>
      <c r="I231" s="39"/>
      <c r="J231" s="18"/>
      <c r="L231" s="44">
        <f>Table13456781011121314151617181920212223242526[[#This Row],[الدولار]]+(Table13456781011121314151617181920212223242526[[#This Row],[اللبناني]]/90)</f>
        <v>0</v>
      </c>
      <c r="M231" s="6"/>
    </row>
    <row r="232" spans="8:13" s="11" customFormat="1" x14ac:dyDescent="0.3">
      <c r="H232" s="2" t="s">
        <v>434</v>
      </c>
      <c r="I232" s="39"/>
      <c r="J232" s="18"/>
      <c r="L232" s="44">
        <f>Table13456781011121314151617181920212223242526[[#This Row],[الدولار]]+(Table13456781011121314151617181920212223242526[[#This Row],[اللبناني]]/90)</f>
        <v>0</v>
      </c>
      <c r="M232" s="6"/>
    </row>
    <row r="233" spans="8:13" s="11" customFormat="1" x14ac:dyDescent="0.3">
      <c r="H233" s="2" t="s">
        <v>434</v>
      </c>
      <c r="I233" s="39"/>
      <c r="J233" s="18"/>
      <c r="L233" s="44">
        <f>Table13456781011121314151617181920212223242526[[#This Row],[الدولار]]+(Table13456781011121314151617181920212223242526[[#This Row],[اللبناني]]/90)</f>
        <v>0</v>
      </c>
      <c r="M233" s="6"/>
    </row>
    <row r="234" spans="8:13" s="11" customFormat="1" x14ac:dyDescent="0.3">
      <c r="H234" s="2" t="s">
        <v>434</v>
      </c>
      <c r="I234" s="39"/>
      <c r="J234" s="18"/>
      <c r="L234" s="44">
        <f>Table13456781011121314151617181920212223242526[[#This Row],[الدولار]]+(Table13456781011121314151617181920212223242526[[#This Row],[اللبناني]]/90)</f>
        <v>0</v>
      </c>
      <c r="M234" s="6"/>
    </row>
    <row r="235" spans="8:13" s="11" customFormat="1" x14ac:dyDescent="0.3">
      <c r="H235" s="2" t="s">
        <v>434</v>
      </c>
      <c r="I235" s="39"/>
      <c r="J235" s="18"/>
      <c r="L235" s="44">
        <f>Table13456781011121314151617181920212223242526[[#This Row],[الدولار]]+(Table13456781011121314151617181920212223242526[[#This Row],[اللبناني]]/90)</f>
        <v>0</v>
      </c>
      <c r="M235" s="6"/>
    </row>
    <row r="236" spans="8:13" s="11" customFormat="1" x14ac:dyDescent="0.3">
      <c r="H236" s="2" t="s">
        <v>434</v>
      </c>
      <c r="I236" s="39"/>
      <c r="J236" s="18"/>
      <c r="L236" s="44">
        <f>Table13456781011121314151617181920212223242526[[#This Row],[الدولار]]+(Table13456781011121314151617181920212223242526[[#This Row],[اللبناني]]/90)</f>
        <v>0</v>
      </c>
      <c r="M236" s="6"/>
    </row>
    <row r="237" spans="8:13" s="11" customFormat="1" x14ac:dyDescent="0.3">
      <c r="H237" s="2" t="s">
        <v>434</v>
      </c>
      <c r="I237" s="39"/>
      <c r="J237" s="18"/>
      <c r="L237" s="44">
        <f>Table13456781011121314151617181920212223242526[[#This Row],[الدولار]]+(Table13456781011121314151617181920212223242526[[#This Row],[اللبناني]]/90)</f>
        <v>0</v>
      </c>
      <c r="M237" s="6"/>
    </row>
    <row r="238" spans="8:13" s="11" customFormat="1" x14ac:dyDescent="0.3">
      <c r="H238" s="2" t="s">
        <v>434</v>
      </c>
      <c r="I238" s="39"/>
      <c r="J238" s="18"/>
      <c r="L238" s="44">
        <f>Table13456781011121314151617181920212223242526[[#This Row],[الدولار]]+(Table13456781011121314151617181920212223242526[[#This Row],[اللبناني]]/90)</f>
        <v>0</v>
      </c>
      <c r="M238" s="6"/>
    </row>
    <row r="239" spans="8:13" s="11" customFormat="1" x14ac:dyDescent="0.3">
      <c r="H239" s="2" t="s">
        <v>434</v>
      </c>
      <c r="I239" s="39"/>
      <c r="J239" s="18"/>
      <c r="L239" s="44">
        <f>Table13456781011121314151617181920212223242526[[#This Row],[الدولار]]+(Table13456781011121314151617181920212223242526[[#This Row],[اللبناني]]/90)</f>
        <v>0</v>
      </c>
      <c r="M239" s="6"/>
    </row>
    <row r="240" spans="8:13" s="11" customFormat="1" x14ac:dyDescent="0.3">
      <c r="H240" s="2" t="s">
        <v>434</v>
      </c>
      <c r="I240" s="39"/>
      <c r="J240" s="18"/>
      <c r="L240" s="44">
        <f>Table13456781011121314151617181920212223242526[[#This Row],[الدولار]]+(Table13456781011121314151617181920212223242526[[#This Row],[اللبناني]]/90)</f>
        <v>0</v>
      </c>
      <c r="M240" s="6"/>
    </row>
    <row r="241" spans="8:13" s="11" customFormat="1" x14ac:dyDescent="0.3">
      <c r="H241" s="2" t="s">
        <v>434</v>
      </c>
      <c r="I241" s="39"/>
      <c r="J241" s="18"/>
      <c r="L241" s="44">
        <f>Table13456781011121314151617181920212223242526[[#This Row],[الدولار]]+(Table13456781011121314151617181920212223242526[[#This Row],[اللبناني]]/90)</f>
        <v>0</v>
      </c>
      <c r="M241" s="6"/>
    </row>
    <row r="242" spans="8:13" s="11" customFormat="1" x14ac:dyDescent="0.3">
      <c r="H242" s="2" t="s">
        <v>434</v>
      </c>
      <c r="I242" s="39"/>
      <c r="J242" s="18"/>
      <c r="L242" s="44">
        <f>Table13456781011121314151617181920212223242526[[#This Row],[الدولار]]+(Table13456781011121314151617181920212223242526[[#This Row],[اللبناني]]/90)</f>
        <v>0</v>
      </c>
      <c r="M242" s="6"/>
    </row>
    <row r="243" spans="8:13" s="11" customFormat="1" x14ac:dyDescent="0.3">
      <c r="H243" s="2" t="s">
        <v>434</v>
      </c>
      <c r="I243" s="39"/>
      <c r="J243" s="18"/>
      <c r="L243" s="44">
        <f>Table13456781011121314151617181920212223242526[[#This Row],[الدولار]]+(Table13456781011121314151617181920212223242526[[#This Row],[اللبناني]]/90)</f>
        <v>0</v>
      </c>
      <c r="M243" s="6"/>
    </row>
    <row r="244" spans="8:13" s="11" customFormat="1" x14ac:dyDescent="0.3">
      <c r="H244" s="2" t="s">
        <v>434</v>
      </c>
      <c r="I244" s="39"/>
      <c r="J244" s="18"/>
      <c r="L244" s="44">
        <f>Table13456781011121314151617181920212223242526[[#This Row],[الدولار]]+(Table13456781011121314151617181920212223242526[[#This Row],[اللبناني]]/90)</f>
        <v>0</v>
      </c>
      <c r="M244" s="6"/>
    </row>
    <row r="245" spans="8:13" s="11" customFormat="1" x14ac:dyDescent="0.3">
      <c r="H245" s="2" t="s">
        <v>434</v>
      </c>
      <c r="I245" s="39"/>
      <c r="J245" s="18"/>
      <c r="L245" s="44">
        <f>Table13456781011121314151617181920212223242526[[#This Row],[الدولار]]+(Table13456781011121314151617181920212223242526[[#This Row],[اللبناني]]/90)</f>
        <v>0</v>
      </c>
      <c r="M245" s="6"/>
    </row>
    <row r="246" spans="8:13" s="11" customFormat="1" x14ac:dyDescent="0.3">
      <c r="H246" s="2" t="s">
        <v>434</v>
      </c>
      <c r="I246" s="39"/>
      <c r="J246" s="18"/>
      <c r="L246" s="44">
        <f>Table13456781011121314151617181920212223242526[[#This Row],[الدولار]]+(Table13456781011121314151617181920212223242526[[#This Row],[اللبناني]]/90)</f>
        <v>0</v>
      </c>
      <c r="M246" s="6"/>
    </row>
    <row r="247" spans="8:13" s="11" customFormat="1" x14ac:dyDescent="0.3">
      <c r="H247" s="2" t="s">
        <v>434</v>
      </c>
      <c r="I247" s="39"/>
      <c r="J247" s="18"/>
      <c r="L247" s="44">
        <f>Table13456781011121314151617181920212223242526[[#This Row],[الدولار]]+(Table13456781011121314151617181920212223242526[[#This Row],[اللبناني]]/90)</f>
        <v>0</v>
      </c>
      <c r="M247" s="6"/>
    </row>
    <row r="248" spans="8:13" s="11" customFormat="1" x14ac:dyDescent="0.3">
      <c r="H248" s="2" t="s">
        <v>434</v>
      </c>
      <c r="I248" s="39"/>
      <c r="J248" s="18"/>
      <c r="L248" s="44">
        <f>Table13456781011121314151617181920212223242526[[#This Row],[الدولار]]+(Table13456781011121314151617181920212223242526[[#This Row],[اللبناني]]/90)</f>
        <v>0</v>
      </c>
      <c r="M248" s="6"/>
    </row>
    <row r="249" spans="8:13" s="11" customFormat="1" x14ac:dyDescent="0.3">
      <c r="H249" s="2" t="s">
        <v>434</v>
      </c>
      <c r="I249" s="39"/>
      <c r="J249" s="18"/>
      <c r="L249" s="44">
        <f>Table13456781011121314151617181920212223242526[[#This Row],[الدولار]]+(Table13456781011121314151617181920212223242526[[#This Row],[اللبناني]]/90)</f>
        <v>0</v>
      </c>
      <c r="M249" s="6"/>
    </row>
    <row r="250" spans="8:13" s="11" customFormat="1" x14ac:dyDescent="0.3">
      <c r="H250" s="2" t="s">
        <v>434</v>
      </c>
      <c r="I250" s="39"/>
      <c r="J250" s="18"/>
      <c r="L250" s="44">
        <f>Table13456781011121314151617181920212223242526[[#This Row],[الدولار]]+(Table13456781011121314151617181920212223242526[[#This Row],[اللبناني]]/90)</f>
        <v>0</v>
      </c>
      <c r="M250" s="6"/>
    </row>
    <row r="251" spans="8:13" s="11" customFormat="1" x14ac:dyDescent="0.3">
      <c r="H251" s="2" t="s">
        <v>434</v>
      </c>
      <c r="I251" s="39"/>
      <c r="J251" s="18"/>
      <c r="L251" s="44">
        <f>Table13456781011121314151617181920212223242526[[#This Row],[الدولار]]+(Table13456781011121314151617181920212223242526[[#This Row],[اللبناني]]/90)</f>
        <v>0</v>
      </c>
      <c r="M251" s="6"/>
    </row>
    <row r="252" spans="8:13" s="11" customFormat="1" x14ac:dyDescent="0.3">
      <c r="H252" s="2" t="s">
        <v>434</v>
      </c>
      <c r="I252" s="39"/>
      <c r="J252" s="18"/>
      <c r="L252" s="44">
        <f>Table13456781011121314151617181920212223242526[[#This Row],[الدولار]]+(Table13456781011121314151617181920212223242526[[#This Row],[اللبناني]]/90)</f>
        <v>0</v>
      </c>
      <c r="M252" s="6"/>
    </row>
    <row r="253" spans="8:13" s="11" customFormat="1" x14ac:dyDescent="0.3">
      <c r="H253" s="2" t="s">
        <v>434</v>
      </c>
      <c r="I253" s="39"/>
      <c r="J253" s="18"/>
      <c r="L253" s="44">
        <f>Table13456781011121314151617181920212223242526[[#This Row],[الدولار]]+(Table13456781011121314151617181920212223242526[[#This Row],[اللبناني]]/90)</f>
        <v>0</v>
      </c>
      <c r="M253" s="6"/>
    </row>
    <row r="254" spans="8:13" s="11" customFormat="1" x14ac:dyDescent="0.3">
      <c r="H254" s="2" t="s">
        <v>434</v>
      </c>
      <c r="I254" s="39"/>
      <c r="J254" s="18"/>
      <c r="L254" s="44">
        <f>Table13456781011121314151617181920212223242526[[#This Row],[الدولار]]+(Table13456781011121314151617181920212223242526[[#This Row],[اللبناني]]/90)</f>
        <v>0</v>
      </c>
      <c r="M254" s="6"/>
    </row>
    <row r="255" spans="8:13" s="11" customFormat="1" x14ac:dyDescent="0.3">
      <c r="H255" s="2" t="s">
        <v>434</v>
      </c>
      <c r="I255" s="39"/>
      <c r="J255" s="18"/>
      <c r="L255" s="44">
        <f>Table13456781011121314151617181920212223242526[[#This Row],[الدولار]]+(Table13456781011121314151617181920212223242526[[#This Row],[اللبناني]]/90)</f>
        <v>0</v>
      </c>
      <c r="M255" s="6"/>
    </row>
    <row r="256" spans="8:13" s="11" customFormat="1" x14ac:dyDescent="0.3">
      <c r="H256" s="2" t="s">
        <v>434</v>
      </c>
      <c r="I256" s="39"/>
      <c r="J256" s="18"/>
      <c r="L256" s="44">
        <f>Table13456781011121314151617181920212223242526[[#This Row],[الدولار]]+(Table13456781011121314151617181920212223242526[[#This Row],[اللبناني]]/90)</f>
        <v>0</v>
      </c>
      <c r="M256" s="6"/>
    </row>
    <row r="257" spans="8:13" s="11" customFormat="1" x14ac:dyDescent="0.3">
      <c r="H257" s="2" t="s">
        <v>434</v>
      </c>
      <c r="I257" s="39"/>
      <c r="J257" s="18"/>
      <c r="L257" s="44">
        <f>Table13456781011121314151617181920212223242526[[#This Row],[الدولار]]+(Table13456781011121314151617181920212223242526[[#This Row],[اللبناني]]/90)</f>
        <v>0</v>
      </c>
      <c r="M257" s="6"/>
    </row>
    <row r="258" spans="8:13" s="11" customFormat="1" x14ac:dyDescent="0.3">
      <c r="H258" s="2" t="s">
        <v>434</v>
      </c>
      <c r="I258" s="39"/>
      <c r="J258" s="18"/>
      <c r="L258" s="44">
        <f>Table13456781011121314151617181920212223242526[[#This Row],[الدولار]]+(Table13456781011121314151617181920212223242526[[#This Row],[اللبناني]]/90)</f>
        <v>0</v>
      </c>
      <c r="M258" s="6"/>
    </row>
    <row r="259" spans="8:13" s="11" customFormat="1" x14ac:dyDescent="0.3">
      <c r="H259" s="2" t="s">
        <v>434</v>
      </c>
      <c r="I259" s="39"/>
      <c r="J259" s="18"/>
      <c r="L259" s="44">
        <f>Table13456781011121314151617181920212223242526[[#This Row],[الدولار]]+(Table13456781011121314151617181920212223242526[[#This Row],[اللبناني]]/90)</f>
        <v>0</v>
      </c>
      <c r="M259" s="6"/>
    </row>
    <row r="260" spans="8:13" s="11" customFormat="1" x14ac:dyDescent="0.3">
      <c r="H260" s="2" t="s">
        <v>434</v>
      </c>
      <c r="I260" s="39"/>
      <c r="J260" s="18"/>
      <c r="L260" s="44">
        <f>Table13456781011121314151617181920212223242526[[#This Row],[الدولار]]+(Table13456781011121314151617181920212223242526[[#This Row],[اللبناني]]/90)</f>
        <v>0</v>
      </c>
      <c r="M260" s="6"/>
    </row>
    <row r="261" spans="8:13" s="11" customFormat="1" x14ac:dyDescent="0.3">
      <c r="H261" s="2" t="s">
        <v>434</v>
      </c>
      <c r="I261" s="39"/>
      <c r="J261" s="18"/>
      <c r="L261" s="44">
        <f>Table13456781011121314151617181920212223242526[[#This Row],[الدولار]]+(Table13456781011121314151617181920212223242526[[#This Row],[اللبناني]]/90)</f>
        <v>0</v>
      </c>
      <c r="M261" s="6"/>
    </row>
    <row r="262" spans="8:13" s="11" customFormat="1" x14ac:dyDescent="0.3">
      <c r="H262" s="2" t="s">
        <v>434</v>
      </c>
      <c r="I262" s="39"/>
      <c r="J262" s="18"/>
      <c r="L262" s="44">
        <f>Table13456781011121314151617181920212223242526[[#This Row],[الدولار]]+(Table13456781011121314151617181920212223242526[[#This Row],[اللبناني]]/90)</f>
        <v>0</v>
      </c>
      <c r="M262" s="6"/>
    </row>
    <row r="263" spans="8:13" s="11" customFormat="1" x14ac:dyDescent="0.3">
      <c r="H263" s="2" t="s">
        <v>434</v>
      </c>
      <c r="I263" s="39"/>
      <c r="J263" s="18"/>
      <c r="L263" s="44">
        <f>Table13456781011121314151617181920212223242526[[#This Row],[الدولار]]+(Table13456781011121314151617181920212223242526[[#This Row],[اللبناني]]/90)</f>
        <v>0</v>
      </c>
      <c r="M263" s="6"/>
    </row>
    <row r="264" spans="8:13" s="11" customFormat="1" x14ac:dyDescent="0.3">
      <c r="H264" s="2" t="s">
        <v>434</v>
      </c>
      <c r="I264" s="39"/>
      <c r="J264" s="18"/>
      <c r="L264" s="44">
        <f>Table13456781011121314151617181920212223242526[[#This Row],[الدولار]]+(Table13456781011121314151617181920212223242526[[#This Row],[اللبناني]]/90)</f>
        <v>0</v>
      </c>
      <c r="M264" s="6"/>
    </row>
    <row r="265" spans="8:13" s="11" customFormat="1" x14ac:dyDescent="0.3">
      <c r="H265" s="2" t="s">
        <v>434</v>
      </c>
      <c r="I265" s="39"/>
      <c r="J265" s="18"/>
      <c r="L265" s="44">
        <f>Table13456781011121314151617181920212223242526[[#This Row],[الدولار]]+(Table13456781011121314151617181920212223242526[[#This Row],[اللبناني]]/90)</f>
        <v>0</v>
      </c>
      <c r="M265" s="6"/>
    </row>
    <row r="266" spans="8:13" s="11" customFormat="1" x14ac:dyDescent="0.3">
      <c r="H266" s="2" t="s">
        <v>434</v>
      </c>
      <c r="I266" s="39"/>
      <c r="J266" s="18"/>
      <c r="L266" s="44">
        <f>Table13456781011121314151617181920212223242526[[#This Row],[الدولار]]+(Table13456781011121314151617181920212223242526[[#This Row],[اللبناني]]/90)</f>
        <v>0</v>
      </c>
      <c r="M266" s="6"/>
    </row>
    <row r="267" spans="8:13" s="11" customFormat="1" x14ac:dyDescent="0.3">
      <c r="H267" s="2" t="s">
        <v>434</v>
      </c>
      <c r="I267" s="39"/>
      <c r="J267" s="18"/>
      <c r="L267" s="44">
        <f>Table13456781011121314151617181920212223242526[[#This Row],[الدولار]]+(Table13456781011121314151617181920212223242526[[#This Row],[اللبناني]]/90)</f>
        <v>0</v>
      </c>
      <c r="M267" s="6"/>
    </row>
    <row r="268" spans="8:13" s="11" customFormat="1" x14ac:dyDescent="0.3">
      <c r="H268" s="2" t="s">
        <v>434</v>
      </c>
      <c r="I268" s="39"/>
      <c r="J268" s="18"/>
      <c r="L268" s="44">
        <f>Table13456781011121314151617181920212223242526[[#This Row],[الدولار]]+(Table13456781011121314151617181920212223242526[[#This Row],[اللبناني]]/90)</f>
        <v>0</v>
      </c>
      <c r="M268" s="6"/>
    </row>
    <row r="269" spans="8:13" s="11" customFormat="1" x14ac:dyDescent="0.3">
      <c r="H269" s="2" t="s">
        <v>434</v>
      </c>
      <c r="I269" s="39"/>
      <c r="J269" s="18"/>
      <c r="L269" s="44">
        <f>Table13456781011121314151617181920212223242526[[#This Row],[الدولار]]+(Table13456781011121314151617181920212223242526[[#This Row],[اللبناني]]/90)</f>
        <v>0</v>
      </c>
      <c r="M269" s="6"/>
    </row>
    <row r="270" spans="8:13" s="11" customFormat="1" x14ac:dyDescent="0.3">
      <c r="H270" s="2" t="s">
        <v>434</v>
      </c>
      <c r="I270" s="39"/>
      <c r="J270" s="18"/>
      <c r="L270" s="44">
        <f>Table13456781011121314151617181920212223242526[[#This Row],[الدولار]]+(Table13456781011121314151617181920212223242526[[#This Row],[اللبناني]]/90)</f>
        <v>0</v>
      </c>
      <c r="M270" s="6"/>
    </row>
    <row r="271" spans="8:13" s="11" customFormat="1" x14ac:dyDescent="0.3">
      <c r="H271" s="2" t="s">
        <v>434</v>
      </c>
      <c r="I271" s="39"/>
      <c r="J271" s="18"/>
      <c r="L271" s="44">
        <f>Table13456781011121314151617181920212223242526[[#This Row],[الدولار]]+(Table13456781011121314151617181920212223242526[[#This Row],[اللبناني]]/90)</f>
        <v>0</v>
      </c>
      <c r="M271" s="6"/>
    </row>
    <row r="272" spans="8:13" s="11" customFormat="1" x14ac:dyDescent="0.3">
      <c r="H272" s="2" t="s">
        <v>434</v>
      </c>
      <c r="I272" s="39"/>
      <c r="J272" s="18"/>
      <c r="L272" s="44">
        <f>Table13456781011121314151617181920212223242526[[#This Row],[الدولار]]+(Table13456781011121314151617181920212223242526[[#This Row],[اللبناني]]/90)</f>
        <v>0</v>
      </c>
      <c r="M272" s="6"/>
    </row>
    <row r="273" spans="8:13" s="11" customFormat="1" x14ac:dyDescent="0.3">
      <c r="H273" s="2" t="s">
        <v>434</v>
      </c>
      <c r="I273" s="39"/>
      <c r="J273" s="18"/>
      <c r="L273" s="44">
        <f>Table13456781011121314151617181920212223242526[[#This Row],[الدولار]]+(Table13456781011121314151617181920212223242526[[#This Row],[اللبناني]]/90)</f>
        <v>0</v>
      </c>
      <c r="M273" s="6"/>
    </row>
    <row r="274" spans="8:13" s="11" customFormat="1" x14ac:dyDescent="0.3">
      <c r="H274" s="2" t="s">
        <v>434</v>
      </c>
      <c r="I274" s="39"/>
      <c r="J274" s="18"/>
      <c r="L274" s="44">
        <f>Table13456781011121314151617181920212223242526[[#This Row],[الدولار]]+(Table13456781011121314151617181920212223242526[[#This Row],[اللبناني]]/90)</f>
        <v>0</v>
      </c>
      <c r="M274" s="6"/>
    </row>
    <row r="275" spans="8:13" s="11" customFormat="1" x14ac:dyDescent="0.3">
      <c r="H275" s="2" t="s">
        <v>434</v>
      </c>
      <c r="I275" s="39"/>
      <c r="J275" s="18"/>
      <c r="L275" s="44">
        <f>Table13456781011121314151617181920212223242526[[#This Row],[الدولار]]+(Table13456781011121314151617181920212223242526[[#This Row],[اللبناني]]/90)</f>
        <v>0</v>
      </c>
      <c r="M275" s="6"/>
    </row>
    <row r="276" spans="8:13" s="11" customFormat="1" x14ac:dyDescent="0.3">
      <c r="H276" s="2" t="s">
        <v>434</v>
      </c>
      <c r="I276" s="39"/>
      <c r="J276" s="18"/>
      <c r="L276" s="44">
        <f>Table13456781011121314151617181920212223242526[[#This Row],[الدولار]]+(Table13456781011121314151617181920212223242526[[#This Row],[اللبناني]]/90)</f>
        <v>0</v>
      </c>
      <c r="M276" s="6"/>
    </row>
    <row r="277" spans="8:13" s="11" customFormat="1" x14ac:dyDescent="0.3">
      <c r="H277" s="2" t="s">
        <v>434</v>
      </c>
      <c r="I277" s="39"/>
      <c r="J277" s="18"/>
      <c r="L277" s="44">
        <f>Table13456781011121314151617181920212223242526[[#This Row],[الدولار]]+(Table13456781011121314151617181920212223242526[[#This Row],[اللبناني]]/90)</f>
        <v>0</v>
      </c>
      <c r="M277" s="6"/>
    </row>
    <row r="278" spans="8:13" s="11" customFormat="1" x14ac:dyDescent="0.3">
      <c r="H278" s="2" t="s">
        <v>434</v>
      </c>
      <c r="I278" s="39"/>
      <c r="J278" s="18"/>
      <c r="L278" s="44">
        <f>Table13456781011121314151617181920212223242526[[#This Row],[الدولار]]+(Table13456781011121314151617181920212223242526[[#This Row],[اللبناني]]/90)</f>
        <v>0</v>
      </c>
      <c r="M278" s="6"/>
    </row>
    <row r="279" spans="8:13" s="11" customFormat="1" x14ac:dyDescent="0.3">
      <c r="H279" s="2" t="s">
        <v>434</v>
      </c>
      <c r="I279" s="39"/>
      <c r="J279" s="18"/>
      <c r="L279" s="44">
        <f>Table13456781011121314151617181920212223242526[[#This Row],[الدولار]]+(Table13456781011121314151617181920212223242526[[#This Row],[اللبناني]]/90)</f>
        <v>0</v>
      </c>
      <c r="M279" s="6"/>
    </row>
    <row r="280" spans="8:13" s="11" customFormat="1" x14ac:dyDescent="0.3">
      <c r="H280" s="2" t="s">
        <v>434</v>
      </c>
      <c r="I280" s="39"/>
      <c r="J280" s="18"/>
      <c r="L280" s="44">
        <f>Table13456781011121314151617181920212223242526[[#This Row],[الدولار]]+(Table13456781011121314151617181920212223242526[[#This Row],[اللبناني]]/90)</f>
        <v>0</v>
      </c>
      <c r="M280" s="6"/>
    </row>
    <row r="281" spans="8:13" s="11" customFormat="1" x14ac:dyDescent="0.3">
      <c r="H281" s="2" t="s">
        <v>434</v>
      </c>
      <c r="I281" s="39"/>
      <c r="J281" s="18"/>
      <c r="L281" s="44">
        <f>Table13456781011121314151617181920212223242526[[#This Row],[الدولار]]+(Table13456781011121314151617181920212223242526[[#This Row],[اللبناني]]/90)</f>
        <v>0</v>
      </c>
      <c r="M281" s="6"/>
    </row>
    <row r="282" spans="8:13" s="11" customFormat="1" x14ac:dyDescent="0.3">
      <c r="H282" s="2" t="s">
        <v>434</v>
      </c>
      <c r="I282" s="39"/>
      <c r="J282" s="18"/>
      <c r="L282" s="44">
        <f>Table13456781011121314151617181920212223242526[[#This Row],[الدولار]]+(Table13456781011121314151617181920212223242526[[#This Row],[اللبناني]]/90)</f>
        <v>0</v>
      </c>
      <c r="M282" s="6"/>
    </row>
    <row r="283" spans="8:13" s="11" customFormat="1" x14ac:dyDescent="0.3">
      <c r="H283" s="2" t="s">
        <v>434</v>
      </c>
      <c r="I283" s="39"/>
      <c r="J283" s="18"/>
      <c r="L283" s="44">
        <f>Table13456781011121314151617181920212223242526[[#This Row],[الدولار]]+(Table13456781011121314151617181920212223242526[[#This Row],[اللبناني]]/90)</f>
        <v>0</v>
      </c>
      <c r="M283" s="6"/>
    </row>
    <row r="284" spans="8:13" s="11" customFormat="1" x14ac:dyDescent="0.3">
      <c r="H284" s="2" t="s">
        <v>434</v>
      </c>
      <c r="I284" s="39"/>
      <c r="J284" s="18"/>
      <c r="L284" s="44">
        <f>Table13456781011121314151617181920212223242526[[#This Row],[الدولار]]+(Table13456781011121314151617181920212223242526[[#This Row],[اللبناني]]/90)</f>
        <v>0</v>
      </c>
      <c r="M284" s="6"/>
    </row>
    <row r="285" spans="8:13" s="11" customFormat="1" x14ac:dyDescent="0.3">
      <c r="H285" s="2" t="s">
        <v>434</v>
      </c>
      <c r="I285" s="39"/>
      <c r="J285" s="18"/>
      <c r="L285" s="44">
        <f>Table13456781011121314151617181920212223242526[[#This Row],[الدولار]]+(Table13456781011121314151617181920212223242526[[#This Row],[اللبناني]]/90)</f>
        <v>0</v>
      </c>
      <c r="M285" s="6"/>
    </row>
    <row r="286" spans="8:13" s="11" customFormat="1" x14ac:dyDescent="0.3">
      <c r="H286" s="2" t="s">
        <v>434</v>
      </c>
      <c r="I286" s="39"/>
      <c r="J286" s="18"/>
      <c r="L286" s="44">
        <f>Table13456781011121314151617181920212223242526[[#This Row],[الدولار]]+(Table13456781011121314151617181920212223242526[[#This Row],[اللبناني]]/90)</f>
        <v>0</v>
      </c>
      <c r="M286" s="6"/>
    </row>
    <row r="287" spans="8:13" s="11" customFormat="1" x14ac:dyDescent="0.3">
      <c r="H287" s="2" t="s">
        <v>434</v>
      </c>
      <c r="I287" s="39"/>
      <c r="J287" s="18"/>
      <c r="L287" s="44">
        <f>Table13456781011121314151617181920212223242526[[#This Row],[الدولار]]+(Table13456781011121314151617181920212223242526[[#This Row],[اللبناني]]/90)</f>
        <v>0</v>
      </c>
      <c r="M287" s="6"/>
    </row>
    <row r="288" spans="8:13" s="11" customFormat="1" x14ac:dyDescent="0.3">
      <c r="H288" s="2" t="s">
        <v>434</v>
      </c>
      <c r="I288" s="39"/>
      <c r="J288" s="18"/>
      <c r="L288" s="44">
        <f>Table13456781011121314151617181920212223242526[[#This Row],[الدولار]]+(Table13456781011121314151617181920212223242526[[#This Row],[اللبناني]]/90)</f>
        <v>0</v>
      </c>
      <c r="M288" s="6"/>
    </row>
    <row r="289" spans="8:13" s="11" customFormat="1" x14ac:dyDescent="0.3">
      <c r="H289" s="2" t="s">
        <v>434</v>
      </c>
      <c r="I289" s="39"/>
      <c r="J289" s="18"/>
      <c r="L289" s="44">
        <f>Table13456781011121314151617181920212223242526[[#This Row],[الدولار]]+(Table13456781011121314151617181920212223242526[[#This Row],[اللبناني]]/90)</f>
        <v>0</v>
      </c>
      <c r="M289" s="6"/>
    </row>
    <row r="290" spans="8:13" s="11" customFormat="1" x14ac:dyDescent="0.3">
      <c r="H290" s="2" t="s">
        <v>434</v>
      </c>
      <c r="I290" s="39"/>
      <c r="J290" s="18"/>
      <c r="L290" s="44">
        <f>Table13456781011121314151617181920212223242526[[#This Row],[الدولار]]+(Table13456781011121314151617181920212223242526[[#This Row],[اللبناني]]/90)</f>
        <v>0</v>
      </c>
      <c r="M290" s="6"/>
    </row>
    <row r="291" spans="8:13" s="11" customFormat="1" x14ac:dyDescent="0.3">
      <c r="H291" s="2" t="s">
        <v>434</v>
      </c>
      <c r="I291" s="39"/>
      <c r="J291" s="18"/>
      <c r="L291" s="44">
        <f>Table13456781011121314151617181920212223242526[[#This Row],[الدولار]]+(Table13456781011121314151617181920212223242526[[#This Row],[اللبناني]]/90)</f>
        <v>0</v>
      </c>
      <c r="M291" s="6"/>
    </row>
    <row r="292" spans="8:13" s="11" customFormat="1" x14ac:dyDescent="0.3">
      <c r="H292" s="2" t="s">
        <v>434</v>
      </c>
      <c r="I292" s="39"/>
      <c r="J292" s="18"/>
      <c r="L292" s="44">
        <f>Table13456781011121314151617181920212223242526[[#This Row],[الدولار]]+(Table13456781011121314151617181920212223242526[[#This Row],[اللبناني]]/90)</f>
        <v>0</v>
      </c>
      <c r="M292" s="6"/>
    </row>
    <row r="293" spans="8:13" s="11" customFormat="1" x14ac:dyDescent="0.3">
      <c r="H293" s="2" t="s">
        <v>434</v>
      </c>
      <c r="I293" s="39"/>
      <c r="J293" s="18"/>
      <c r="L293" s="44">
        <f>Table13456781011121314151617181920212223242526[[#This Row],[الدولار]]+(Table13456781011121314151617181920212223242526[[#This Row],[اللبناني]]/90)</f>
        <v>0</v>
      </c>
      <c r="M293" s="6"/>
    </row>
    <row r="294" spans="8:13" s="11" customFormat="1" x14ac:dyDescent="0.3">
      <c r="H294" s="2" t="s">
        <v>434</v>
      </c>
      <c r="I294" s="39"/>
      <c r="J294" s="18"/>
      <c r="L294" s="44">
        <f>Table13456781011121314151617181920212223242526[[#This Row],[الدولار]]+(Table13456781011121314151617181920212223242526[[#This Row],[اللبناني]]/90)</f>
        <v>0</v>
      </c>
      <c r="M294" s="6"/>
    </row>
    <row r="295" spans="8:13" s="11" customFormat="1" x14ac:dyDescent="0.3">
      <c r="H295" s="2" t="s">
        <v>434</v>
      </c>
      <c r="I295" s="39"/>
      <c r="J295" s="18"/>
      <c r="L295" s="44">
        <f>Table13456781011121314151617181920212223242526[[#This Row],[الدولار]]+(Table13456781011121314151617181920212223242526[[#This Row],[اللبناني]]/90)</f>
        <v>0</v>
      </c>
      <c r="M295" s="6"/>
    </row>
    <row r="296" spans="8:13" s="11" customFormat="1" x14ac:dyDescent="0.3">
      <c r="H296" s="2" t="s">
        <v>434</v>
      </c>
      <c r="I296" s="39"/>
      <c r="J296" s="18"/>
      <c r="L296" s="44">
        <f>Table13456781011121314151617181920212223242526[[#This Row],[الدولار]]+(Table13456781011121314151617181920212223242526[[#This Row],[اللبناني]]/90)</f>
        <v>0</v>
      </c>
      <c r="M296" s="6"/>
    </row>
    <row r="297" spans="8:13" s="11" customFormat="1" x14ac:dyDescent="0.3">
      <c r="H297" s="2" t="s">
        <v>434</v>
      </c>
      <c r="I297" s="39"/>
      <c r="J297" s="18"/>
      <c r="L297" s="44">
        <f>Table13456781011121314151617181920212223242526[[#This Row],[الدولار]]+(Table13456781011121314151617181920212223242526[[#This Row],[اللبناني]]/90)</f>
        <v>0</v>
      </c>
      <c r="M297" s="6"/>
    </row>
    <row r="298" spans="8:13" s="11" customFormat="1" x14ac:dyDescent="0.3">
      <c r="H298" s="2" t="s">
        <v>434</v>
      </c>
      <c r="I298" s="39"/>
      <c r="J298" s="18"/>
      <c r="L298" s="44">
        <f>Table13456781011121314151617181920212223242526[[#This Row],[الدولار]]+(Table13456781011121314151617181920212223242526[[#This Row],[اللبناني]]/90)</f>
        <v>0</v>
      </c>
      <c r="M298" s="6"/>
    </row>
    <row r="299" spans="8:13" s="11" customFormat="1" x14ac:dyDescent="0.3">
      <c r="H299" s="2" t="s">
        <v>434</v>
      </c>
      <c r="I299" s="39"/>
      <c r="J299" s="18"/>
      <c r="L299" s="44">
        <f>Table13456781011121314151617181920212223242526[[#This Row],[الدولار]]+(Table13456781011121314151617181920212223242526[[#This Row],[اللبناني]]/90)</f>
        <v>0</v>
      </c>
      <c r="M299" s="6"/>
    </row>
    <row r="300" spans="8:13" s="11" customFormat="1" x14ac:dyDescent="0.3">
      <c r="H300" s="2" t="s">
        <v>434</v>
      </c>
      <c r="I300" s="39"/>
      <c r="J300" s="18"/>
      <c r="L300" s="44">
        <f>Table13456781011121314151617181920212223242526[[#This Row],[الدولار]]+(Table13456781011121314151617181920212223242526[[#This Row],[اللبناني]]/90)</f>
        <v>0</v>
      </c>
      <c r="M300" s="6"/>
    </row>
    <row r="301" spans="8:13" s="11" customFormat="1" x14ac:dyDescent="0.3">
      <c r="H301" s="2" t="s">
        <v>434</v>
      </c>
      <c r="I301" s="39"/>
      <c r="J301" s="18"/>
      <c r="L301" s="44">
        <f>Table13456781011121314151617181920212223242526[[#This Row],[الدولار]]+(Table13456781011121314151617181920212223242526[[#This Row],[اللبناني]]/90)</f>
        <v>0</v>
      </c>
      <c r="M301" s="6"/>
    </row>
    <row r="302" spans="8:13" s="11" customFormat="1" x14ac:dyDescent="0.3">
      <c r="H302" s="2" t="s">
        <v>434</v>
      </c>
      <c r="I302" s="39"/>
      <c r="J302" s="18"/>
      <c r="L302" s="44">
        <f>Table13456781011121314151617181920212223242526[[#This Row],[الدولار]]+(Table13456781011121314151617181920212223242526[[#This Row],[اللبناني]]/90)</f>
        <v>0</v>
      </c>
      <c r="M302" s="6"/>
    </row>
    <row r="303" spans="8:13" s="11" customFormat="1" x14ac:dyDescent="0.3">
      <c r="H303" s="2" t="s">
        <v>434</v>
      </c>
      <c r="I303" s="39"/>
      <c r="J303" s="18"/>
      <c r="L303" s="44">
        <f>Table13456781011121314151617181920212223242526[[#This Row],[الدولار]]+(Table13456781011121314151617181920212223242526[[#This Row],[اللبناني]]/90)</f>
        <v>0</v>
      </c>
      <c r="M303" s="6"/>
    </row>
    <row r="304" spans="8:13" s="11" customFormat="1" x14ac:dyDescent="0.3">
      <c r="H304" s="2" t="s">
        <v>434</v>
      </c>
      <c r="I304" s="39"/>
      <c r="J304" s="18"/>
      <c r="L304" s="44">
        <f>Table13456781011121314151617181920212223242526[[#This Row],[الدولار]]+(Table13456781011121314151617181920212223242526[[#This Row],[اللبناني]]/90)</f>
        <v>0</v>
      </c>
      <c r="M304" s="6"/>
    </row>
    <row r="305" spans="8:13" s="11" customFormat="1" x14ac:dyDescent="0.3">
      <c r="H305" s="2" t="s">
        <v>434</v>
      </c>
      <c r="I305" s="39"/>
      <c r="J305" s="18"/>
      <c r="L305" s="44">
        <f>Table13456781011121314151617181920212223242526[[#This Row],[الدولار]]+(Table13456781011121314151617181920212223242526[[#This Row],[اللبناني]]/90)</f>
        <v>0</v>
      </c>
      <c r="M305" s="6"/>
    </row>
    <row r="306" spans="8:13" s="11" customFormat="1" x14ac:dyDescent="0.3">
      <c r="H306" s="2" t="s">
        <v>434</v>
      </c>
      <c r="I306" s="39"/>
      <c r="J306" s="18"/>
      <c r="L306" s="44">
        <f>Table13456781011121314151617181920212223242526[[#This Row],[الدولار]]+(Table13456781011121314151617181920212223242526[[#This Row],[اللبناني]]/90)</f>
        <v>0</v>
      </c>
      <c r="M306" s="6"/>
    </row>
    <row r="307" spans="8:13" s="11" customFormat="1" x14ac:dyDescent="0.3">
      <c r="H307" s="2" t="s">
        <v>434</v>
      </c>
      <c r="I307" s="39"/>
      <c r="J307" s="18"/>
      <c r="L307" s="44">
        <f>Table13456781011121314151617181920212223242526[[#This Row],[الدولار]]+(Table13456781011121314151617181920212223242526[[#This Row],[اللبناني]]/90)</f>
        <v>0</v>
      </c>
      <c r="M307" s="6"/>
    </row>
    <row r="308" spans="8:13" s="11" customFormat="1" x14ac:dyDescent="0.3">
      <c r="H308" s="2" t="s">
        <v>434</v>
      </c>
      <c r="I308" s="39"/>
      <c r="J308" s="18"/>
      <c r="L308" s="44">
        <f>Table13456781011121314151617181920212223242526[[#This Row],[الدولار]]+(Table13456781011121314151617181920212223242526[[#This Row],[اللبناني]]/90)</f>
        <v>0</v>
      </c>
      <c r="M308" s="6"/>
    </row>
    <row r="309" spans="8:13" s="11" customFormat="1" x14ac:dyDescent="0.3">
      <c r="H309" s="2" t="s">
        <v>434</v>
      </c>
      <c r="I309" s="39"/>
      <c r="J309" s="18"/>
      <c r="L309" s="44">
        <f>Table13456781011121314151617181920212223242526[[#This Row],[الدولار]]+(Table13456781011121314151617181920212223242526[[#This Row],[اللبناني]]/90)</f>
        <v>0</v>
      </c>
      <c r="M309" s="6"/>
    </row>
    <row r="310" spans="8:13" s="11" customFormat="1" x14ac:dyDescent="0.3">
      <c r="H310" s="2" t="s">
        <v>434</v>
      </c>
      <c r="I310" s="39"/>
      <c r="J310" s="18"/>
      <c r="L310" s="44">
        <f>Table13456781011121314151617181920212223242526[[#This Row],[الدولار]]+(Table13456781011121314151617181920212223242526[[#This Row],[اللبناني]]/90)</f>
        <v>0</v>
      </c>
      <c r="M310" s="6"/>
    </row>
    <row r="311" spans="8:13" s="11" customFormat="1" x14ac:dyDescent="0.3">
      <c r="H311" s="2" t="s">
        <v>434</v>
      </c>
      <c r="I311" s="39"/>
      <c r="J311" s="18"/>
      <c r="L311" s="44">
        <f>Table13456781011121314151617181920212223242526[[#This Row],[الدولار]]+(Table13456781011121314151617181920212223242526[[#This Row],[اللبناني]]/90)</f>
        <v>0</v>
      </c>
      <c r="M311" s="6"/>
    </row>
    <row r="312" spans="8:13" s="11" customFormat="1" x14ac:dyDescent="0.3">
      <c r="H312" s="2" t="s">
        <v>434</v>
      </c>
      <c r="I312" s="39"/>
      <c r="J312" s="18"/>
      <c r="L312" s="44">
        <f>Table13456781011121314151617181920212223242526[[#This Row],[الدولار]]+(Table13456781011121314151617181920212223242526[[#This Row],[اللبناني]]/90)</f>
        <v>0</v>
      </c>
      <c r="M312" s="6"/>
    </row>
    <row r="313" spans="8:13" s="11" customFormat="1" x14ac:dyDescent="0.3">
      <c r="H313" s="2" t="s">
        <v>434</v>
      </c>
      <c r="I313" s="39"/>
      <c r="J313" s="18"/>
      <c r="L313" s="44">
        <f>Table13456781011121314151617181920212223242526[[#This Row],[الدولار]]+(Table13456781011121314151617181920212223242526[[#This Row],[اللبناني]]/90)</f>
        <v>0</v>
      </c>
      <c r="M313" s="6"/>
    </row>
    <row r="314" spans="8:13" s="11" customFormat="1" x14ac:dyDescent="0.3">
      <c r="H314" s="2" t="s">
        <v>434</v>
      </c>
      <c r="I314" s="39"/>
      <c r="J314" s="18"/>
      <c r="L314" s="44">
        <f>Table13456781011121314151617181920212223242526[[#This Row],[الدولار]]+(Table13456781011121314151617181920212223242526[[#This Row],[اللبناني]]/90)</f>
        <v>0</v>
      </c>
      <c r="M314" s="6"/>
    </row>
    <row r="315" spans="8:13" s="11" customFormat="1" x14ac:dyDescent="0.3">
      <c r="H315" s="2" t="s">
        <v>434</v>
      </c>
      <c r="I315" s="39"/>
      <c r="J315" s="18"/>
      <c r="L315" s="44">
        <f>Table13456781011121314151617181920212223242526[[#This Row],[الدولار]]+(Table13456781011121314151617181920212223242526[[#This Row],[اللبناني]]/90)</f>
        <v>0</v>
      </c>
      <c r="M315" s="6"/>
    </row>
    <row r="316" spans="8:13" s="11" customFormat="1" x14ac:dyDescent="0.3">
      <c r="H316" s="2" t="s">
        <v>434</v>
      </c>
      <c r="I316" s="39"/>
      <c r="J316" s="18"/>
      <c r="L316" s="44">
        <f>Table13456781011121314151617181920212223242526[[#This Row],[الدولار]]+(Table13456781011121314151617181920212223242526[[#This Row],[اللبناني]]/90)</f>
        <v>0</v>
      </c>
      <c r="M316" s="6"/>
    </row>
    <row r="317" spans="8:13" s="11" customFormat="1" x14ac:dyDescent="0.3">
      <c r="H317" s="2" t="s">
        <v>434</v>
      </c>
      <c r="I317" s="39"/>
      <c r="J317" s="18"/>
      <c r="L317" s="44">
        <f>Table13456781011121314151617181920212223242526[[#This Row],[الدولار]]+(Table13456781011121314151617181920212223242526[[#This Row],[اللبناني]]/90)</f>
        <v>0</v>
      </c>
      <c r="M317" s="6"/>
    </row>
    <row r="318" spans="8:13" s="11" customFormat="1" x14ac:dyDescent="0.3">
      <c r="H318" s="2" t="s">
        <v>434</v>
      </c>
      <c r="I318" s="39"/>
      <c r="J318" s="18"/>
      <c r="L318" s="44">
        <f>Table13456781011121314151617181920212223242526[[#This Row],[الدولار]]+(Table13456781011121314151617181920212223242526[[#This Row],[اللبناني]]/90)</f>
        <v>0</v>
      </c>
      <c r="M318" s="6"/>
    </row>
    <row r="319" spans="8:13" s="11" customFormat="1" x14ac:dyDescent="0.3">
      <c r="H319" s="2" t="s">
        <v>434</v>
      </c>
      <c r="I319" s="39"/>
      <c r="J319" s="18"/>
      <c r="L319" s="44">
        <f>Table13456781011121314151617181920212223242526[[#This Row],[الدولار]]+(Table13456781011121314151617181920212223242526[[#This Row],[اللبناني]]/90)</f>
        <v>0</v>
      </c>
      <c r="M319" s="6"/>
    </row>
    <row r="320" spans="8:13" s="11" customFormat="1" x14ac:dyDescent="0.3">
      <c r="H320" s="2" t="s">
        <v>434</v>
      </c>
      <c r="I320" s="39"/>
      <c r="J320" s="18"/>
      <c r="L320" s="44">
        <f>Table13456781011121314151617181920212223242526[[#This Row],[الدولار]]+(Table13456781011121314151617181920212223242526[[#This Row],[اللبناني]]/90)</f>
        <v>0</v>
      </c>
      <c r="M320" s="6"/>
    </row>
    <row r="321" spans="8:13" s="11" customFormat="1" x14ac:dyDescent="0.3">
      <c r="H321" s="2" t="s">
        <v>434</v>
      </c>
      <c r="I321" s="39"/>
      <c r="J321" s="18"/>
      <c r="L321" s="44">
        <f>Table13456781011121314151617181920212223242526[[#This Row],[الدولار]]+(Table13456781011121314151617181920212223242526[[#This Row],[اللبناني]]/90)</f>
        <v>0</v>
      </c>
      <c r="M321" s="6"/>
    </row>
    <row r="322" spans="8:13" s="11" customFormat="1" x14ac:dyDescent="0.3">
      <c r="H322" s="2" t="s">
        <v>434</v>
      </c>
      <c r="I322" s="39"/>
      <c r="J322" s="18"/>
      <c r="L322" s="44">
        <f>Table13456781011121314151617181920212223242526[[#This Row],[الدولار]]+(Table13456781011121314151617181920212223242526[[#This Row],[اللبناني]]/90)</f>
        <v>0</v>
      </c>
      <c r="M322" s="6"/>
    </row>
    <row r="323" spans="8:13" s="11" customFormat="1" x14ac:dyDescent="0.3">
      <c r="H323" s="2" t="s">
        <v>434</v>
      </c>
      <c r="I323" s="39"/>
      <c r="J323" s="18"/>
      <c r="L323" s="44">
        <f>Table13456781011121314151617181920212223242526[[#This Row],[الدولار]]+(Table13456781011121314151617181920212223242526[[#This Row],[اللبناني]]/90)</f>
        <v>0</v>
      </c>
      <c r="M323" s="6"/>
    </row>
    <row r="324" spans="8:13" s="11" customFormat="1" x14ac:dyDescent="0.3">
      <c r="H324" s="2" t="s">
        <v>434</v>
      </c>
      <c r="I324" s="39"/>
      <c r="J324" s="18"/>
      <c r="L324" s="44">
        <f>Table13456781011121314151617181920212223242526[[#This Row],[الدولار]]+(Table13456781011121314151617181920212223242526[[#This Row],[اللبناني]]/90)</f>
        <v>0</v>
      </c>
      <c r="M324" s="6"/>
    </row>
    <row r="325" spans="8:13" s="11" customFormat="1" x14ac:dyDescent="0.3">
      <c r="H325" s="2" t="s">
        <v>434</v>
      </c>
      <c r="I325" s="39"/>
      <c r="J325" s="18"/>
      <c r="L325" s="44">
        <f>Table13456781011121314151617181920212223242526[[#This Row],[الدولار]]+(Table13456781011121314151617181920212223242526[[#This Row],[اللبناني]]/90)</f>
        <v>0</v>
      </c>
      <c r="M325" s="6"/>
    </row>
    <row r="326" spans="8:13" s="11" customFormat="1" x14ac:dyDescent="0.3">
      <c r="H326" s="2" t="s">
        <v>434</v>
      </c>
      <c r="I326" s="39"/>
      <c r="J326" s="18"/>
      <c r="L326" s="44">
        <f>Table13456781011121314151617181920212223242526[[#This Row],[الدولار]]+(Table13456781011121314151617181920212223242526[[#This Row],[اللبناني]]/90)</f>
        <v>0</v>
      </c>
      <c r="M326" s="6"/>
    </row>
    <row r="327" spans="8:13" s="11" customFormat="1" x14ac:dyDescent="0.3">
      <c r="H327" s="2" t="s">
        <v>434</v>
      </c>
      <c r="I327" s="39"/>
      <c r="J327" s="18"/>
      <c r="L327" s="44">
        <f>Table13456781011121314151617181920212223242526[[#This Row],[الدولار]]+(Table13456781011121314151617181920212223242526[[#This Row],[اللبناني]]/90)</f>
        <v>0</v>
      </c>
      <c r="M327" s="6"/>
    </row>
    <row r="328" spans="8:13" s="11" customFormat="1" x14ac:dyDescent="0.3">
      <c r="H328" s="2" t="s">
        <v>434</v>
      </c>
      <c r="I328" s="39"/>
      <c r="J328" s="18"/>
      <c r="L328" s="44">
        <f>Table13456781011121314151617181920212223242526[[#This Row],[الدولار]]+(Table13456781011121314151617181920212223242526[[#This Row],[اللبناني]]/90)</f>
        <v>0</v>
      </c>
      <c r="M328" s="6"/>
    </row>
    <row r="329" spans="8:13" s="11" customFormat="1" x14ac:dyDescent="0.3">
      <c r="H329" s="2" t="s">
        <v>434</v>
      </c>
      <c r="I329" s="39"/>
      <c r="J329" s="18"/>
      <c r="L329" s="44">
        <f>Table13456781011121314151617181920212223242526[[#This Row],[الدولار]]+(Table13456781011121314151617181920212223242526[[#This Row],[اللبناني]]/90)</f>
        <v>0</v>
      </c>
      <c r="M329" s="6"/>
    </row>
    <row r="330" spans="8:13" s="11" customFormat="1" x14ac:dyDescent="0.3">
      <c r="H330" s="2" t="s">
        <v>434</v>
      </c>
      <c r="I330" s="39"/>
      <c r="J330" s="18"/>
      <c r="L330" s="44">
        <f>Table13456781011121314151617181920212223242526[[#This Row],[الدولار]]+(Table13456781011121314151617181920212223242526[[#This Row],[اللبناني]]/90)</f>
        <v>0</v>
      </c>
      <c r="M330" s="6"/>
    </row>
    <row r="331" spans="8:13" s="11" customFormat="1" x14ac:dyDescent="0.3">
      <c r="H331" s="2" t="s">
        <v>434</v>
      </c>
      <c r="I331" s="39"/>
      <c r="J331" s="18"/>
      <c r="L331" s="44">
        <f>Table13456781011121314151617181920212223242526[[#This Row],[الدولار]]+(Table13456781011121314151617181920212223242526[[#This Row],[اللبناني]]/90)</f>
        <v>0</v>
      </c>
      <c r="M331" s="6"/>
    </row>
    <row r="332" spans="8:13" s="11" customFormat="1" x14ac:dyDescent="0.3">
      <c r="H332" s="2" t="s">
        <v>434</v>
      </c>
      <c r="I332" s="39"/>
      <c r="J332" s="18"/>
      <c r="L332" s="44">
        <f>Table13456781011121314151617181920212223242526[[#This Row],[الدولار]]+(Table13456781011121314151617181920212223242526[[#This Row],[اللبناني]]/90)</f>
        <v>0</v>
      </c>
      <c r="M332" s="6"/>
    </row>
    <row r="333" spans="8:13" s="11" customFormat="1" x14ac:dyDescent="0.3">
      <c r="H333" s="2" t="s">
        <v>434</v>
      </c>
      <c r="I333" s="39"/>
      <c r="J333" s="18"/>
      <c r="L333" s="44">
        <f>Table13456781011121314151617181920212223242526[[#This Row],[الدولار]]+(Table13456781011121314151617181920212223242526[[#This Row],[اللبناني]]/90)</f>
        <v>0</v>
      </c>
      <c r="M333" s="6"/>
    </row>
    <row r="334" spans="8:13" s="11" customFormat="1" x14ac:dyDescent="0.3">
      <c r="H334" s="2" t="s">
        <v>434</v>
      </c>
      <c r="I334" s="39"/>
      <c r="J334" s="18"/>
      <c r="L334" s="44">
        <f>Table13456781011121314151617181920212223242526[[#This Row],[الدولار]]+(Table13456781011121314151617181920212223242526[[#This Row],[اللبناني]]/90)</f>
        <v>0</v>
      </c>
      <c r="M334" s="6"/>
    </row>
    <row r="335" spans="8:13" s="11" customFormat="1" x14ac:dyDescent="0.3">
      <c r="H335" s="2" t="s">
        <v>434</v>
      </c>
      <c r="I335" s="39"/>
      <c r="J335" s="18"/>
      <c r="L335" s="44">
        <f>Table13456781011121314151617181920212223242526[[#This Row],[الدولار]]+(Table13456781011121314151617181920212223242526[[#This Row],[اللبناني]]/90)</f>
        <v>0</v>
      </c>
      <c r="M335" s="6"/>
    </row>
    <row r="336" spans="8:13" s="11" customFormat="1" x14ac:dyDescent="0.3">
      <c r="H336" s="2" t="s">
        <v>434</v>
      </c>
      <c r="I336" s="39"/>
      <c r="J336" s="18"/>
      <c r="L336" s="44">
        <f>Table13456781011121314151617181920212223242526[[#This Row],[الدولار]]+(Table13456781011121314151617181920212223242526[[#This Row],[اللبناني]]/90)</f>
        <v>0</v>
      </c>
      <c r="M336" s="6"/>
    </row>
    <row r="337" spans="8:13" s="11" customFormat="1" x14ac:dyDescent="0.3">
      <c r="H337" s="2" t="s">
        <v>434</v>
      </c>
      <c r="I337" s="39"/>
      <c r="J337" s="18"/>
      <c r="L337" s="44">
        <f>Table13456781011121314151617181920212223242526[[#This Row],[الدولار]]+(Table13456781011121314151617181920212223242526[[#This Row],[اللبناني]]/90)</f>
        <v>0</v>
      </c>
      <c r="M337" s="6"/>
    </row>
    <row r="338" spans="8:13" s="11" customFormat="1" x14ac:dyDescent="0.3">
      <c r="H338" s="2" t="s">
        <v>434</v>
      </c>
      <c r="I338" s="39"/>
      <c r="J338" s="18"/>
      <c r="L338" s="44">
        <f>Table13456781011121314151617181920212223242526[[#This Row],[الدولار]]+(Table13456781011121314151617181920212223242526[[#This Row],[اللبناني]]/90)</f>
        <v>0</v>
      </c>
      <c r="M338" s="6"/>
    </row>
    <row r="339" spans="8:13" s="11" customFormat="1" x14ac:dyDescent="0.3">
      <c r="H339" s="2" t="s">
        <v>434</v>
      </c>
      <c r="I339" s="39"/>
      <c r="J339" s="18"/>
      <c r="L339" s="44">
        <f>Table13456781011121314151617181920212223242526[[#This Row],[الدولار]]+(Table13456781011121314151617181920212223242526[[#This Row],[اللبناني]]/90)</f>
        <v>0</v>
      </c>
      <c r="M339" s="6"/>
    </row>
    <row r="340" spans="8:13" s="11" customFormat="1" x14ac:dyDescent="0.3">
      <c r="H340" s="2" t="s">
        <v>434</v>
      </c>
      <c r="I340" s="39"/>
      <c r="J340" s="18"/>
      <c r="L340" s="44">
        <f>Table13456781011121314151617181920212223242526[[#This Row],[الدولار]]+(Table13456781011121314151617181920212223242526[[#This Row],[اللبناني]]/90)</f>
        <v>0</v>
      </c>
      <c r="M340" s="6"/>
    </row>
    <row r="341" spans="8:13" s="11" customFormat="1" x14ac:dyDescent="0.3">
      <c r="H341" s="2" t="s">
        <v>434</v>
      </c>
      <c r="I341" s="39"/>
      <c r="J341" s="18"/>
      <c r="L341" s="44">
        <f>Table13456781011121314151617181920212223242526[[#This Row],[الدولار]]+(Table13456781011121314151617181920212223242526[[#This Row],[اللبناني]]/90)</f>
        <v>0</v>
      </c>
      <c r="M341" s="6"/>
    </row>
    <row r="342" spans="8:13" s="11" customFormat="1" x14ac:dyDescent="0.3">
      <c r="H342" s="2" t="s">
        <v>434</v>
      </c>
      <c r="I342" s="39"/>
      <c r="J342" s="18"/>
      <c r="L342" s="44">
        <f>Table13456781011121314151617181920212223242526[[#This Row],[الدولار]]+(Table13456781011121314151617181920212223242526[[#This Row],[اللبناني]]/90)</f>
        <v>0</v>
      </c>
      <c r="M342" s="6"/>
    </row>
    <row r="343" spans="8:13" s="11" customFormat="1" x14ac:dyDescent="0.3">
      <c r="H343" s="2" t="s">
        <v>434</v>
      </c>
      <c r="I343" s="39"/>
      <c r="J343" s="18"/>
      <c r="L343" s="44">
        <f>Table13456781011121314151617181920212223242526[[#This Row],[الدولار]]+(Table13456781011121314151617181920212223242526[[#This Row],[اللبناني]]/90)</f>
        <v>0</v>
      </c>
      <c r="M343" s="6"/>
    </row>
    <row r="344" spans="8:13" s="11" customFormat="1" x14ac:dyDescent="0.3">
      <c r="H344" s="2" t="s">
        <v>434</v>
      </c>
      <c r="I344" s="39"/>
      <c r="J344" s="18"/>
      <c r="L344" s="44">
        <f>Table13456781011121314151617181920212223242526[[#This Row],[الدولار]]+(Table13456781011121314151617181920212223242526[[#This Row],[اللبناني]]/90)</f>
        <v>0</v>
      </c>
      <c r="M344" s="6"/>
    </row>
    <row r="345" spans="8:13" s="11" customFormat="1" x14ac:dyDescent="0.3">
      <c r="H345" s="2" t="s">
        <v>434</v>
      </c>
      <c r="I345" s="39"/>
      <c r="J345" s="18"/>
      <c r="L345" s="44">
        <f>Table13456781011121314151617181920212223242526[[#This Row],[الدولار]]+(Table13456781011121314151617181920212223242526[[#This Row],[اللبناني]]/90)</f>
        <v>0</v>
      </c>
      <c r="M345" s="6"/>
    </row>
    <row r="346" spans="8:13" s="11" customFormat="1" x14ac:dyDescent="0.3">
      <c r="H346" s="2" t="s">
        <v>434</v>
      </c>
      <c r="I346" s="39"/>
      <c r="J346" s="18"/>
      <c r="L346" s="44">
        <f>Table13456781011121314151617181920212223242526[[#This Row],[الدولار]]+(Table13456781011121314151617181920212223242526[[#This Row],[اللبناني]]/90)</f>
        <v>0</v>
      </c>
      <c r="M346" s="6"/>
    </row>
    <row r="347" spans="8:13" s="11" customFormat="1" x14ac:dyDescent="0.3">
      <c r="H347" s="2" t="s">
        <v>434</v>
      </c>
      <c r="I347" s="39"/>
      <c r="J347" s="18"/>
      <c r="L347" s="44">
        <f>Table13456781011121314151617181920212223242526[[#This Row],[الدولار]]+(Table13456781011121314151617181920212223242526[[#This Row],[اللبناني]]/90)</f>
        <v>0</v>
      </c>
      <c r="M347" s="6"/>
    </row>
    <row r="348" spans="8:13" s="11" customFormat="1" x14ac:dyDescent="0.3">
      <c r="H348" s="2" t="s">
        <v>434</v>
      </c>
      <c r="I348" s="39"/>
      <c r="J348" s="18"/>
      <c r="L348" s="44">
        <f>Table13456781011121314151617181920212223242526[[#This Row],[الدولار]]+(Table13456781011121314151617181920212223242526[[#This Row],[اللبناني]]/90)</f>
        <v>0</v>
      </c>
      <c r="M348" s="6"/>
    </row>
    <row r="349" spans="8:13" s="11" customFormat="1" x14ac:dyDescent="0.3">
      <c r="H349" s="2" t="s">
        <v>434</v>
      </c>
      <c r="I349" s="39"/>
      <c r="J349" s="18"/>
      <c r="L349" s="44">
        <f>Table13456781011121314151617181920212223242526[[#This Row],[الدولار]]+(Table13456781011121314151617181920212223242526[[#This Row],[اللبناني]]/90)</f>
        <v>0</v>
      </c>
      <c r="M349" s="6"/>
    </row>
    <row r="350" spans="8:13" s="11" customFormat="1" x14ac:dyDescent="0.3">
      <c r="H350" s="2" t="s">
        <v>434</v>
      </c>
      <c r="I350" s="39"/>
      <c r="J350" s="18"/>
      <c r="L350" s="44">
        <f>Table13456781011121314151617181920212223242526[[#This Row],[الدولار]]+(Table13456781011121314151617181920212223242526[[#This Row],[اللبناني]]/90)</f>
        <v>0</v>
      </c>
      <c r="M350" s="6"/>
    </row>
    <row r="351" spans="8:13" s="11" customFormat="1" x14ac:dyDescent="0.3">
      <c r="H351" s="2" t="s">
        <v>434</v>
      </c>
      <c r="I351" s="39"/>
      <c r="J351" s="18"/>
      <c r="L351" s="44">
        <f>Table13456781011121314151617181920212223242526[[#This Row],[الدولار]]+(Table13456781011121314151617181920212223242526[[#This Row],[اللبناني]]/90)</f>
        <v>0</v>
      </c>
      <c r="M351" s="6"/>
    </row>
    <row r="352" spans="8:13" s="11" customFormat="1" x14ac:dyDescent="0.3">
      <c r="H352" s="2" t="s">
        <v>434</v>
      </c>
      <c r="I352" s="39"/>
      <c r="J352" s="18"/>
      <c r="L352" s="44">
        <f>Table13456781011121314151617181920212223242526[[#This Row],[الدولار]]+(Table13456781011121314151617181920212223242526[[#This Row],[اللبناني]]/90)</f>
        <v>0</v>
      </c>
      <c r="M352" s="6"/>
    </row>
    <row r="353" spans="8:13" s="11" customFormat="1" x14ac:dyDescent="0.3">
      <c r="H353" s="2" t="s">
        <v>434</v>
      </c>
      <c r="I353" s="39"/>
      <c r="J353" s="18"/>
      <c r="L353" s="44">
        <f>Table13456781011121314151617181920212223242526[[#This Row],[الدولار]]+(Table13456781011121314151617181920212223242526[[#This Row],[اللبناني]]/90)</f>
        <v>0</v>
      </c>
      <c r="M353" s="6"/>
    </row>
    <row r="354" spans="8:13" s="11" customFormat="1" x14ac:dyDescent="0.3">
      <c r="H354" s="2" t="s">
        <v>434</v>
      </c>
      <c r="I354" s="39"/>
      <c r="J354" s="18"/>
      <c r="L354" s="44">
        <f>Table13456781011121314151617181920212223242526[[#This Row],[الدولار]]+(Table13456781011121314151617181920212223242526[[#This Row],[اللبناني]]/90)</f>
        <v>0</v>
      </c>
      <c r="M354" s="6"/>
    </row>
  </sheetData>
  <mergeCells count="4">
    <mergeCell ref="A13:F13"/>
    <mergeCell ref="N13:S13"/>
    <mergeCell ref="Q22:R22"/>
    <mergeCell ref="N23:O23"/>
  </mergeCells>
  <pageMargins left="0.25" right="0.25" top="0.75" bottom="0.75" header="0.3" footer="0.3"/>
  <pageSetup paperSize="9" scale="13"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D305-35C9-4ABE-A51C-E8B30CB66E4C}">
  <sheetPr>
    <pageSetUpPr fitToPage="1"/>
  </sheetPr>
  <dimension ref="A1:S354"/>
  <sheetViews>
    <sheetView rightToLeft="1" topLeftCell="A7" zoomScale="115" zoomScaleNormal="115" workbookViewId="0">
      <selection activeCell="I135" sqref="I135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8.44140625" style="2" bestFit="1" customWidth="1"/>
    <col min="4" max="4" width="10.44140625" style="2" customWidth="1"/>
    <col min="5" max="5" width="7" style="2" customWidth="1"/>
    <col min="6" max="6" width="10.88671875" style="2" bestFit="1" customWidth="1"/>
    <col min="7" max="7" width="2.44140625" style="2" customWidth="1"/>
    <col min="8" max="8" width="8.88671875" style="2" bestFit="1" customWidth="1"/>
    <col min="9" max="9" width="14.109375" style="39" bestFit="1" customWidth="1"/>
    <col min="10" max="10" width="12.109375" style="7" bestFit="1" customWidth="1"/>
    <col min="11" max="11" width="8.5546875" style="11" bestFit="1" customWidth="1"/>
    <col min="12" max="12" width="9" style="6" bestFit="1" customWidth="1"/>
    <col min="13" max="13" width="2.5546875" style="6" customWidth="1"/>
    <col min="14" max="14" width="9.44140625" style="2" bestFit="1" customWidth="1"/>
    <col min="15" max="15" width="5.109375" style="2" bestFit="1" customWidth="1"/>
    <col min="16" max="16" width="8.5546875" style="2" bestFit="1" customWidth="1"/>
    <col min="17" max="17" width="9.109375" style="2" bestFit="1" customWidth="1"/>
    <col min="18" max="18" width="5.109375" style="2" bestFit="1" customWidth="1"/>
    <col min="19" max="19" width="11.109375" style="2" bestFit="1" customWidth="1"/>
    <col min="20" max="16384" width="8.88671875" style="2"/>
  </cols>
  <sheetData>
    <row r="1" spans="1:19" x14ac:dyDescent="0.3">
      <c r="I1" s="39" t="s">
        <v>38</v>
      </c>
      <c r="J1" s="7">
        <f>SUM(J3:J11)</f>
        <v>-1180</v>
      </c>
      <c r="K1" s="7">
        <f>SUM(K3:K11)</f>
        <v>14</v>
      </c>
      <c r="L1" s="7">
        <f>SUM(L3:L11)</f>
        <v>0.88888888888889106</v>
      </c>
    </row>
    <row r="2" spans="1:19" x14ac:dyDescent="0.3">
      <c r="H2" s="2" t="s">
        <v>426</v>
      </c>
      <c r="I2" s="40" t="s">
        <v>6</v>
      </c>
      <c r="J2" s="3" t="s">
        <v>5</v>
      </c>
      <c r="K2" s="12" t="s">
        <v>4</v>
      </c>
      <c r="L2" s="12" t="s">
        <v>415</v>
      </c>
    </row>
    <row r="3" spans="1:19" x14ac:dyDescent="0.3">
      <c r="H3" s="5" t="s">
        <v>435</v>
      </c>
      <c r="I3" s="41"/>
      <c r="J3" s="20">
        <v>-300</v>
      </c>
      <c r="L3" s="44">
        <f t="shared" ref="L3:L11" si="0">K3+(J3/90)</f>
        <v>-3.3333333333333335</v>
      </c>
    </row>
    <row r="4" spans="1:19" x14ac:dyDescent="0.3">
      <c r="H4" s="5" t="s">
        <v>435</v>
      </c>
      <c r="I4" s="41"/>
      <c r="J4" s="20">
        <v>-480</v>
      </c>
      <c r="L4" s="44">
        <f t="shared" si="0"/>
        <v>-5.333333333333333</v>
      </c>
    </row>
    <row r="5" spans="1:19" x14ac:dyDescent="0.3">
      <c r="H5" s="5" t="s">
        <v>434</v>
      </c>
      <c r="I5" s="41"/>
      <c r="J5" s="20"/>
      <c r="K5" s="11">
        <v>19</v>
      </c>
      <c r="L5" s="44">
        <f t="shared" si="0"/>
        <v>19</v>
      </c>
    </row>
    <row r="6" spans="1:19" x14ac:dyDescent="0.3">
      <c r="H6" s="5" t="s">
        <v>434</v>
      </c>
      <c r="I6" s="41"/>
      <c r="J6" s="20"/>
      <c r="K6" s="11">
        <v>10</v>
      </c>
      <c r="L6" s="44">
        <f t="shared" si="0"/>
        <v>10</v>
      </c>
    </row>
    <row r="7" spans="1:19" x14ac:dyDescent="0.3">
      <c r="H7" s="5" t="s">
        <v>436</v>
      </c>
      <c r="I7" s="42"/>
      <c r="J7" s="20">
        <v>-400</v>
      </c>
      <c r="L7" s="44">
        <f t="shared" si="0"/>
        <v>-4.4444444444444446</v>
      </c>
    </row>
    <row r="8" spans="1:19" x14ac:dyDescent="0.3">
      <c r="H8" s="5" t="s">
        <v>434</v>
      </c>
      <c r="I8" s="41"/>
      <c r="J8" s="20"/>
      <c r="L8" s="44">
        <f t="shared" si="0"/>
        <v>0</v>
      </c>
    </row>
    <row r="9" spans="1:19" x14ac:dyDescent="0.3">
      <c r="H9" s="2" t="s">
        <v>434</v>
      </c>
      <c r="I9" s="41"/>
      <c r="J9" s="20"/>
      <c r="K9" s="11">
        <v>-15</v>
      </c>
      <c r="L9" s="44">
        <f t="shared" si="0"/>
        <v>-15</v>
      </c>
    </row>
    <row r="10" spans="1:19" x14ac:dyDescent="0.3">
      <c r="H10" s="2" t="s">
        <v>434</v>
      </c>
      <c r="I10" s="41"/>
      <c r="J10" s="20"/>
      <c r="L10" s="44">
        <f t="shared" si="0"/>
        <v>0</v>
      </c>
    </row>
    <row r="11" spans="1:19" x14ac:dyDescent="0.3">
      <c r="I11" s="41"/>
      <c r="J11" s="20"/>
      <c r="L11" s="44">
        <f t="shared" si="0"/>
        <v>0</v>
      </c>
    </row>
    <row r="12" spans="1:19" x14ac:dyDescent="0.3">
      <c r="A12" s="49" t="s">
        <v>465</v>
      </c>
    </row>
    <row r="13" spans="1:19" x14ac:dyDescent="0.3">
      <c r="A13" s="65" t="s">
        <v>29</v>
      </c>
      <c r="B13" s="65"/>
      <c r="C13" s="65"/>
      <c r="D13" s="65"/>
      <c r="E13" s="65"/>
      <c r="F13" s="65"/>
      <c r="I13" s="39" t="s">
        <v>38</v>
      </c>
      <c r="J13" s="7">
        <f>SUM(Table1345678101112131415161718192021222324252627[اللبناني])</f>
        <v>935</v>
      </c>
      <c r="K13" s="7">
        <f>SUM(Table1345678101112131415161718192021222324252627[الدولار])</f>
        <v>1047</v>
      </c>
      <c r="L13" s="7">
        <f>SUM(Table1345678101112131415161718192021222324252627[مبيع $])</f>
        <v>1057.3888888888896</v>
      </c>
      <c r="N13" s="65" t="s">
        <v>33</v>
      </c>
      <c r="O13" s="65"/>
      <c r="P13" s="65"/>
      <c r="Q13" s="65"/>
      <c r="R13" s="65"/>
      <c r="S13" s="65"/>
    </row>
    <row r="14" spans="1:19" x14ac:dyDescent="0.3">
      <c r="A14" s="1" t="s">
        <v>2</v>
      </c>
      <c r="B14" s="1" t="s">
        <v>0</v>
      </c>
      <c r="C14" s="1" t="s">
        <v>1</v>
      </c>
      <c r="D14" s="1" t="s">
        <v>3</v>
      </c>
      <c r="E14" s="1" t="s">
        <v>0</v>
      </c>
      <c r="F14" s="1" t="s">
        <v>1</v>
      </c>
      <c r="H14" s="2" t="s">
        <v>426</v>
      </c>
      <c r="I14" s="40" t="s">
        <v>6</v>
      </c>
      <c r="J14" s="3" t="s">
        <v>5</v>
      </c>
      <c r="K14" s="12" t="s">
        <v>4</v>
      </c>
      <c r="L14" s="12" t="s">
        <v>415</v>
      </c>
      <c r="M14" s="2"/>
      <c r="N14" s="1" t="s">
        <v>2</v>
      </c>
      <c r="O14" s="1" t="s">
        <v>0</v>
      </c>
      <c r="P14" s="1" t="s">
        <v>1</v>
      </c>
      <c r="Q14" s="1" t="s">
        <v>3</v>
      </c>
      <c r="R14" s="1" t="s">
        <v>0</v>
      </c>
      <c r="S14" s="1" t="s">
        <v>1</v>
      </c>
    </row>
    <row r="15" spans="1:19" x14ac:dyDescent="0.3">
      <c r="A15" s="15">
        <v>1</v>
      </c>
      <c r="B15" s="2">
        <v>3</v>
      </c>
      <c r="C15" s="21">
        <f>A15*B15</f>
        <v>3</v>
      </c>
      <c r="D15" s="17">
        <v>5</v>
      </c>
      <c r="E15" s="2">
        <v>26</v>
      </c>
      <c r="F15" s="23">
        <f>D15*E15</f>
        <v>130</v>
      </c>
      <c r="G15" s="5"/>
      <c r="H15" s="2" t="s">
        <v>434</v>
      </c>
      <c r="I15" s="41" t="s">
        <v>458</v>
      </c>
      <c r="J15" s="20"/>
      <c r="K15" s="11">
        <v>5</v>
      </c>
      <c r="L15" s="44">
        <f>Table1345678101112131415161718192021222324252627[[#This Row],[الدولار]]+(Table1345678101112131415161718192021222324252627[[#This Row],[اللبناني]]/90)</f>
        <v>5</v>
      </c>
      <c r="N15" s="15">
        <v>1</v>
      </c>
      <c r="P15" s="21">
        <f>N15*O15</f>
        <v>0</v>
      </c>
      <c r="Q15" s="17">
        <v>5</v>
      </c>
      <c r="R15" s="2">
        <v>27</v>
      </c>
      <c r="S15" s="23">
        <f>Q15*R15</f>
        <v>135</v>
      </c>
    </row>
    <row r="16" spans="1:19" x14ac:dyDescent="0.3">
      <c r="A16" s="15">
        <v>5</v>
      </c>
      <c r="B16" s="2">
        <v>4</v>
      </c>
      <c r="C16" s="21">
        <f t="shared" ref="C16:C20" si="1">A16*B16</f>
        <v>20</v>
      </c>
      <c r="D16" s="17">
        <v>10</v>
      </c>
      <c r="E16" s="2">
        <v>20</v>
      </c>
      <c r="F16" s="23">
        <f t="shared" ref="F16:F19" si="2">D16*E16</f>
        <v>200</v>
      </c>
      <c r="G16" s="5"/>
      <c r="H16" s="2" t="s">
        <v>435</v>
      </c>
      <c r="I16" s="41" t="s">
        <v>459</v>
      </c>
      <c r="J16" s="20">
        <v>-300</v>
      </c>
      <c r="L16" s="44">
        <f>Table1345678101112131415161718192021222324252627[[#This Row],[الدولار]]+(Table1345678101112131415161718192021222324252627[[#This Row],[اللبناني]]/90)</f>
        <v>-3.3333333333333335</v>
      </c>
      <c r="N16" s="15">
        <v>5</v>
      </c>
      <c r="O16" s="2">
        <v>4</v>
      </c>
      <c r="P16" s="21">
        <f t="shared" ref="P16:P20" si="3">N16*O16</f>
        <v>20</v>
      </c>
      <c r="Q16" s="17">
        <v>10</v>
      </c>
      <c r="R16" s="2">
        <v>12</v>
      </c>
      <c r="S16" s="23">
        <f t="shared" ref="S16:S19" si="4">Q16*R16</f>
        <v>120</v>
      </c>
    </row>
    <row r="17" spans="1:19" x14ac:dyDescent="0.3">
      <c r="A17" s="15">
        <v>10</v>
      </c>
      <c r="B17" s="2">
        <v>55</v>
      </c>
      <c r="C17" s="21">
        <f t="shared" si="1"/>
        <v>550</v>
      </c>
      <c r="D17" s="17">
        <v>20</v>
      </c>
      <c r="E17" s="2">
        <v>3</v>
      </c>
      <c r="F17" s="23">
        <f t="shared" si="2"/>
        <v>60</v>
      </c>
      <c r="G17" s="5"/>
      <c r="H17" s="2" t="s">
        <v>434</v>
      </c>
      <c r="I17" s="41"/>
      <c r="J17" s="20">
        <v>-315</v>
      </c>
      <c r="K17" s="11">
        <v>10</v>
      </c>
      <c r="L17" s="44">
        <f>Table1345678101112131415161718192021222324252627[[#This Row],[الدولار]]+(Table1345678101112131415161718192021222324252627[[#This Row],[اللبناني]]/90)</f>
        <v>6.5</v>
      </c>
      <c r="N17" s="15">
        <v>10</v>
      </c>
      <c r="O17" s="2">
        <v>54</v>
      </c>
      <c r="P17" s="21">
        <f t="shared" si="3"/>
        <v>540</v>
      </c>
      <c r="Q17" s="17">
        <v>20</v>
      </c>
      <c r="R17" s="2">
        <v>1</v>
      </c>
      <c r="S17" s="23">
        <f t="shared" si="4"/>
        <v>20</v>
      </c>
    </row>
    <row r="18" spans="1:19" x14ac:dyDescent="0.3">
      <c r="A18" s="15">
        <v>20</v>
      </c>
      <c r="B18" s="2">
        <v>20</v>
      </c>
      <c r="C18" s="21">
        <f t="shared" si="1"/>
        <v>400</v>
      </c>
      <c r="D18" s="17">
        <v>50</v>
      </c>
      <c r="F18" s="23">
        <f t="shared" si="2"/>
        <v>0</v>
      </c>
      <c r="G18" s="5"/>
      <c r="H18" s="2" t="s">
        <v>434</v>
      </c>
      <c r="I18" s="41" t="s">
        <v>460</v>
      </c>
      <c r="J18" s="20">
        <v>320</v>
      </c>
      <c r="L18" s="44">
        <f>Table1345678101112131415161718192021222324252627[[#This Row],[الدولار]]+(Table1345678101112131415161718192021222324252627[[#This Row],[اللبناني]]/90)</f>
        <v>3.5555555555555554</v>
      </c>
      <c r="N18" s="15">
        <v>20</v>
      </c>
      <c r="O18" s="2">
        <v>39</v>
      </c>
      <c r="P18" s="21">
        <f t="shared" si="3"/>
        <v>780</v>
      </c>
      <c r="Q18" s="17">
        <v>50</v>
      </c>
      <c r="R18" s="2">
        <v>4</v>
      </c>
      <c r="S18" s="23">
        <f t="shared" si="4"/>
        <v>200</v>
      </c>
    </row>
    <row r="19" spans="1:19" x14ac:dyDescent="0.3">
      <c r="A19" s="15">
        <v>50</v>
      </c>
      <c r="B19" s="2">
        <v>2</v>
      </c>
      <c r="C19" s="21">
        <f t="shared" si="1"/>
        <v>100</v>
      </c>
      <c r="D19" s="17">
        <v>100</v>
      </c>
      <c r="E19" s="2">
        <v>6</v>
      </c>
      <c r="F19" s="23">
        <f t="shared" si="2"/>
        <v>600</v>
      </c>
      <c r="G19" s="5"/>
      <c r="H19" s="2" t="s">
        <v>434</v>
      </c>
      <c r="I19" s="42"/>
      <c r="J19" s="20"/>
      <c r="K19" s="11">
        <v>5</v>
      </c>
      <c r="L19" s="44">
        <f>Table1345678101112131415161718192021222324252627[[#This Row],[الدولار]]+(Table1345678101112131415161718192021222324252627[[#This Row],[اللبناني]]/90)</f>
        <v>5</v>
      </c>
      <c r="N19" s="15">
        <v>50</v>
      </c>
      <c r="O19" s="2">
        <v>4</v>
      </c>
      <c r="P19" s="21">
        <f t="shared" si="3"/>
        <v>200</v>
      </c>
      <c r="Q19" s="17">
        <v>100</v>
      </c>
      <c r="R19" s="2">
        <v>10</v>
      </c>
      <c r="S19" s="23">
        <f t="shared" si="4"/>
        <v>1000</v>
      </c>
    </row>
    <row r="20" spans="1:19" x14ac:dyDescent="0.3">
      <c r="A20" s="15">
        <v>100</v>
      </c>
      <c r="C20" s="21">
        <f t="shared" si="1"/>
        <v>0</v>
      </c>
      <c r="D20" s="1" t="s">
        <v>1</v>
      </c>
      <c r="E20" s="1"/>
      <c r="F20" s="19">
        <f>SUM(F15:F19)</f>
        <v>990</v>
      </c>
      <c r="G20" s="5"/>
      <c r="H20" s="2" t="s">
        <v>434</v>
      </c>
      <c r="I20" s="41"/>
      <c r="J20" s="20"/>
      <c r="K20" s="11">
        <v>2</v>
      </c>
      <c r="L20" s="44">
        <f>Table1345678101112131415161718192021222324252627[[#This Row],[الدولار]]+(Table1345678101112131415161718192021222324252627[[#This Row],[اللبناني]]/90)</f>
        <v>2</v>
      </c>
      <c r="N20" s="15">
        <v>100</v>
      </c>
      <c r="O20" s="2">
        <v>6</v>
      </c>
      <c r="P20" s="21">
        <f t="shared" si="3"/>
        <v>600</v>
      </c>
      <c r="Q20" s="1" t="s">
        <v>1</v>
      </c>
      <c r="R20" s="1"/>
      <c r="S20" s="19">
        <f>SUM(S15:S19)</f>
        <v>1475</v>
      </c>
    </row>
    <row r="21" spans="1:19" x14ac:dyDescent="0.3">
      <c r="A21" s="1" t="s">
        <v>1</v>
      </c>
      <c r="B21" s="1"/>
      <c r="C21" s="22">
        <f>SUM(C15:C20)</f>
        <v>1073</v>
      </c>
      <c r="H21" s="2" t="s">
        <v>434</v>
      </c>
      <c r="I21" s="41" t="s">
        <v>461</v>
      </c>
      <c r="J21" s="20">
        <v>250</v>
      </c>
      <c r="K21" s="11">
        <v>60</v>
      </c>
      <c r="L21" s="44">
        <f>Table1345678101112131415161718192021222324252627[[#This Row],[الدولار]]+(Table1345678101112131415161718192021222324252627[[#This Row],[اللبناني]]/90)</f>
        <v>62.777777777777779</v>
      </c>
      <c r="N21" s="1" t="s">
        <v>1</v>
      </c>
      <c r="O21" s="1"/>
      <c r="P21" s="22">
        <f>SUM(P15:P20)</f>
        <v>2140</v>
      </c>
      <c r="S21" s="20"/>
    </row>
    <row r="22" spans="1:19" x14ac:dyDescent="0.3">
      <c r="C22" s="27"/>
      <c r="D22" s="66" t="s">
        <v>40</v>
      </c>
      <c r="E22" s="66"/>
      <c r="F22" s="24">
        <f ca="1">INDIRECT("'"&amp;$A$12&amp;"'!J13")+J1</f>
        <v>-1250</v>
      </c>
      <c r="H22" s="2" t="s">
        <v>434</v>
      </c>
      <c r="I22" s="41" t="s">
        <v>462</v>
      </c>
      <c r="J22" s="20">
        <v>150</v>
      </c>
      <c r="L22" s="44">
        <f>Table1345678101112131415161718192021222324252627[[#This Row],[الدولار]]+(Table1345678101112131415161718192021222324252627[[#This Row],[اللبناني]]/90)</f>
        <v>1.6666666666666667</v>
      </c>
      <c r="P22" s="27"/>
      <c r="Q22" s="66" t="s">
        <v>40</v>
      </c>
      <c r="R22" s="66"/>
      <c r="S22" s="24">
        <f>SUM(Table1345678101112131415161718192021222324252627[اللبناني])</f>
        <v>935</v>
      </c>
    </row>
    <row r="23" spans="1:19" x14ac:dyDescent="0.3">
      <c r="A23" s="66" t="s">
        <v>39</v>
      </c>
      <c r="B23" s="66"/>
      <c r="C23" s="12">
        <f ca="1">INDIRECT("'"&amp;$A$12&amp;"'!K13")+K1</f>
        <v>-72</v>
      </c>
      <c r="F23" s="20"/>
      <c r="H23" s="2" t="s">
        <v>434</v>
      </c>
      <c r="I23" s="41" t="s">
        <v>377</v>
      </c>
      <c r="J23" s="20">
        <v>-300</v>
      </c>
      <c r="K23" s="11">
        <v>60</v>
      </c>
      <c r="L23" s="44">
        <f>Table1345678101112131415161718192021222324252627[[#This Row],[الدولار]]+(Table1345678101112131415161718192021222324252627[[#This Row],[اللبناني]]/90)</f>
        <v>56.666666666666664</v>
      </c>
      <c r="N23" s="66" t="s">
        <v>39</v>
      </c>
      <c r="O23" s="66"/>
      <c r="P23" s="12">
        <f>SUM(Table1345678101112131415161718192021222324252627[الدولار])</f>
        <v>1047</v>
      </c>
      <c r="S23" s="20"/>
    </row>
    <row r="24" spans="1:19" x14ac:dyDescent="0.3">
      <c r="C24" s="27"/>
      <c r="D24" s="1" t="s">
        <v>27</v>
      </c>
      <c r="E24" s="1"/>
      <c r="F24" s="24">
        <f ca="1">F20-F22-INDIRECT("'"&amp;$A$12&amp;"'!f20")</f>
        <v>0</v>
      </c>
      <c r="H24" s="2" t="s">
        <v>434</v>
      </c>
      <c r="I24" s="41" t="s">
        <v>463</v>
      </c>
      <c r="J24" s="20"/>
      <c r="K24" s="11">
        <v>480</v>
      </c>
      <c r="L24" s="44">
        <f>Table1345678101112131415161718192021222324252627[[#This Row],[الدولار]]+(Table1345678101112131415161718192021222324252627[[#This Row],[اللبناني]]/90)</f>
        <v>480</v>
      </c>
      <c r="P24" s="27"/>
      <c r="Q24" s="1" t="s">
        <v>27</v>
      </c>
      <c r="R24" s="1"/>
      <c r="S24" s="24">
        <f>S20-S22-F20</f>
        <v>-450</v>
      </c>
    </row>
    <row r="25" spans="1:19" x14ac:dyDescent="0.3">
      <c r="A25" s="1" t="s">
        <v>27</v>
      </c>
      <c r="B25" s="1"/>
      <c r="C25" s="12">
        <f ca="1">C21-C23-INDIRECT("'"&amp;$A$12&amp;"'!c21")</f>
        <v>0</v>
      </c>
      <c r="H25" s="2" t="s">
        <v>434</v>
      </c>
      <c r="I25" s="41" t="s">
        <v>464</v>
      </c>
      <c r="J25" s="20">
        <v>40</v>
      </c>
      <c r="L25" s="44">
        <f>Table1345678101112131415161718192021222324252627[[#This Row],[الدولار]]+(Table1345678101112131415161718192021222324252627[[#This Row],[اللبناني]]/90)</f>
        <v>0.44444444444444442</v>
      </c>
      <c r="N25" s="1" t="s">
        <v>27</v>
      </c>
      <c r="O25" s="1"/>
      <c r="P25" s="12">
        <f>P21-P23-C21</f>
        <v>20</v>
      </c>
    </row>
    <row r="26" spans="1:19" x14ac:dyDescent="0.3">
      <c r="C26" s="14"/>
      <c r="D26" s="14"/>
      <c r="F26" s="14"/>
      <c r="H26" s="2" t="s">
        <v>434</v>
      </c>
      <c r="I26" s="43" t="s">
        <v>466</v>
      </c>
      <c r="J26" s="18"/>
      <c r="K26" s="11">
        <v>45</v>
      </c>
      <c r="L26" s="44">
        <f>Table1345678101112131415161718192021222324252627[[#This Row],[الدولار]]+(Table1345678101112131415161718192021222324252627[[#This Row],[اللبناني]]/90)</f>
        <v>45</v>
      </c>
    </row>
    <row r="27" spans="1:19" x14ac:dyDescent="0.3">
      <c r="C27" s="14"/>
      <c r="D27" s="14"/>
      <c r="F27" s="14"/>
      <c r="H27" s="2" t="s">
        <v>434</v>
      </c>
      <c r="I27" s="43" t="s">
        <v>16</v>
      </c>
      <c r="J27" s="18">
        <v>50</v>
      </c>
      <c r="K27" s="11">
        <v>5</v>
      </c>
      <c r="L27" s="44">
        <f>Table1345678101112131415161718192021222324252627[[#This Row],[الدولار]]+(Table1345678101112131415161718192021222324252627[[#This Row],[اللبناني]]/90)</f>
        <v>5.5555555555555554</v>
      </c>
    </row>
    <row r="28" spans="1:19" x14ac:dyDescent="0.3">
      <c r="C28" s="14"/>
      <c r="D28" s="14"/>
      <c r="F28" s="14"/>
      <c r="H28" s="2" t="s">
        <v>434</v>
      </c>
      <c r="I28" s="41" t="s">
        <v>467</v>
      </c>
      <c r="J28" s="18">
        <v>400</v>
      </c>
      <c r="K28" s="11">
        <v>390</v>
      </c>
      <c r="L28" s="44">
        <f>Table1345678101112131415161718192021222324252627[[#This Row],[الدولار]]+(Table1345678101112131415161718192021222324252627[[#This Row],[اللبناني]]/90)</f>
        <v>394.44444444444446</v>
      </c>
    </row>
    <row r="29" spans="1:19" s="11" customFormat="1" x14ac:dyDescent="0.3">
      <c r="C29" s="14"/>
      <c r="D29" s="14"/>
      <c r="E29" s="2"/>
      <c r="F29" s="14"/>
      <c r="G29" s="2"/>
      <c r="H29" s="2" t="s">
        <v>434</v>
      </c>
      <c r="I29" s="43" t="s">
        <v>468</v>
      </c>
      <c r="J29" s="20">
        <v>300</v>
      </c>
      <c r="L29" s="44">
        <f>Table1345678101112131415161718192021222324252627[[#This Row],[الدولار]]+(Table1345678101112131415161718192021222324252627[[#This Row],[اللبناني]]/90)</f>
        <v>3.3333333333333335</v>
      </c>
      <c r="M29" s="6"/>
    </row>
    <row r="30" spans="1:19" s="11" customFormat="1" x14ac:dyDescent="0.3">
      <c r="C30" s="14"/>
      <c r="D30" s="2"/>
      <c r="E30" s="2"/>
      <c r="F30" s="14"/>
      <c r="G30" s="2"/>
      <c r="H30" s="2" t="s">
        <v>434</v>
      </c>
      <c r="I30" s="43" t="s">
        <v>469</v>
      </c>
      <c r="J30" s="20"/>
      <c r="K30" s="11">
        <v>90</v>
      </c>
      <c r="L30" s="44">
        <f>Table1345678101112131415161718192021222324252627[[#This Row],[الدولار]]+(Table1345678101112131415161718192021222324252627[[#This Row],[اللبناني]]/90)</f>
        <v>90</v>
      </c>
      <c r="M30" s="6"/>
    </row>
    <row r="31" spans="1:19" s="11" customFormat="1" x14ac:dyDescent="0.3">
      <c r="C31" s="14"/>
      <c r="D31" s="2"/>
      <c r="E31" s="2"/>
      <c r="F31" s="2"/>
      <c r="G31" s="2"/>
      <c r="H31" s="2" t="s">
        <v>434</v>
      </c>
      <c r="I31" s="43" t="s">
        <v>470</v>
      </c>
      <c r="J31" s="20">
        <v>550</v>
      </c>
      <c r="L31" s="44">
        <f>Table1345678101112131415161718192021222324252627[[#This Row],[الدولار]]+(Table1345678101112131415161718192021222324252627[[#This Row],[اللبناني]]/90)</f>
        <v>6.1111111111111107</v>
      </c>
      <c r="M31" s="6"/>
    </row>
    <row r="32" spans="1:19" s="11" customFormat="1" x14ac:dyDescent="0.3">
      <c r="C32" s="2"/>
      <c r="D32" s="2"/>
      <c r="E32" s="2"/>
      <c r="F32" s="6"/>
      <c r="G32" s="2"/>
      <c r="H32" s="2" t="s">
        <v>434</v>
      </c>
      <c r="I32" s="41" t="s">
        <v>471</v>
      </c>
      <c r="J32" s="20">
        <v>-90</v>
      </c>
      <c r="K32" s="11">
        <v>125</v>
      </c>
      <c r="L32" s="44">
        <f>Table1345678101112131415161718192021222324252627[[#This Row],[الدولار]]+(Table1345678101112131415161718192021222324252627[[#This Row],[اللبناني]]/90)</f>
        <v>124</v>
      </c>
      <c r="M32" s="6"/>
    </row>
    <row r="33" spans="3:13" s="11" customFormat="1" x14ac:dyDescent="0.3">
      <c r="C33" s="6"/>
      <c r="D33" s="2"/>
      <c r="E33" s="2"/>
      <c r="F33" s="2"/>
      <c r="G33" s="2"/>
      <c r="H33" s="2" t="s">
        <v>434</v>
      </c>
      <c r="I33" s="41" t="s">
        <v>472</v>
      </c>
      <c r="J33" s="20"/>
      <c r="K33" s="11">
        <v>5</v>
      </c>
      <c r="L33" s="44">
        <f>Table1345678101112131415161718192021222324252627[[#This Row],[الدولار]]+(Table1345678101112131415161718192021222324252627[[#This Row],[اللبناني]]/90)</f>
        <v>5</v>
      </c>
      <c r="M33" s="6"/>
    </row>
    <row r="34" spans="3:13" s="11" customFormat="1" x14ac:dyDescent="0.3">
      <c r="C34" s="2"/>
      <c r="D34" s="2"/>
      <c r="E34" s="2"/>
      <c r="F34" s="6"/>
      <c r="G34" s="2"/>
      <c r="H34" s="2" t="s">
        <v>434</v>
      </c>
      <c r="I34" s="41" t="s">
        <v>473</v>
      </c>
      <c r="J34" s="20">
        <v>-540</v>
      </c>
      <c r="K34" s="11">
        <v>40</v>
      </c>
      <c r="L34" s="44">
        <f>Table1345678101112131415161718192021222324252627[[#This Row],[الدولار]]+(Table1345678101112131415161718192021222324252627[[#This Row],[اللبناني]]/90)</f>
        <v>34</v>
      </c>
      <c r="M34" s="6"/>
    </row>
    <row r="35" spans="3:13" s="11" customFormat="1" x14ac:dyDescent="0.3">
      <c r="C35" s="6"/>
      <c r="D35" s="2"/>
      <c r="E35" s="2"/>
      <c r="F35" s="2"/>
      <c r="G35" s="2"/>
      <c r="H35" s="2" t="s">
        <v>434</v>
      </c>
      <c r="I35" s="41" t="s">
        <v>474</v>
      </c>
      <c r="J35" s="20">
        <v>100</v>
      </c>
      <c r="L35" s="44">
        <f>Table1345678101112131415161718192021222324252627[[#This Row],[الدولار]]+(Table1345678101112131415161718192021222324252627[[#This Row],[اللبناني]]/90)</f>
        <v>1.1111111111111112</v>
      </c>
      <c r="M35" s="6"/>
    </row>
    <row r="36" spans="3:13" s="11" customFormat="1" x14ac:dyDescent="0.3">
      <c r="C36" s="2"/>
      <c r="D36" s="2"/>
      <c r="E36" s="2"/>
      <c r="F36" s="2"/>
      <c r="G36" s="2"/>
      <c r="H36" s="2" t="s">
        <v>436</v>
      </c>
      <c r="I36" s="41" t="s">
        <v>236</v>
      </c>
      <c r="J36" s="20">
        <v>-300</v>
      </c>
      <c r="L36" s="44">
        <f>Table1345678101112131415161718192021222324252627[[#This Row],[الدولار]]+(Table1345678101112131415161718192021222324252627[[#This Row],[اللبناني]]/90)</f>
        <v>-3.3333333333333335</v>
      </c>
      <c r="M36" s="6"/>
    </row>
    <row r="37" spans="3:13" s="11" customFormat="1" x14ac:dyDescent="0.3">
      <c r="C37" s="2"/>
      <c r="D37" s="2"/>
      <c r="E37" s="2"/>
      <c r="F37" s="2"/>
      <c r="G37" s="2"/>
      <c r="H37" s="2" t="s">
        <v>434</v>
      </c>
      <c r="I37" s="41" t="s">
        <v>475</v>
      </c>
      <c r="J37" s="20"/>
      <c r="K37" s="11">
        <v>22</v>
      </c>
      <c r="L37" s="44">
        <f>Table1345678101112131415161718192021222324252627[[#This Row],[الدولار]]+(Table1345678101112131415161718192021222324252627[[#This Row],[اللبناني]]/90)</f>
        <v>22</v>
      </c>
      <c r="M37" s="6"/>
    </row>
    <row r="38" spans="3:13" s="11" customFormat="1" x14ac:dyDescent="0.3">
      <c r="C38" s="2"/>
      <c r="D38" s="2"/>
      <c r="E38" s="2"/>
      <c r="F38" s="2"/>
      <c r="G38" s="2"/>
      <c r="H38" s="2" t="s">
        <v>436</v>
      </c>
      <c r="I38" s="41" t="s">
        <v>438</v>
      </c>
      <c r="J38" s="20"/>
      <c r="K38" s="11">
        <v>-22</v>
      </c>
      <c r="L38" s="44">
        <f>Table1345678101112131415161718192021222324252627[[#This Row],[الدولار]]+(Table1345678101112131415161718192021222324252627[[#This Row],[اللبناني]]/90)</f>
        <v>-22</v>
      </c>
      <c r="M38" s="6"/>
    </row>
    <row r="39" spans="3:13" s="11" customFormat="1" x14ac:dyDescent="0.3">
      <c r="C39" s="2"/>
      <c r="D39" s="2"/>
      <c r="E39" s="2"/>
      <c r="F39" s="2"/>
      <c r="G39" s="2"/>
      <c r="H39" s="2" t="s">
        <v>434</v>
      </c>
      <c r="I39" s="41" t="s">
        <v>476</v>
      </c>
      <c r="J39" s="18">
        <v>150</v>
      </c>
      <c r="L39" s="44">
        <f>Table1345678101112131415161718192021222324252627[[#This Row],[الدولار]]+(Table1345678101112131415161718192021222324252627[[#This Row],[اللبناني]]/90)</f>
        <v>1.6666666666666667</v>
      </c>
      <c r="M39" s="6"/>
    </row>
    <row r="40" spans="3:13" s="11" customFormat="1" x14ac:dyDescent="0.3">
      <c r="C40" s="2"/>
      <c r="D40" s="2"/>
      <c r="E40" s="2"/>
      <c r="F40" s="2"/>
      <c r="G40" s="2"/>
      <c r="H40" s="2" t="s">
        <v>434</v>
      </c>
      <c r="I40" s="39" t="s">
        <v>477</v>
      </c>
      <c r="J40" s="18">
        <v>100</v>
      </c>
      <c r="K40" s="11">
        <v>10</v>
      </c>
      <c r="L40" s="44">
        <f>Table1345678101112131415161718192021222324252627[[#This Row],[الدولار]]+(Table1345678101112131415161718192021222324252627[[#This Row],[اللبناني]]/90)</f>
        <v>11.111111111111111</v>
      </c>
      <c r="M40" s="6"/>
    </row>
    <row r="41" spans="3:13" s="11" customFormat="1" x14ac:dyDescent="0.3">
      <c r="C41" s="2"/>
      <c r="D41" s="2"/>
      <c r="E41" s="2"/>
      <c r="F41" s="2"/>
      <c r="G41" s="2"/>
      <c r="H41" s="2" t="s">
        <v>435</v>
      </c>
      <c r="I41" s="39" t="s">
        <v>478</v>
      </c>
      <c r="J41" s="18"/>
      <c r="K41" s="11">
        <v>-60</v>
      </c>
      <c r="L41" s="44">
        <f>Table1345678101112131415161718192021222324252627[[#This Row],[الدولار]]+(Table1345678101112131415161718192021222324252627[[#This Row],[اللبناني]]/90)</f>
        <v>-60</v>
      </c>
      <c r="M41" s="6"/>
    </row>
    <row r="42" spans="3:13" s="11" customFormat="1" x14ac:dyDescent="0.3">
      <c r="C42" s="2"/>
      <c r="D42" s="2"/>
      <c r="E42" s="2"/>
      <c r="F42" s="2"/>
      <c r="G42" s="2"/>
      <c r="H42" s="2" t="s">
        <v>434</v>
      </c>
      <c r="I42" s="39" t="s">
        <v>363</v>
      </c>
      <c r="J42" s="18">
        <v>270</v>
      </c>
      <c r="L42" s="44">
        <f>Table1345678101112131415161718192021222324252627[[#This Row],[الدولار]]+(Table1345678101112131415161718192021222324252627[[#This Row],[اللبناني]]/90)</f>
        <v>3</v>
      </c>
      <c r="M42" s="6"/>
    </row>
    <row r="43" spans="3:13" s="11" customFormat="1" x14ac:dyDescent="0.3">
      <c r="C43" s="2"/>
      <c r="D43" s="2"/>
      <c r="E43" s="2"/>
      <c r="F43" s="2"/>
      <c r="G43" s="2"/>
      <c r="H43" s="2" t="s">
        <v>434</v>
      </c>
      <c r="I43" s="39" t="s">
        <v>479</v>
      </c>
      <c r="J43" s="18">
        <v>-360</v>
      </c>
      <c r="K43" s="11">
        <v>10</v>
      </c>
      <c r="L43" s="44">
        <f>Table1345678101112131415161718192021222324252627[[#This Row],[الدولار]]+(Table1345678101112131415161718192021222324252627[[#This Row],[اللبناني]]/90)</f>
        <v>6</v>
      </c>
      <c r="M43" s="6"/>
    </row>
    <row r="44" spans="3:13" s="11" customFormat="1" x14ac:dyDescent="0.3">
      <c r="C44" s="2"/>
      <c r="D44" s="2"/>
      <c r="E44" s="2"/>
      <c r="F44" s="2"/>
      <c r="G44" s="2"/>
      <c r="H44" s="2" t="s">
        <v>434</v>
      </c>
      <c r="I44" s="39" t="s">
        <v>127</v>
      </c>
      <c r="J44" s="18"/>
      <c r="K44" s="11">
        <v>5</v>
      </c>
      <c r="L44" s="44">
        <f>Table1345678101112131415161718192021222324252627[[#This Row],[الدولار]]+(Table1345678101112131415161718192021222324252627[[#This Row],[اللبناني]]/90)</f>
        <v>5</v>
      </c>
      <c r="M44" s="6"/>
    </row>
    <row r="45" spans="3:13" s="11" customFormat="1" x14ac:dyDescent="0.3">
      <c r="H45" s="2" t="s">
        <v>434</v>
      </c>
      <c r="I45" s="39"/>
      <c r="J45" s="18">
        <v>900</v>
      </c>
      <c r="L45" s="44">
        <f>Table1345678101112131415161718192021222324252627[[#This Row],[الدولار]]+(Table1345678101112131415161718192021222324252627[[#This Row],[اللبناني]]/90)</f>
        <v>10</v>
      </c>
      <c r="M45" s="6"/>
    </row>
    <row r="46" spans="3:13" s="11" customFormat="1" x14ac:dyDescent="0.3">
      <c r="H46" s="2" t="s">
        <v>435</v>
      </c>
      <c r="I46" s="39" t="s">
        <v>480</v>
      </c>
      <c r="J46" s="18"/>
      <c r="K46" s="11">
        <v>-100</v>
      </c>
      <c r="L46" s="44">
        <f>Table1345678101112131415161718192021222324252627[[#This Row],[الدولار]]+(Table1345678101112131415161718192021222324252627[[#This Row],[اللبناني]]/90)</f>
        <v>-100</v>
      </c>
      <c r="M46" s="6"/>
    </row>
    <row r="47" spans="3:13" s="11" customFormat="1" x14ac:dyDescent="0.3">
      <c r="H47" s="2" t="s">
        <v>436</v>
      </c>
      <c r="I47" s="39" t="s">
        <v>22</v>
      </c>
      <c r="J47" s="18"/>
      <c r="K47" s="11">
        <v>100</v>
      </c>
      <c r="L47" s="44">
        <f>Table1345678101112131415161718192021222324252627[[#This Row],[الدولار]]+(Table1345678101112131415161718192021222324252627[[#This Row],[اللبناني]]/90)</f>
        <v>100</v>
      </c>
      <c r="M47" s="6"/>
    </row>
    <row r="48" spans="3:13" s="11" customFormat="1" x14ac:dyDescent="0.3">
      <c r="H48" s="2" t="s">
        <v>434</v>
      </c>
      <c r="I48" s="39" t="s">
        <v>481</v>
      </c>
      <c r="J48" s="18">
        <v>270</v>
      </c>
      <c r="K48" s="11">
        <v>700</v>
      </c>
      <c r="L48" s="44">
        <f>Table1345678101112131415161718192021222324252627[[#This Row],[الدولار]]+(Table1345678101112131415161718192021222324252627[[#This Row],[اللبناني]]/90)</f>
        <v>703</v>
      </c>
      <c r="M48" s="6"/>
    </row>
    <row r="49" spans="8:13" s="11" customFormat="1" x14ac:dyDescent="0.3">
      <c r="H49" s="2" t="s">
        <v>434</v>
      </c>
      <c r="I49" s="39"/>
      <c r="J49" s="18">
        <v>-360</v>
      </c>
      <c r="K49" s="11">
        <v>10</v>
      </c>
      <c r="L49" s="44">
        <f>Table1345678101112131415161718192021222324252627[[#This Row],[الدولار]]+(Table1345678101112131415161718192021222324252627[[#This Row],[اللبناني]]/90)</f>
        <v>6</v>
      </c>
      <c r="M49" s="6"/>
    </row>
    <row r="50" spans="8:13" s="11" customFormat="1" x14ac:dyDescent="0.3">
      <c r="H50" s="2" t="s">
        <v>434</v>
      </c>
      <c r="I50" s="39"/>
      <c r="J50" s="18">
        <v>100</v>
      </c>
      <c r="K50" s="11">
        <v>20</v>
      </c>
      <c r="L50" s="44">
        <f>Table1345678101112131415161718192021222324252627[[#This Row],[الدولار]]+(Table1345678101112131415161718192021222324252627[[#This Row],[اللبناني]]/90)</f>
        <v>21.111111111111111</v>
      </c>
      <c r="M50" s="6"/>
    </row>
    <row r="51" spans="8:13" s="11" customFormat="1" x14ac:dyDescent="0.3">
      <c r="H51" s="2" t="s">
        <v>434</v>
      </c>
      <c r="I51" s="39"/>
      <c r="J51" s="18">
        <v>-300</v>
      </c>
      <c r="K51" s="11">
        <v>10</v>
      </c>
      <c r="L51" s="44">
        <f>Table1345678101112131415161718192021222324252627[[#This Row],[الدولار]]+(Table1345678101112131415161718192021222324252627[[#This Row],[اللبناني]]/90)</f>
        <v>6.6666666666666661</v>
      </c>
      <c r="M51" s="6"/>
    </row>
    <row r="52" spans="8:13" s="11" customFormat="1" x14ac:dyDescent="0.3">
      <c r="H52" s="2" t="s">
        <v>434</v>
      </c>
      <c r="I52" s="39"/>
      <c r="J52" s="18">
        <v>-600</v>
      </c>
      <c r="K52" s="11">
        <v>20</v>
      </c>
      <c r="L52" s="44">
        <f>Table1345678101112131415161718192021222324252627[[#This Row],[الدولار]]+(Table1345678101112131415161718192021222324252627[[#This Row],[اللبناني]]/90)</f>
        <v>13.333333333333332</v>
      </c>
      <c r="M52" s="6"/>
    </row>
    <row r="53" spans="8:13" s="11" customFormat="1" x14ac:dyDescent="0.3">
      <c r="H53" s="2" t="s">
        <v>434</v>
      </c>
      <c r="I53" s="39" t="s">
        <v>482</v>
      </c>
      <c r="J53" s="18"/>
      <c r="K53" s="11">
        <v>45</v>
      </c>
      <c r="L53" s="44">
        <f>Table1345678101112131415161718192021222324252627[[#This Row],[الدولار]]+(Table1345678101112131415161718192021222324252627[[#This Row],[اللبناني]]/90)</f>
        <v>45</v>
      </c>
      <c r="M53" s="6"/>
    </row>
    <row r="54" spans="8:13" s="11" customFormat="1" x14ac:dyDescent="0.3">
      <c r="H54" s="2" t="s">
        <v>434</v>
      </c>
      <c r="I54" s="39" t="s">
        <v>347</v>
      </c>
      <c r="J54" s="18">
        <v>500</v>
      </c>
      <c r="L54" s="44">
        <f>Table1345678101112131415161718192021222324252627[[#This Row],[الدولار]]+(Table1345678101112131415161718192021222324252627[[#This Row],[اللبناني]]/90)</f>
        <v>5.5555555555555554</v>
      </c>
      <c r="M54" s="6"/>
    </row>
    <row r="55" spans="8:13" s="11" customFormat="1" x14ac:dyDescent="0.3">
      <c r="H55" s="2" t="s">
        <v>434</v>
      </c>
      <c r="I55" s="39"/>
      <c r="J55" s="18"/>
      <c r="K55" s="11">
        <v>70</v>
      </c>
      <c r="L55" s="44">
        <f>Table1345678101112131415161718192021222324252627[[#This Row],[الدولار]]+(Table1345678101112131415161718192021222324252627[[#This Row],[اللبناني]]/90)</f>
        <v>70</v>
      </c>
      <c r="M55" s="6"/>
    </row>
    <row r="56" spans="8:13" s="11" customFormat="1" x14ac:dyDescent="0.3">
      <c r="H56" s="2" t="s">
        <v>434</v>
      </c>
      <c r="I56" s="39"/>
      <c r="J56" s="18"/>
      <c r="K56" s="11">
        <v>30</v>
      </c>
      <c r="L56" s="44">
        <f>Table1345678101112131415161718192021222324252627[[#This Row],[الدولار]]+(Table1345678101112131415161718192021222324252627[[#This Row],[اللبناني]]/90)</f>
        <v>30</v>
      </c>
      <c r="M56" s="6"/>
    </row>
    <row r="57" spans="8:13" s="11" customFormat="1" x14ac:dyDescent="0.3">
      <c r="H57" s="2" t="s">
        <v>434</v>
      </c>
      <c r="I57" s="39"/>
      <c r="J57" s="18">
        <v>100</v>
      </c>
      <c r="K57" s="11">
        <v>20</v>
      </c>
      <c r="L57" s="44">
        <f>Table1345678101112131415161718192021222324252627[[#This Row],[الدولار]]+(Table1345678101112131415161718192021222324252627[[#This Row],[اللبناني]]/90)</f>
        <v>21.111111111111111</v>
      </c>
      <c r="M57" s="6"/>
    </row>
    <row r="58" spans="8:13" s="11" customFormat="1" x14ac:dyDescent="0.3">
      <c r="H58" s="2" t="s">
        <v>434</v>
      </c>
      <c r="I58" s="39"/>
      <c r="J58" s="18"/>
      <c r="K58" s="11">
        <v>30</v>
      </c>
      <c r="L58" s="44">
        <f>Table1345678101112131415161718192021222324252627[[#This Row],[الدولار]]+(Table1345678101112131415161718192021222324252627[[#This Row],[اللبناني]]/90)</f>
        <v>30</v>
      </c>
      <c r="M58" s="6"/>
    </row>
    <row r="59" spans="8:13" s="11" customFormat="1" x14ac:dyDescent="0.3">
      <c r="H59" s="2" t="s">
        <v>434</v>
      </c>
      <c r="I59" s="39"/>
      <c r="J59" s="18">
        <v>380</v>
      </c>
      <c r="L59" s="44">
        <f>Table1345678101112131415161718192021222324252627[[#This Row],[الدولار]]+(Table1345678101112131415161718192021222324252627[[#This Row],[اللبناني]]/90)</f>
        <v>4.2222222222222223</v>
      </c>
      <c r="M59" s="6"/>
    </row>
    <row r="60" spans="8:13" s="11" customFormat="1" x14ac:dyDescent="0.3">
      <c r="H60" s="2" t="s">
        <v>434</v>
      </c>
      <c r="I60" s="39"/>
      <c r="J60" s="18">
        <v>160</v>
      </c>
      <c r="K60" s="11">
        <v>1</v>
      </c>
      <c r="L60" s="44">
        <f>Table1345678101112131415161718192021222324252627[[#This Row],[الدولار]]+(Table1345678101112131415161718192021222324252627[[#This Row],[اللبناني]]/90)</f>
        <v>2.7777777777777777</v>
      </c>
      <c r="M60" s="6"/>
    </row>
    <row r="61" spans="8:13" s="11" customFormat="1" x14ac:dyDescent="0.3">
      <c r="H61" s="2" t="s">
        <v>434</v>
      </c>
      <c r="I61" s="39"/>
      <c r="J61" s="18">
        <v>-350</v>
      </c>
      <c r="K61" s="11">
        <v>20</v>
      </c>
      <c r="L61" s="44">
        <f>Table1345678101112131415161718192021222324252627[[#This Row],[الدولار]]+(Table1345678101112131415161718192021222324252627[[#This Row],[اللبناني]]/90)</f>
        <v>16.111111111111111</v>
      </c>
      <c r="M61" s="6"/>
    </row>
    <row r="62" spans="8:13" s="11" customFormat="1" x14ac:dyDescent="0.3">
      <c r="H62" s="2" t="s">
        <v>434</v>
      </c>
      <c r="I62" s="39"/>
      <c r="J62" s="18">
        <v>-100</v>
      </c>
      <c r="K62" s="11">
        <v>89</v>
      </c>
      <c r="L62" s="44">
        <f>Table1345678101112131415161718192021222324252627[[#This Row],[الدولار]]+(Table1345678101112131415161718192021222324252627[[#This Row],[اللبناني]]/90)</f>
        <v>87.888888888888886</v>
      </c>
      <c r="M62" s="6"/>
    </row>
    <row r="63" spans="8:13" s="11" customFormat="1" x14ac:dyDescent="0.3">
      <c r="H63" s="2" t="s">
        <v>434</v>
      </c>
      <c r="I63" s="39"/>
      <c r="J63" s="18">
        <v>-225</v>
      </c>
      <c r="K63" s="11">
        <v>30</v>
      </c>
      <c r="L63" s="44">
        <f>Table1345678101112131415161718192021222324252627[[#This Row],[الدولار]]+(Table1345678101112131415161718192021222324252627[[#This Row],[اللبناني]]/90)</f>
        <v>27.5</v>
      </c>
      <c r="M63" s="6"/>
    </row>
    <row r="64" spans="8:13" s="11" customFormat="1" x14ac:dyDescent="0.3">
      <c r="H64" s="2" t="s">
        <v>434</v>
      </c>
      <c r="I64" s="39"/>
      <c r="J64" s="18">
        <v>-300</v>
      </c>
      <c r="K64" s="11">
        <v>90</v>
      </c>
      <c r="L64" s="44">
        <f>Table1345678101112131415161718192021222324252627[[#This Row],[الدولار]]+(Table1345678101112131415161718192021222324252627[[#This Row],[اللبناني]]/90)</f>
        <v>86.666666666666671</v>
      </c>
      <c r="M64" s="6"/>
    </row>
    <row r="65" spans="8:14" s="11" customFormat="1" x14ac:dyDescent="0.3">
      <c r="H65" s="2" t="s">
        <v>434</v>
      </c>
      <c r="I65" s="39"/>
      <c r="J65" s="18"/>
      <c r="K65" s="11">
        <v>10</v>
      </c>
      <c r="L65" s="44">
        <f>Table1345678101112131415161718192021222324252627[[#This Row],[الدولار]]+(Table1345678101112131415161718192021222324252627[[#This Row],[اللبناني]]/90)</f>
        <v>10</v>
      </c>
      <c r="M65" s="6"/>
    </row>
    <row r="66" spans="8:14" s="11" customFormat="1" x14ac:dyDescent="0.3">
      <c r="H66" s="2" t="s">
        <v>436</v>
      </c>
      <c r="I66" s="39"/>
      <c r="J66" s="18"/>
      <c r="K66" s="11">
        <v>-200</v>
      </c>
      <c r="L66" s="44">
        <f>Table1345678101112131415161718192021222324252627[[#This Row],[الدولار]]+(Table1345678101112131415161718192021222324252627[[#This Row],[اللبناني]]/90)</f>
        <v>-200</v>
      </c>
      <c r="M66" s="6"/>
    </row>
    <row r="67" spans="8:14" s="11" customFormat="1" x14ac:dyDescent="0.3">
      <c r="H67" s="2" t="s">
        <v>434</v>
      </c>
      <c r="I67" s="39" t="s">
        <v>291</v>
      </c>
      <c r="J67" s="18">
        <v>615</v>
      </c>
      <c r="L67" s="44">
        <f>Table1345678101112131415161718192021222324252627[[#This Row],[الدولار]]+(Table1345678101112131415161718192021222324252627[[#This Row],[اللبناني]]/90)</f>
        <v>6.833333333333333</v>
      </c>
      <c r="M67" s="6"/>
    </row>
    <row r="68" spans="8:14" s="11" customFormat="1" x14ac:dyDescent="0.3">
      <c r="H68" s="2" t="s">
        <v>434</v>
      </c>
      <c r="I68" s="39"/>
      <c r="J68" s="18"/>
      <c r="K68" s="11">
        <v>15</v>
      </c>
      <c r="L68" s="44">
        <f>Table1345678101112131415161718192021222324252627[[#This Row],[الدولار]]+(Table1345678101112131415161718192021222324252627[[#This Row],[اللبناني]]/90)</f>
        <v>15</v>
      </c>
      <c r="M68" s="6"/>
    </row>
    <row r="69" spans="8:14" s="11" customFormat="1" x14ac:dyDescent="0.3">
      <c r="H69" s="2" t="s">
        <v>434</v>
      </c>
      <c r="I69" s="39"/>
      <c r="J69" s="18">
        <v>-270</v>
      </c>
      <c r="K69" s="11">
        <v>25</v>
      </c>
      <c r="L69" s="44">
        <f>Table1345678101112131415161718192021222324252627[[#This Row],[الدولار]]+(Table1345678101112131415161718192021222324252627[[#This Row],[اللبناني]]/90)</f>
        <v>22</v>
      </c>
      <c r="M69" s="6"/>
    </row>
    <row r="70" spans="8:14" s="11" customFormat="1" x14ac:dyDescent="0.3">
      <c r="H70" s="2" t="s">
        <v>434</v>
      </c>
      <c r="I70" s="39" t="s">
        <v>220</v>
      </c>
      <c r="J70" s="18"/>
      <c r="K70" s="11">
        <v>10</v>
      </c>
      <c r="L70" s="44">
        <f>Table1345678101112131415161718192021222324252627[[#This Row],[الدولار]]+(Table1345678101112131415161718192021222324252627[[#This Row],[اللبناني]]/90)</f>
        <v>10</v>
      </c>
      <c r="M70" s="6"/>
      <c r="N70" s="11" t="s">
        <v>385</v>
      </c>
    </row>
    <row r="71" spans="8:14" s="11" customFormat="1" x14ac:dyDescent="0.3">
      <c r="H71" s="2" t="s">
        <v>434</v>
      </c>
      <c r="I71" s="39"/>
      <c r="J71" s="18"/>
      <c r="K71" s="11">
        <v>5</v>
      </c>
      <c r="L71" s="44">
        <f>Table1345678101112131415161718192021222324252627[[#This Row],[الدولار]]+(Table1345678101112131415161718192021222324252627[[#This Row],[اللبناني]]/90)</f>
        <v>5</v>
      </c>
      <c r="M71" s="6"/>
    </row>
    <row r="72" spans="8:14" s="11" customFormat="1" x14ac:dyDescent="0.3">
      <c r="H72" s="2" t="s">
        <v>434</v>
      </c>
      <c r="I72" s="39" t="s">
        <v>483</v>
      </c>
      <c r="J72" s="18">
        <v>-700</v>
      </c>
      <c r="K72" s="11">
        <v>20</v>
      </c>
      <c r="L72" s="44">
        <f>Table1345678101112131415161718192021222324252627[[#This Row],[الدولار]]+(Table1345678101112131415161718192021222324252627[[#This Row],[اللبناني]]/90)</f>
        <v>12.222222222222221</v>
      </c>
      <c r="M72" s="6"/>
    </row>
    <row r="73" spans="8:14" s="11" customFormat="1" x14ac:dyDescent="0.3">
      <c r="H73" s="2" t="s">
        <v>434</v>
      </c>
      <c r="I73" s="39"/>
      <c r="J73" s="18"/>
      <c r="K73" s="11">
        <v>60</v>
      </c>
      <c r="L73" s="44">
        <f>Table1345678101112131415161718192021222324252627[[#This Row],[الدولار]]+(Table1345678101112131415161718192021222324252627[[#This Row],[اللبناني]]/90)</f>
        <v>60</v>
      </c>
      <c r="M73" s="6"/>
    </row>
    <row r="74" spans="8:14" s="11" customFormat="1" x14ac:dyDescent="0.3">
      <c r="H74" s="2" t="s">
        <v>434</v>
      </c>
      <c r="I74" s="39"/>
      <c r="J74" s="18">
        <v>200</v>
      </c>
      <c r="L74" s="44">
        <f>Table1345678101112131415161718192021222324252627[[#This Row],[الدولار]]+(Table1345678101112131415161718192021222324252627[[#This Row],[اللبناني]]/90)</f>
        <v>2.2222222222222223</v>
      </c>
      <c r="M74" s="6"/>
    </row>
    <row r="75" spans="8:14" s="11" customFormat="1" x14ac:dyDescent="0.3">
      <c r="H75" s="2" t="s">
        <v>434</v>
      </c>
      <c r="I75" s="39"/>
      <c r="J75" s="18">
        <v>500</v>
      </c>
      <c r="L75" s="44">
        <f>Table1345678101112131415161718192021222324252627[[#This Row],[الدولار]]+(Table1345678101112131415161718192021222324252627[[#This Row],[اللبناني]]/90)</f>
        <v>5.5555555555555554</v>
      </c>
      <c r="M75" s="6"/>
    </row>
    <row r="76" spans="8:14" s="11" customFormat="1" x14ac:dyDescent="0.3">
      <c r="H76" s="2" t="s">
        <v>434</v>
      </c>
      <c r="I76" s="39"/>
      <c r="J76" s="18">
        <v>-600</v>
      </c>
      <c r="K76" s="11">
        <v>20</v>
      </c>
      <c r="L76" s="44">
        <f>Table1345678101112131415161718192021222324252627[[#This Row],[الدولار]]+(Table1345678101112131415161718192021222324252627[[#This Row],[اللبناني]]/90)</f>
        <v>13.333333333333332</v>
      </c>
      <c r="M76" s="6"/>
    </row>
    <row r="77" spans="8:14" s="11" customFormat="1" x14ac:dyDescent="0.3">
      <c r="H77" s="2" t="s">
        <v>434</v>
      </c>
      <c r="I77" s="39" t="s">
        <v>111</v>
      </c>
      <c r="J77" s="18">
        <v>-800</v>
      </c>
      <c r="K77" s="11">
        <v>10</v>
      </c>
      <c r="L77" s="44">
        <f>Table1345678101112131415161718192021222324252627[[#This Row],[الدولار]]+(Table1345678101112131415161718192021222324252627[[#This Row],[اللبناني]]/90)</f>
        <v>1.1111111111111107</v>
      </c>
      <c r="M77" s="6"/>
    </row>
    <row r="78" spans="8:14" s="11" customFormat="1" x14ac:dyDescent="0.3">
      <c r="H78" s="2" t="s">
        <v>434</v>
      </c>
      <c r="I78" s="39" t="s">
        <v>484</v>
      </c>
      <c r="J78" s="18">
        <v>-270</v>
      </c>
      <c r="K78" s="11">
        <v>15</v>
      </c>
      <c r="L78" s="44">
        <f>Table1345678101112131415161718192021222324252627[[#This Row],[الدولار]]+(Table1345678101112131415161718192021222324252627[[#This Row],[اللبناني]]/90)</f>
        <v>12</v>
      </c>
      <c r="M78" s="6"/>
    </row>
    <row r="79" spans="8:14" s="11" customFormat="1" x14ac:dyDescent="0.3">
      <c r="H79" s="2" t="s">
        <v>434</v>
      </c>
      <c r="I79" s="39"/>
      <c r="J79" s="18"/>
      <c r="K79" s="11">
        <v>40</v>
      </c>
      <c r="L79" s="44">
        <f>Table1345678101112131415161718192021222324252627[[#This Row],[الدولار]]+(Table1345678101112131415161718192021222324252627[[#This Row],[اللبناني]]/90)</f>
        <v>40</v>
      </c>
      <c r="M79" s="6"/>
    </row>
    <row r="80" spans="8:14" s="11" customFormat="1" x14ac:dyDescent="0.3">
      <c r="H80" s="2" t="s">
        <v>434</v>
      </c>
      <c r="I80" s="39"/>
      <c r="J80" s="18"/>
      <c r="K80" s="11">
        <v>30</v>
      </c>
      <c r="L80" s="44">
        <f>Table1345678101112131415161718192021222324252627[[#This Row],[الدولار]]+(Table1345678101112131415161718192021222324252627[[#This Row],[اللبناني]]/90)</f>
        <v>30</v>
      </c>
      <c r="M80" s="6"/>
    </row>
    <row r="81" spans="8:13" s="11" customFormat="1" x14ac:dyDescent="0.3">
      <c r="H81" s="2" t="s">
        <v>436</v>
      </c>
      <c r="I81" s="39" t="s">
        <v>22</v>
      </c>
      <c r="J81" s="18"/>
      <c r="K81" s="11">
        <v>20</v>
      </c>
      <c r="L81" s="44">
        <f>Table1345678101112131415161718192021222324252627[[#This Row],[الدولار]]+(Table1345678101112131415161718192021222324252627[[#This Row],[اللبناني]]/90)</f>
        <v>20</v>
      </c>
      <c r="M81" s="6"/>
    </row>
    <row r="82" spans="8:13" s="11" customFormat="1" x14ac:dyDescent="0.3">
      <c r="H82" s="2" t="s">
        <v>435</v>
      </c>
      <c r="I82" s="39" t="s">
        <v>441</v>
      </c>
      <c r="J82" s="18"/>
      <c r="K82" s="11">
        <v>-20</v>
      </c>
      <c r="L82" s="44">
        <f>Table1345678101112131415161718192021222324252627[[#This Row],[الدولار]]+(Table1345678101112131415161718192021222324252627[[#This Row],[اللبناني]]/90)</f>
        <v>-20</v>
      </c>
      <c r="M82" s="6"/>
    </row>
    <row r="83" spans="8:13" s="11" customFormat="1" x14ac:dyDescent="0.3">
      <c r="H83" s="2" t="s">
        <v>434</v>
      </c>
      <c r="I83" s="39" t="s">
        <v>81</v>
      </c>
      <c r="J83" s="18"/>
      <c r="K83" s="11">
        <v>55</v>
      </c>
      <c r="L83" s="44">
        <f>Table1345678101112131415161718192021222324252627[[#This Row],[الدولار]]+(Table1345678101112131415161718192021222324252627[[#This Row],[اللبناني]]/90)</f>
        <v>55</v>
      </c>
      <c r="M83" s="6"/>
    </row>
    <row r="84" spans="8:13" s="11" customFormat="1" x14ac:dyDescent="0.3">
      <c r="H84" s="2" t="s">
        <v>434</v>
      </c>
      <c r="I84" s="39" t="s">
        <v>485</v>
      </c>
      <c r="J84" s="18">
        <v>125</v>
      </c>
      <c r="L84" s="44">
        <f>Table1345678101112131415161718192021222324252627[[#This Row],[الدولار]]+(Table1345678101112131415161718192021222324252627[[#This Row],[اللبناني]]/90)</f>
        <v>1.3888888888888888</v>
      </c>
      <c r="M84" s="6"/>
    </row>
    <row r="85" spans="8:13" s="11" customFormat="1" x14ac:dyDescent="0.3">
      <c r="H85" s="2" t="s">
        <v>434</v>
      </c>
      <c r="I85" s="39" t="s">
        <v>486</v>
      </c>
      <c r="J85" s="18"/>
      <c r="K85" s="11">
        <v>150</v>
      </c>
      <c r="L85" s="44">
        <f>Table1345678101112131415161718192021222324252627[[#This Row],[الدولار]]+(Table1345678101112131415161718192021222324252627[[#This Row],[اللبناني]]/90)</f>
        <v>150</v>
      </c>
      <c r="M85" s="6"/>
    </row>
    <row r="86" spans="8:13" s="11" customFormat="1" x14ac:dyDescent="0.3">
      <c r="H86" s="2" t="s">
        <v>436</v>
      </c>
      <c r="I86" s="39" t="s">
        <v>449</v>
      </c>
      <c r="J86" s="18">
        <v>-100</v>
      </c>
      <c r="L86" s="44">
        <f>Table1345678101112131415161718192021222324252627[[#This Row],[الدولار]]+(Table1345678101112131415161718192021222324252627[[#This Row],[اللبناني]]/90)</f>
        <v>-1.1111111111111112</v>
      </c>
      <c r="M86" s="6"/>
    </row>
    <row r="87" spans="8:13" s="11" customFormat="1" x14ac:dyDescent="0.3">
      <c r="H87" s="2" t="s">
        <v>436</v>
      </c>
      <c r="I87" s="39" t="s">
        <v>449</v>
      </c>
      <c r="J87" s="18"/>
      <c r="K87" s="11">
        <v>-2400</v>
      </c>
      <c r="L87" s="44">
        <f>Table1345678101112131415161718192021222324252627[[#This Row],[الدولار]]+(Table1345678101112131415161718192021222324252627[[#This Row],[اللبناني]]/90)</f>
        <v>-2400</v>
      </c>
      <c r="M87" s="6"/>
    </row>
    <row r="88" spans="8:13" s="11" customFormat="1" x14ac:dyDescent="0.3">
      <c r="H88" s="2" t="s">
        <v>436</v>
      </c>
      <c r="I88" s="39" t="s">
        <v>22</v>
      </c>
      <c r="J88" s="18">
        <v>2000</v>
      </c>
      <c r="L88" s="44">
        <f>Table1345678101112131415161718192021222324252627[[#This Row],[الدولار]]+(Table1345678101112131415161718192021222324252627[[#This Row],[اللبناني]]/90)</f>
        <v>22.222222222222221</v>
      </c>
      <c r="M88" s="6"/>
    </row>
    <row r="89" spans="8:13" s="11" customFormat="1" x14ac:dyDescent="0.3">
      <c r="H89" s="2" t="s">
        <v>434</v>
      </c>
      <c r="I89" s="39" t="s">
        <v>487</v>
      </c>
      <c r="J89" s="18">
        <v>145</v>
      </c>
      <c r="L89" s="44">
        <f>Table1345678101112131415161718192021222324252627[[#This Row],[الدولار]]+(Table1345678101112131415161718192021222324252627[[#This Row],[اللبناني]]/90)</f>
        <v>1.6111111111111112</v>
      </c>
      <c r="M89" s="6"/>
    </row>
    <row r="90" spans="8:13" s="11" customFormat="1" x14ac:dyDescent="0.3">
      <c r="H90" s="2" t="s">
        <v>434</v>
      </c>
      <c r="I90" s="39" t="s">
        <v>111</v>
      </c>
      <c r="J90" s="18">
        <v>200</v>
      </c>
      <c r="L90" s="44">
        <f>Table1345678101112131415161718192021222324252627[[#This Row],[الدولار]]+(Table1345678101112131415161718192021222324252627[[#This Row],[اللبناني]]/90)</f>
        <v>2.2222222222222223</v>
      </c>
      <c r="M90" s="6"/>
    </row>
    <row r="91" spans="8:13" s="11" customFormat="1" x14ac:dyDescent="0.3">
      <c r="H91" s="2" t="s">
        <v>434</v>
      </c>
      <c r="I91" s="39" t="s">
        <v>488</v>
      </c>
      <c r="J91" s="18"/>
      <c r="K91" s="11">
        <v>10</v>
      </c>
      <c r="L91" s="44">
        <f>Table1345678101112131415161718192021222324252627[[#This Row],[الدولار]]+(Table1345678101112131415161718192021222324252627[[#This Row],[اللبناني]]/90)</f>
        <v>10</v>
      </c>
      <c r="M91" s="6"/>
    </row>
    <row r="92" spans="8:13" s="11" customFormat="1" x14ac:dyDescent="0.3">
      <c r="H92" s="2" t="s">
        <v>434</v>
      </c>
      <c r="I92" s="39" t="s">
        <v>60</v>
      </c>
      <c r="J92" s="18"/>
      <c r="K92" s="11">
        <v>40</v>
      </c>
      <c r="L92" s="44">
        <f>Table1345678101112131415161718192021222324252627[[#This Row],[الدولار]]+(Table1345678101112131415161718192021222324252627[[#This Row],[اللبناني]]/90)</f>
        <v>40</v>
      </c>
      <c r="M92" s="6"/>
    </row>
    <row r="93" spans="8:13" s="11" customFormat="1" x14ac:dyDescent="0.3">
      <c r="H93" s="2" t="s">
        <v>434</v>
      </c>
      <c r="I93" s="39" t="s">
        <v>485</v>
      </c>
      <c r="J93" s="18">
        <v>-700</v>
      </c>
      <c r="K93" s="11">
        <v>10</v>
      </c>
      <c r="L93" s="44">
        <f>Table1345678101112131415161718192021222324252627[[#This Row],[الدولار]]+(Table1345678101112131415161718192021222324252627[[#This Row],[اللبناني]]/90)</f>
        <v>2.2222222222222223</v>
      </c>
      <c r="M93" s="6"/>
    </row>
    <row r="94" spans="8:13" s="11" customFormat="1" x14ac:dyDescent="0.3">
      <c r="H94" s="2" t="s">
        <v>434</v>
      </c>
      <c r="I94" s="39"/>
      <c r="J94" s="18">
        <v>300</v>
      </c>
      <c r="L94" s="44">
        <f>Table1345678101112131415161718192021222324252627[[#This Row],[الدولار]]+(Table1345678101112131415161718192021222324252627[[#This Row],[اللبناني]]/90)</f>
        <v>3.3333333333333335</v>
      </c>
      <c r="M94" s="6"/>
    </row>
    <row r="95" spans="8:13" s="11" customFormat="1" x14ac:dyDescent="0.3">
      <c r="H95" s="2" t="s">
        <v>434</v>
      </c>
      <c r="I95" s="39"/>
      <c r="J95" s="18">
        <v>-400</v>
      </c>
      <c r="K95" s="11">
        <v>10</v>
      </c>
      <c r="L95" s="44">
        <f>Table1345678101112131415161718192021222324252627[[#This Row],[الدولار]]+(Table1345678101112131415161718192021222324252627[[#This Row],[اللبناني]]/90)</f>
        <v>5.5555555555555554</v>
      </c>
      <c r="M95" s="6"/>
    </row>
    <row r="96" spans="8:13" s="11" customFormat="1" x14ac:dyDescent="0.3">
      <c r="H96" s="2" t="s">
        <v>434</v>
      </c>
      <c r="I96" s="39"/>
      <c r="J96" s="18">
        <v>-150</v>
      </c>
      <c r="K96" s="11">
        <v>10</v>
      </c>
      <c r="L96" s="44">
        <f>Table1345678101112131415161718192021222324252627[[#This Row],[الدولار]]+(Table1345678101112131415161718192021222324252627[[#This Row],[اللبناني]]/90)</f>
        <v>8.3333333333333339</v>
      </c>
      <c r="M96" s="6"/>
    </row>
    <row r="97" spans="8:13" s="11" customFormat="1" x14ac:dyDescent="0.3">
      <c r="H97" s="2" t="s">
        <v>434</v>
      </c>
      <c r="I97" s="39"/>
      <c r="J97" s="18"/>
      <c r="K97" s="11">
        <v>20</v>
      </c>
      <c r="L97" s="44">
        <f>Table1345678101112131415161718192021222324252627[[#This Row],[الدولار]]+(Table1345678101112131415161718192021222324252627[[#This Row],[اللبناني]]/90)</f>
        <v>20</v>
      </c>
      <c r="M97" s="6"/>
    </row>
    <row r="98" spans="8:13" s="11" customFormat="1" x14ac:dyDescent="0.3">
      <c r="H98" s="2" t="s">
        <v>434</v>
      </c>
      <c r="I98" s="39"/>
      <c r="J98" s="18"/>
      <c r="K98" s="11">
        <v>10</v>
      </c>
      <c r="L98" s="44">
        <f>Table1345678101112131415161718192021222324252627[[#This Row],[الدولار]]+(Table1345678101112131415161718192021222324252627[[#This Row],[اللبناني]]/90)</f>
        <v>10</v>
      </c>
      <c r="M98" s="6"/>
    </row>
    <row r="99" spans="8:13" s="11" customFormat="1" x14ac:dyDescent="0.3">
      <c r="H99" s="2" t="s">
        <v>434</v>
      </c>
      <c r="I99" s="39"/>
      <c r="J99" s="18"/>
      <c r="K99" s="11">
        <v>130</v>
      </c>
      <c r="L99" s="44">
        <f>Table1345678101112131415161718192021222324252627[[#This Row],[الدولار]]+(Table1345678101112131415161718192021222324252627[[#This Row],[اللبناني]]/90)</f>
        <v>130</v>
      </c>
      <c r="M99" s="6"/>
    </row>
    <row r="100" spans="8:13" s="11" customFormat="1" x14ac:dyDescent="0.3">
      <c r="H100" s="2" t="s">
        <v>434</v>
      </c>
      <c r="I100" s="39"/>
      <c r="J100" s="18">
        <v>-450</v>
      </c>
      <c r="K100" s="11">
        <v>80</v>
      </c>
      <c r="L100" s="44">
        <f>Table1345678101112131415161718192021222324252627[[#This Row],[الدولار]]+(Table1345678101112131415161718192021222324252627[[#This Row],[اللبناني]]/90)</f>
        <v>75</v>
      </c>
      <c r="M100" s="6"/>
    </row>
    <row r="101" spans="8:13" s="11" customFormat="1" x14ac:dyDescent="0.3">
      <c r="H101" s="2" t="s">
        <v>434</v>
      </c>
      <c r="I101" s="39"/>
      <c r="J101" s="18">
        <v>-450</v>
      </c>
      <c r="K101" s="11">
        <v>20</v>
      </c>
      <c r="L101" s="44">
        <f>Table1345678101112131415161718192021222324252627[[#This Row],[الدولار]]+(Table1345678101112131415161718192021222324252627[[#This Row],[اللبناني]]/90)</f>
        <v>15</v>
      </c>
      <c r="M101" s="6"/>
    </row>
    <row r="102" spans="8:13" s="11" customFormat="1" x14ac:dyDescent="0.3">
      <c r="H102" s="2" t="s">
        <v>434</v>
      </c>
      <c r="I102" s="39"/>
      <c r="J102" s="18">
        <v>100</v>
      </c>
      <c r="L102" s="44">
        <f>Table1345678101112131415161718192021222324252627[[#This Row],[الدولار]]+(Table1345678101112131415161718192021222324252627[[#This Row],[اللبناني]]/90)</f>
        <v>1.1111111111111112</v>
      </c>
      <c r="M102" s="6"/>
    </row>
    <row r="103" spans="8:13" s="11" customFormat="1" x14ac:dyDescent="0.3">
      <c r="H103" s="2" t="s">
        <v>434</v>
      </c>
      <c r="I103" s="39"/>
      <c r="J103" s="18">
        <v>500</v>
      </c>
      <c r="L103" s="44">
        <f>Table1345678101112131415161718192021222324252627[[#This Row],[الدولار]]+(Table1345678101112131415161718192021222324252627[[#This Row],[اللبناني]]/90)</f>
        <v>5.5555555555555554</v>
      </c>
      <c r="M103" s="6"/>
    </row>
    <row r="104" spans="8:13" s="11" customFormat="1" x14ac:dyDescent="0.3">
      <c r="H104" s="2" t="s">
        <v>434</v>
      </c>
      <c r="I104" s="39"/>
      <c r="J104" s="18"/>
      <c r="K104" s="11">
        <v>50</v>
      </c>
      <c r="L104" s="44">
        <f>Table1345678101112131415161718192021222324252627[[#This Row],[الدولار]]+(Table1345678101112131415161718192021222324252627[[#This Row],[اللبناني]]/90)</f>
        <v>50</v>
      </c>
      <c r="M104" s="6"/>
    </row>
    <row r="105" spans="8:13" s="11" customFormat="1" x14ac:dyDescent="0.3">
      <c r="H105" s="2" t="s">
        <v>434</v>
      </c>
      <c r="I105" s="39"/>
      <c r="J105" s="18"/>
      <c r="K105" s="11">
        <v>80</v>
      </c>
      <c r="L105" s="44">
        <f>Table1345678101112131415161718192021222324252627[[#This Row],[الدولار]]+(Table1345678101112131415161718192021222324252627[[#This Row],[اللبناني]]/90)</f>
        <v>80</v>
      </c>
      <c r="M105" s="6"/>
    </row>
    <row r="106" spans="8:13" s="11" customFormat="1" x14ac:dyDescent="0.3">
      <c r="H106" s="2" t="s">
        <v>434</v>
      </c>
      <c r="I106" s="39"/>
      <c r="J106" s="18">
        <v>500</v>
      </c>
      <c r="L106" s="44">
        <f>Table1345678101112131415161718192021222324252627[[#This Row],[الدولار]]+(Table1345678101112131415161718192021222324252627[[#This Row],[اللبناني]]/90)</f>
        <v>5.5555555555555554</v>
      </c>
      <c r="M106" s="6"/>
    </row>
    <row r="107" spans="8:13" s="11" customFormat="1" x14ac:dyDescent="0.3">
      <c r="H107" s="2" t="s">
        <v>434</v>
      </c>
      <c r="I107" s="39" t="s">
        <v>428</v>
      </c>
      <c r="J107" s="18">
        <v>60</v>
      </c>
      <c r="L107" s="44">
        <f>Table1345678101112131415161718192021222324252627[[#This Row],[الدولار]]+(Table1345678101112131415161718192021222324252627[[#This Row],[اللبناني]]/90)</f>
        <v>0.66666666666666663</v>
      </c>
      <c r="M107" s="6"/>
    </row>
    <row r="108" spans="8:13" s="11" customFormat="1" x14ac:dyDescent="0.3">
      <c r="H108" s="2" t="s">
        <v>434</v>
      </c>
      <c r="I108" s="39" t="s">
        <v>489</v>
      </c>
      <c r="J108" s="18">
        <v>45</v>
      </c>
      <c r="L108" s="44">
        <f>Table1345678101112131415161718192021222324252627[[#This Row],[الدولار]]+(Table1345678101112131415161718192021222324252627[[#This Row],[اللبناني]]/90)</f>
        <v>0.5</v>
      </c>
      <c r="M108" s="6"/>
    </row>
    <row r="109" spans="8:13" s="11" customFormat="1" x14ac:dyDescent="0.3">
      <c r="H109" s="2" t="s">
        <v>434</v>
      </c>
      <c r="I109" s="39"/>
      <c r="J109" s="18">
        <v>250</v>
      </c>
      <c r="L109" s="44">
        <f>Table1345678101112131415161718192021222324252627[[#This Row],[الدولار]]+(Table1345678101112131415161718192021222324252627[[#This Row],[اللبناني]]/90)</f>
        <v>2.7777777777777777</v>
      </c>
      <c r="M109" s="6"/>
    </row>
    <row r="110" spans="8:13" s="11" customFormat="1" x14ac:dyDescent="0.3">
      <c r="H110" s="2" t="s">
        <v>434</v>
      </c>
      <c r="I110" s="39"/>
      <c r="J110" s="18"/>
      <c r="K110" s="11">
        <v>60</v>
      </c>
      <c r="L110" s="44">
        <f>Table1345678101112131415161718192021222324252627[[#This Row],[الدولار]]+(Table1345678101112131415161718192021222324252627[[#This Row],[اللبناني]]/90)</f>
        <v>60</v>
      </c>
      <c r="M110" s="6"/>
    </row>
    <row r="111" spans="8:13" s="11" customFormat="1" x14ac:dyDescent="0.3">
      <c r="H111" s="2" t="s">
        <v>434</v>
      </c>
      <c r="I111" s="39"/>
      <c r="J111" s="18">
        <v>-300</v>
      </c>
      <c r="K111" s="11">
        <v>5</v>
      </c>
      <c r="L111" s="44">
        <f>Table1345678101112131415161718192021222324252627[[#This Row],[الدولار]]+(Table1345678101112131415161718192021222324252627[[#This Row],[اللبناني]]/90)</f>
        <v>1.6666666666666665</v>
      </c>
      <c r="M111" s="6"/>
    </row>
    <row r="112" spans="8:13" s="11" customFormat="1" x14ac:dyDescent="0.3">
      <c r="H112" s="2" t="s">
        <v>434</v>
      </c>
      <c r="I112" s="39"/>
      <c r="J112" s="18">
        <v>-100</v>
      </c>
      <c r="K112" s="11">
        <v>25</v>
      </c>
      <c r="L112" s="44">
        <f>Table1345678101112131415161718192021222324252627[[#This Row],[الدولار]]+(Table1345678101112131415161718192021222324252627[[#This Row],[اللبناني]]/90)</f>
        <v>23.888888888888889</v>
      </c>
      <c r="M112" s="6"/>
    </row>
    <row r="113" spans="8:13" s="11" customFormat="1" x14ac:dyDescent="0.3">
      <c r="H113" s="2" t="s">
        <v>434</v>
      </c>
      <c r="I113" s="39"/>
      <c r="J113" s="18"/>
      <c r="K113" s="11">
        <v>55</v>
      </c>
      <c r="L113" s="44">
        <f>Table1345678101112131415161718192021222324252627[[#This Row],[الدولار]]+(Table1345678101112131415161718192021222324252627[[#This Row],[اللبناني]]/90)</f>
        <v>55</v>
      </c>
      <c r="M113" s="6"/>
    </row>
    <row r="114" spans="8:13" s="11" customFormat="1" x14ac:dyDescent="0.3">
      <c r="H114" s="2" t="s">
        <v>434</v>
      </c>
      <c r="I114" s="39"/>
      <c r="J114" s="18">
        <v>-400</v>
      </c>
      <c r="K114" s="11">
        <v>10</v>
      </c>
      <c r="L114" s="44">
        <f>Table1345678101112131415161718192021222324252627[[#This Row],[الدولار]]+(Table1345678101112131415161718192021222324252627[[#This Row],[اللبناني]]/90)</f>
        <v>5.5555555555555554</v>
      </c>
      <c r="M114" s="6"/>
    </row>
    <row r="115" spans="8:13" s="11" customFormat="1" x14ac:dyDescent="0.3">
      <c r="H115" s="2" t="s">
        <v>434</v>
      </c>
      <c r="I115" s="39" t="s">
        <v>490</v>
      </c>
      <c r="J115" s="18"/>
      <c r="K115" s="11">
        <v>20</v>
      </c>
      <c r="L115" s="44">
        <f>Table1345678101112131415161718192021222324252627[[#This Row],[الدولار]]+(Table1345678101112131415161718192021222324252627[[#This Row],[اللبناني]]/90)</f>
        <v>20</v>
      </c>
      <c r="M115" s="6"/>
    </row>
    <row r="116" spans="8:13" s="11" customFormat="1" x14ac:dyDescent="0.3">
      <c r="H116" s="2" t="s">
        <v>434</v>
      </c>
      <c r="I116" s="39" t="s">
        <v>23</v>
      </c>
      <c r="J116" s="18"/>
      <c r="K116" s="11">
        <v>40</v>
      </c>
      <c r="L116" s="44">
        <f>Table1345678101112131415161718192021222324252627[[#This Row],[الدولار]]+(Table1345678101112131415161718192021222324252627[[#This Row],[اللبناني]]/90)</f>
        <v>40</v>
      </c>
      <c r="M116" s="6"/>
    </row>
    <row r="117" spans="8:13" s="11" customFormat="1" x14ac:dyDescent="0.3">
      <c r="H117" s="2" t="s">
        <v>434</v>
      </c>
      <c r="I117" s="39"/>
      <c r="J117" s="18">
        <v>300</v>
      </c>
      <c r="L117" s="44">
        <f>Table1345678101112131415161718192021222324252627[[#This Row],[الدولار]]+(Table1345678101112131415161718192021222324252627[[#This Row],[اللبناني]]/90)</f>
        <v>3.3333333333333335</v>
      </c>
      <c r="M117" s="6"/>
    </row>
    <row r="118" spans="8:13" s="11" customFormat="1" x14ac:dyDescent="0.3">
      <c r="H118" s="2" t="s">
        <v>434</v>
      </c>
      <c r="I118" s="39"/>
      <c r="J118" s="18"/>
      <c r="K118" s="11">
        <v>15</v>
      </c>
      <c r="L118" s="44">
        <f>Table1345678101112131415161718192021222324252627[[#This Row],[الدولار]]+(Table1345678101112131415161718192021222324252627[[#This Row],[اللبناني]]/90)</f>
        <v>15</v>
      </c>
      <c r="M118" s="6"/>
    </row>
    <row r="119" spans="8:13" s="11" customFormat="1" x14ac:dyDescent="0.3">
      <c r="H119" s="2" t="s">
        <v>434</v>
      </c>
      <c r="I119" s="39"/>
      <c r="J119" s="18">
        <v>100</v>
      </c>
      <c r="L119" s="44">
        <f>Table1345678101112131415161718192021222324252627[[#This Row],[الدولار]]+(Table1345678101112131415161718192021222324252627[[#This Row],[اللبناني]]/90)</f>
        <v>1.1111111111111112</v>
      </c>
      <c r="M119" s="6"/>
    </row>
    <row r="120" spans="8:13" s="11" customFormat="1" x14ac:dyDescent="0.3">
      <c r="H120" s="2" t="s">
        <v>434</v>
      </c>
      <c r="I120" s="39"/>
      <c r="J120" s="18">
        <v>250</v>
      </c>
      <c r="L120" s="44">
        <f>Table1345678101112131415161718192021222324252627[[#This Row],[الدولار]]+(Table1345678101112131415161718192021222324252627[[#This Row],[اللبناني]]/90)</f>
        <v>2.7777777777777777</v>
      </c>
      <c r="M120" s="6"/>
    </row>
    <row r="121" spans="8:13" s="11" customFormat="1" x14ac:dyDescent="0.3">
      <c r="H121" s="2" t="s">
        <v>434</v>
      </c>
      <c r="I121" s="39"/>
      <c r="J121" s="18">
        <v>225</v>
      </c>
      <c r="L121" s="44">
        <f>Table1345678101112131415161718192021222324252627[[#This Row],[الدولار]]+(Table1345678101112131415161718192021222324252627[[#This Row],[اللبناني]]/90)</f>
        <v>2.5</v>
      </c>
      <c r="M121" s="6"/>
    </row>
    <row r="122" spans="8:13" s="11" customFormat="1" x14ac:dyDescent="0.3">
      <c r="H122" s="2" t="s">
        <v>434</v>
      </c>
      <c r="I122" s="39"/>
      <c r="J122" s="18">
        <v>-100</v>
      </c>
      <c r="K122" s="11">
        <v>5</v>
      </c>
      <c r="L122" s="44">
        <f>Table1345678101112131415161718192021222324252627[[#This Row],[الدولار]]+(Table1345678101112131415161718192021222324252627[[#This Row],[اللبناني]]/90)</f>
        <v>3.8888888888888888</v>
      </c>
      <c r="M122" s="6"/>
    </row>
    <row r="123" spans="8:13" s="11" customFormat="1" x14ac:dyDescent="0.3">
      <c r="H123" s="2" t="s">
        <v>434</v>
      </c>
      <c r="I123" s="39"/>
      <c r="J123" s="18">
        <v>-300</v>
      </c>
      <c r="K123" s="11">
        <v>10</v>
      </c>
      <c r="L123" s="44">
        <f>Table1345678101112131415161718192021222324252627[[#This Row],[الدولار]]+(Table1345678101112131415161718192021222324252627[[#This Row],[اللبناني]]/90)</f>
        <v>6.6666666666666661</v>
      </c>
      <c r="M123" s="6"/>
    </row>
    <row r="124" spans="8:13" s="11" customFormat="1" x14ac:dyDescent="0.3">
      <c r="H124" s="2" t="s">
        <v>434</v>
      </c>
      <c r="I124" s="39"/>
      <c r="J124" s="18">
        <v>-350</v>
      </c>
      <c r="K124" s="11">
        <v>10</v>
      </c>
      <c r="L124" s="44">
        <f>Table1345678101112131415161718192021222324252627[[#This Row],[الدولار]]+(Table1345678101112131415161718192021222324252627[[#This Row],[اللبناني]]/90)</f>
        <v>6.1111111111111107</v>
      </c>
      <c r="M124" s="6"/>
    </row>
    <row r="125" spans="8:13" s="11" customFormat="1" x14ac:dyDescent="0.3">
      <c r="H125" s="2" t="s">
        <v>434</v>
      </c>
      <c r="I125" s="39"/>
      <c r="J125" s="18"/>
      <c r="K125" s="11">
        <v>5</v>
      </c>
      <c r="L125" s="44">
        <f>Table1345678101112131415161718192021222324252627[[#This Row],[الدولار]]+(Table1345678101112131415161718192021222324252627[[#This Row],[اللبناني]]/90)</f>
        <v>5</v>
      </c>
      <c r="M125" s="6"/>
    </row>
    <row r="126" spans="8:13" s="11" customFormat="1" x14ac:dyDescent="0.3">
      <c r="H126" s="2" t="s">
        <v>434</v>
      </c>
      <c r="I126" s="39"/>
      <c r="J126" s="18">
        <v>-140</v>
      </c>
      <c r="L126" s="44">
        <f>Table1345678101112131415161718192021222324252627[[#This Row],[الدولار]]+(Table1345678101112131415161718192021222324252627[[#This Row],[اللبناني]]/90)</f>
        <v>-1.5555555555555556</v>
      </c>
      <c r="M126" s="6"/>
    </row>
    <row r="127" spans="8:13" s="11" customFormat="1" x14ac:dyDescent="0.3">
      <c r="H127" s="2" t="s">
        <v>434</v>
      </c>
      <c r="I127" s="39"/>
      <c r="J127" s="18">
        <v>450</v>
      </c>
      <c r="L127" s="44">
        <f>Table1345678101112131415161718192021222324252627[[#This Row],[الدولار]]+(Table1345678101112131415161718192021222324252627[[#This Row],[اللبناني]]/90)</f>
        <v>5</v>
      </c>
      <c r="M127" s="6"/>
    </row>
    <row r="128" spans="8:13" s="11" customFormat="1" x14ac:dyDescent="0.3">
      <c r="H128" s="2" t="s">
        <v>434</v>
      </c>
      <c r="I128" s="39"/>
      <c r="J128" s="18"/>
      <c r="K128" s="11">
        <v>1350</v>
      </c>
      <c r="L128" s="44">
        <f>Table1345678101112131415161718192021222324252627[[#This Row],[الدولار]]+(Table1345678101112131415161718192021222324252627[[#This Row],[اللبناني]]/90)</f>
        <v>1350</v>
      </c>
      <c r="M128" s="6"/>
    </row>
    <row r="129" spans="8:13" s="11" customFormat="1" x14ac:dyDescent="0.3">
      <c r="H129" s="2" t="s">
        <v>436</v>
      </c>
      <c r="I129" s="39"/>
      <c r="J129" s="18"/>
      <c r="K129" s="11">
        <v>-1350</v>
      </c>
      <c r="L129" s="44">
        <f>Table1345678101112131415161718192021222324252627[[#This Row],[الدولار]]+(Table1345678101112131415161718192021222324252627[[#This Row],[اللبناني]]/90)</f>
        <v>-1350</v>
      </c>
      <c r="M129" s="6"/>
    </row>
    <row r="130" spans="8:13" s="11" customFormat="1" x14ac:dyDescent="0.3">
      <c r="H130" s="2" t="s">
        <v>436</v>
      </c>
      <c r="I130" s="39"/>
      <c r="J130" s="18"/>
      <c r="K130" s="11">
        <v>-20</v>
      </c>
      <c r="L130" s="44">
        <f>Table1345678101112131415161718192021222324252627[[#This Row],[الدولار]]+(Table1345678101112131415161718192021222324252627[[#This Row],[اللبناني]]/90)</f>
        <v>-20</v>
      </c>
      <c r="M130" s="6"/>
    </row>
    <row r="131" spans="8:13" s="11" customFormat="1" x14ac:dyDescent="0.3">
      <c r="H131" s="2" t="s">
        <v>434</v>
      </c>
      <c r="I131" s="39"/>
      <c r="J131" s="18"/>
      <c r="K131" s="11">
        <v>250</v>
      </c>
      <c r="L131" s="44">
        <f>Table1345678101112131415161718192021222324252627[[#This Row],[الدولار]]+(Table1345678101112131415161718192021222324252627[[#This Row],[اللبناني]]/90)</f>
        <v>250</v>
      </c>
      <c r="M131" s="6"/>
    </row>
    <row r="132" spans="8:13" s="11" customFormat="1" x14ac:dyDescent="0.3">
      <c r="H132" s="2" t="s">
        <v>434</v>
      </c>
      <c r="I132" s="39"/>
      <c r="J132" s="18"/>
      <c r="K132" s="11">
        <v>40</v>
      </c>
      <c r="L132" s="44">
        <f>Table1345678101112131415161718192021222324252627[[#This Row],[الدولار]]+(Table1345678101112131415161718192021222324252627[[#This Row],[اللبناني]]/90)</f>
        <v>40</v>
      </c>
      <c r="M132" s="6"/>
    </row>
    <row r="133" spans="8:13" s="11" customFormat="1" x14ac:dyDescent="0.3">
      <c r="H133" s="2" t="s">
        <v>436</v>
      </c>
      <c r="I133" s="39"/>
      <c r="J133" s="18"/>
      <c r="K133" s="11">
        <v>-290</v>
      </c>
      <c r="L133" s="44">
        <f>Table1345678101112131415161718192021222324252627[[#This Row],[الدولار]]+(Table1345678101112131415161718192021222324252627[[#This Row],[اللبناني]]/90)</f>
        <v>-290</v>
      </c>
      <c r="M133" s="6"/>
    </row>
    <row r="134" spans="8:13" s="11" customFormat="1" x14ac:dyDescent="0.3">
      <c r="H134" s="2" t="s">
        <v>436</v>
      </c>
      <c r="I134" s="39"/>
      <c r="J134" s="18"/>
      <c r="K134" s="11">
        <v>1500</v>
      </c>
      <c r="L134" s="44">
        <f>Table1345678101112131415161718192021222324252627[[#This Row],[الدولار]]+(Table1345678101112131415161718192021222324252627[[#This Row],[اللبناني]]/90)</f>
        <v>1500</v>
      </c>
      <c r="M134" s="6"/>
    </row>
    <row r="135" spans="8:13" s="11" customFormat="1" x14ac:dyDescent="0.3">
      <c r="H135" s="2" t="s">
        <v>435</v>
      </c>
      <c r="I135" s="39" t="s">
        <v>517</v>
      </c>
      <c r="J135" s="18"/>
      <c r="K135" s="11">
        <v>-1500</v>
      </c>
      <c r="L135" s="44">
        <f>Table1345678101112131415161718192021222324252627[[#This Row],[الدولار]]+(Table1345678101112131415161718192021222324252627[[#This Row],[اللبناني]]/90)</f>
        <v>-1500</v>
      </c>
      <c r="M135" s="6"/>
    </row>
    <row r="136" spans="8:13" s="11" customFormat="1" x14ac:dyDescent="0.3">
      <c r="H136" s="2" t="s">
        <v>434</v>
      </c>
      <c r="I136" s="39"/>
      <c r="J136" s="18"/>
      <c r="L136" s="44">
        <f>Table1345678101112131415161718192021222324252627[[#This Row],[الدولار]]+(Table1345678101112131415161718192021222324252627[[#This Row],[اللبناني]]/90)</f>
        <v>0</v>
      </c>
      <c r="M136" s="6"/>
    </row>
    <row r="137" spans="8:13" s="11" customFormat="1" x14ac:dyDescent="0.3">
      <c r="H137" s="2" t="s">
        <v>434</v>
      </c>
      <c r="I137" s="39"/>
      <c r="J137" s="18"/>
      <c r="L137" s="44">
        <f>Table1345678101112131415161718192021222324252627[[#This Row],[الدولار]]+(Table1345678101112131415161718192021222324252627[[#This Row],[اللبناني]]/90)</f>
        <v>0</v>
      </c>
      <c r="M137" s="6"/>
    </row>
    <row r="138" spans="8:13" s="11" customFormat="1" x14ac:dyDescent="0.3">
      <c r="H138" s="2" t="s">
        <v>434</v>
      </c>
      <c r="I138" s="39"/>
      <c r="J138" s="18"/>
      <c r="L138" s="44">
        <f>Table1345678101112131415161718192021222324252627[[#This Row],[الدولار]]+(Table1345678101112131415161718192021222324252627[[#This Row],[اللبناني]]/90)</f>
        <v>0</v>
      </c>
      <c r="M138" s="6"/>
    </row>
    <row r="139" spans="8:13" s="11" customFormat="1" x14ac:dyDescent="0.3">
      <c r="H139" s="2" t="s">
        <v>434</v>
      </c>
      <c r="I139" s="39"/>
      <c r="J139" s="18"/>
      <c r="L139" s="44">
        <f>Table1345678101112131415161718192021222324252627[[#This Row],[الدولار]]+(Table1345678101112131415161718192021222324252627[[#This Row],[اللبناني]]/90)</f>
        <v>0</v>
      </c>
      <c r="M139" s="6"/>
    </row>
    <row r="140" spans="8:13" s="11" customFormat="1" x14ac:dyDescent="0.3">
      <c r="H140" s="2" t="s">
        <v>434</v>
      </c>
      <c r="I140" s="39"/>
      <c r="J140" s="18"/>
      <c r="L140" s="44">
        <f>Table1345678101112131415161718192021222324252627[[#This Row],[الدولار]]+(Table1345678101112131415161718192021222324252627[[#This Row],[اللبناني]]/90)</f>
        <v>0</v>
      </c>
      <c r="M140" s="6"/>
    </row>
    <row r="141" spans="8:13" s="11" customFormat="1" x14ac:dyDescent="0.3">
      <c r="H141" s="2" t="s">
        <v>434</v>
      </c>
      <c r="I141" s="39"/>
      <c r="J141" s="18"/>
      <c r="L141" s="44">
        <f>Table1345678101112131415161718192021222324252627[[#This Row],[الدولار]]+(Table1345678101112131415161718192021222324252627[[#This Row],[اللبناني]]/90)</f>
        <v>0</v>
      </c>
      <c r="M141" s="6"/>
    </row>
    <row r="142" spans="8:13" s="11" customFormat="1" x14ac:dyDescent="0.3">
      <c r="H142" s="2" t="s">
        <v>434</v>
      </c>
      <c r="I142" s="39"/>
      <c r="J142" s="18"/>
      <c r="L142" s="44">
        <f>Table1345678101112131415161718192021222324252627[[#This Row],[الدولار]]+(Table1345678101112131415161718192021222324252627[[#This Row],[اللبناني]]/90)</f>
        <v>0</v>
      </c>
      <c r="M142" s="6"/>
    </row>
    <row r="143" spans="8:13" s="11" customFormat="1" x14ac:dyDescent="0.3">
      <c r="H143" s="2" t="s">
        <v>434</v>
      </c>
      <c r="I143" s="39"/>
      <c r="J143" s="18"/>
      <c r="L143" s="44">
        <f>Table1345678101112131415161718192021222324252627[[#This Row],[الدولار]]+(Table1345678101112131415161718192021222324252627[[#This Row],[اللبناني]]/90)</f>
        <v>0</v>
      </c>
      <c r="M143" s="6"/>
    </row>
    <row r="144" spans="8:13" s="11" customFormat="1" x14ac:dyDescent="0.3">
      <c r="H144" s="2" t="s">
        <v>434</v>
      </c>
      <c r="I144" s="39"/>
      <c r="J144" s="18"/>
      <c r="L144" s="44">
        <f>Table1345678101112131415161718192021222324252627[[#This Row],[الدولار]]+(Table1345678101112131415161718192021222324252627[[#This Row],[اللبناني]]/90)</f>
        <v>0</v>
      </c>
      <c r="M144" s="6"/>
    </row>
    <row r="145" spans="8:13" s="11" customFormat="1" x14ac:dyDescent="0.3">
      <c r="H145" s="2" t="s">
        <v>434</v>
      </c>
      <c r="I145" s="39"/>
      <c r="J145" s="18"/>
      <c r="L145" s="44">
        <f>Table1345678101112131415161718192021222324252627[[#This Row],[الدولار]]+(Table1345678101112131415161718192021222324252627[[#This Row],[اللبناني]]/90)</f>
        <v>0</v>
      </c>
      <c r="M145" s="6"/>
    </row>
    <row r="146" spans="8:13" s="11" customFormat="1" x14ac:dyDescent="0.3">
      <c r="H146" s="2" t="s">
        <v>434</v>
      </c>
      <c r="I146" s="39"/>
      <c r="J146" s="18"/>
      <c r="L146" s="44">
        <f>Table1345678101112131415161718192021222324252627[[#This Row],[الدولار]]+(Table1345678101112131415161718192021222324252627[[#This Row],[اللبناني]]/90)</f>
        <v>0</v>
      </c>
      <c r="M146" s="6"/>
    </row>
    <row r="147" spans="8:13" s="11" customFormat="1" x14ac:dyDescent="0.3">
      <c r="H147" s="2" t="s">
        <v>434</v>
      </c>
      <c r="I147" s="39"/>
      <c r="J147" s="18"/>
      <c r="L147" s="44">
        <f>Table1345678101112131415161718192021222324252627[[#This Row],[الدولار]]+(Table1345678101112131415161718192021222324252627[[#This Row],[اللبناني]]/90)</f>
        <v>0</v>
      </c>
      <c r="M147" s="6"/>
    </row>
    <row r="148" spans="8:13" s="11" customFormat="1" x14ac:dyDescent="0.3">
      <c r="H148" s="2" t="s">
        <v>434</v>
      </c>
      <c r="I148" s="39"/>
      <c r="J148" s="18"/>
      <c r="L148" s="44">
        <f>Table1345678101112131415161718192021222324252627[[#This Row],[الدولار]]+(Table1345678101112131415161718192021222324252627[[#This Row],[اللبناني]]/90)</f>
        <v>0</v>
      </c>
      <c r="M148" s="6"/>
    </row>
    <row r="149" spans="8:13" s="11" customFormat="1" x14ac:dyDescent="0.3">
      <c r="H149" s="2" t="s">
        <v>434</v>
      </c>
      <c r="I149" s="39"/>
      <c r="J149" s="18"/>
      <c r="L149" s="44">
        <f>Table1345678101112131415161718192021222324252627[[#This Row],[الدولار]]+(Table1345678101112131415161718192021222324252627[[#This Row],[اللبناني]]/90)</f>
        <v>0</v>
      </c>
      <c r="M149" s="6"/>
    </row>
    <row r="150" spans="8:13" s="11" customFormat="1" x14ac:dyDescent="0.3">
      <c r="H150" s="2" t="s">
        <v>434</v>
      </c>
      <c r="I150" s="39"/>
      <c r="J150" s="18"/>
      <c r="L150" s="44">
        <f>Table1345678101112131415161718192021222324252627[[#This Row],[الدولار]]+(Table1345678101112131415161718192021222324252627[[#This Row],[اللبناني]]/90)</f>
        <v>0</v>
      </c>
      <c r="M150" s="6"/>
    </row>
    <row r="151" spans="8:13" s="11" customFormat="1" x14ac:dyDescent="0.3">
      <c r="H151" s="2" t="s">
        <v>434</v>
      </c>
      <c r="I151" s="39"/>
      <c r="J151" s="18"/>
      <c r="L151" s="44">
        <f>Table1345678101112131415161718192021222324252627[[#This Row],[الدولار]]+(Table1345678101112131415161718192021222324252627[[#This Row],[اللبناني]]/90)</f>
        <v>0</v>
      </c>
      <c r="M151" s="6"/>
    </row>
    <row r="152" spans="8:13" s="11" customFormat="1" x14ac:dyDescent="0.3">
      <c r="H152" s="2" t="s">
        <v>434</v>
      </c>
      <c r="I152" s="39"/>
      <c r="J152" s="18"/>
      <c r="L152" s="44">
        <f>Table1345678101112131415161718192021222324252627[[#This Row],[الدولار]]+(Table1345678101112131415161718192021222324252627[[#This Row],[اللبناني]]/90)</f>
        <v>0</v>
      </c>
      <c r="M152" s="6"/>
    </row>
    <row r="153" spans="8:13" s="11" customFormat="1" x14ac:dyDescent="0.3">
      <c r="H153" s="2" t="s">
        <v>434</v>
      </c>
      <c r="I153" s="39"/>
      <c r="J153" s="18"/>
      <c r="L153" s="44">
        <f>Table1345678101112131415161718192021222324252627[[#This Row],[الدولار]]+(Table1345678101112131415161718192021222324252627[[#This Row],[اللبناني]]/90)</f>
        <v>0</v>
      </c>
      <c r="M153" s="6"/>
    </row>
    <row r="154" spans="8:13" s="11" customFormat="1" x14ac:dyDescent="0.3">
      <c r="H154" s="2" t="s">
        <v>434</v>
      </c>
      <c r="I154" s="39"/>
      <c r="J154" s="18"/>
      <c r="L154" s="44">
        <f>Table1345678101112131415161718192021222324252627[[#This Row],[الدولار]]+(Table1345678101112131415161718192021222324252627[[#This Row],[اللبناني]]/90)</f>
        <v>0</v>
      </c>
      <c r="M154" s="6"/>
    </row>
    <row r="155" spans="8:13" s="11" customFormat="1" x14ac:dyDescent="0.3">
      <c r="H155" s="2" t="s">
        <v>434</v>
      </c>
      <c r="I155" s="39"/>
      <c r="J155" s="18"/>
      <c r="L155" s="44">
        <f>Table1345678101112131415161718192021222324252627[[#This Row],[الدولار]]+(Table1345678101112131415161718192021222324252627[[#This Row],[اللبناني]]/90)</f>
        <v>0</v>
      </c>
      <c r="M155" s="6"/>
    </row>
    <row r="156" spans="8:13" s="11" customFormat="1" x14ac:dyDescent="0.3">
      <c r="H156" s="2" t="s">
        <v>434</v>
      </c>
      <c r="I156" s="39"/>
      <c r="J156" s="18"/>
      <c r="L156" s="44">
        <f>Table1345678101112131415161718192021222324252627[[#This Row],[الدولار]]+(Table1345678101112131415161718192021222324252627[[#This Row],[اللبناني]]/90)</f>
        <v>0</v>
      </c>
      <c r="M156" s="6"/>
    </row>
    <row r="157" spans="8:13" s="11" customFormat="1" x14ac:dyDescent="0.3">
      <c r="H157" s="2" t="s">
        <v>434</v>
      </c>
      <c r="I157" s="39"/>
      <c r="J157" s="18"/>
      <c r="L157" s="44">
        <f>Table1345678101112131415161718192021222324252627[[#This Row],[الدولار]]+(Table1345678101112131415161718192021222324252627[[#This Row],[اللبناني]]/90)</f>
        <v>0</v>
      </c>
      <c r="M157" s="6"/>
    </row>
    <row r="158" spans="8:13" s="11" customFormat="1" x14ac:dyDescent="0.3">
      <c r="H158" s="2" t="s">
        <v>434</v>
      </c>
      <c r="I158" s="39"/>
      <c r="J158" s="18"/>
      <c r="L158" s="44">
        <f>Table1345678101112131415161718192021222324252627[[#This Row],[الدولار]]+(Table1345678101112131415161718192021222324252627[[#This Row],[اللبناني]]/90)</f>
        <v>0</v>
      </c>
      <c r="M158" s="6"/>
    </row>
    <row r="159" spans="8:13" s="11" customFormat="1" x14ac:dyDescent="0.3">
      <c r="H159" s="2" t="s">
        <v>434</v>
      </c>
      <c r="I159" s="39"/>
      <c r="J159" s="18"/>
      <c r="L159" s="44">
        <f>Table1345678101112131415161718192021222324252627[[#This Row],[الدولار]]+(Table1345678101112131415161718192021222324252627[[#This Row],[اللبناني]]/90)</f>
        <v>0</v>
      </c>
      <c r="M159" s="6"/>
    </row>
    <row r="160" spans="8:13" s="11" customFormat="1" x14ac:dyDescent="0.3">
      <c r="H160" s="2" t="s">
        <v>434</v>
      </c>
      <c r="I160" s="39"/>
      <c r="J160" s="18"/>
      <c r="L160" s="44">
        <f>Table1345678101112131415161718192021222324252627[[#This Row],[الدولار]]+(Table1345678101112131415161718192021222324252627[[#This Row],[اللبناني]]/90)</f>
        <v>0</v>
      </c>
      <c r="M160" s="6"/>
    </row>
    <row r="161" spans="8:13" s="11" customFormat="1" x14ac:dyDescent="0.3">
      <c r="H161" s="2" t="s">
        <v>434</v>
      </c>
      <c r="I161" s="39"/>
      <c r="J161" s="18"/>
      <c r="L161" s="44">
        <f>Table1345678101112131415161718192021222324252627[[#This Row],[الدولار]]+(Table1345678101112131415161718192021222324252627[[#This Row],[اللبناني]]/90)</f>
        <v>0</v>
      </c>
      <c r="M161" s="6"/>
    </row>
    <row r="162" spans="8:13" s="11" customFormat="1" x14ac:dyDescent="0.3">
      <c r="H162" s="2" t="s">
        <v>434</v>
      </c>
      <c r="I162" s="39"/>
      <c r="J162" s="18"/>
      <c r="L162" s="44">
        <f>Table1345678101112131415161718192021222324252627[[#This Row],[الدولار]]+(Table1345678101112131415161718192021222324252627[[#This Row],[اللبناني]]/90)</f>
        <v>0</v>
      </c>
      <c r="M162" s="6"/>
    </row>
    <row r="163" spans="8:13" s="11" customFormat="1" x14ac:dyDescent="0.3">
      <c r="H163" s="2" t="s">
        <v>434</v>
      </c>
      <c r="I163" s="39"/>
      <c r="J163" s="18"/>
      <c r="L163" s="44">
        <f>Table1345678101112131415161718192021222324252627[[#This Row],[الدولار]]+(Table1345678101112131415161718192021222324252627[[#This Row],[اللبناني]]/90)</f>
        <v>0</v>
      </c>
      <c r="M163" s="6"/>
    </row>
    <row r="164" spans="8:13" s="11" customFormat="1" x14ac:dyDescent="0.3">
      <c r="H164" s="2" t="s">
        <v>434</v>
      </c>
      <c r="I164" s="39"/>
      <c r="J164" s="18"/>
      <c r="L164" s="44">
        <f>Table1345678101112131415161718192021222324252627[[#This Row],[الدولار]]+(Table1345678101112131415161718192021222324252627[[#This Row],[اللبناني]]/90)</f>
        <v>0</v>
      </c>
      <c r="M164" s="6"/>
    </row>
    <row r="165" spans="8:13" s="11" customFormat="1" x14ac:dyDescent="0.3">
      <c r="H165" s="2" t="s">
        <v>434</v>
      </c>
      <c r="I165" s="39"/>
      <c r="J165" s="18"/>
      <c r="L165" s="44">
        <f>Table1345678101112131415161718192021222324252627[[#This Row],[الدولار]]+(Table1345678101112131415161718192021222324252627[[#This Row],[اللبناني]]/90)</f>
        <v>0</v>
      </c>
      <c r="M165" s="6"/>
    </row>
    <row r="166" spans="8:13" s="11" customFormat="1" x14ac:dyDescent="0.3">
      <c r="H166" s="2" t="s">
        <v>434</v>
      </c>
      <c r="I166" s="39"/>
      <c r="J166" s="18"/>
      <c r="L166" s="44">
        <f>Table1345678101112131415161718192021222324252627[[#This Row],[الدولار]]+(Table1345678101112131415161718192021222324252627[[#This Row],[اللبناني]]/90)</f>
        <v>0</v>
      </c>
      <c r="M166" s="6"/>
    </row>
    <row r="167" spans="8:13" s="11" customFormat="1" x14ac:dyDescent="0.3">
      <c r="H167" s="2" t="s">
        <v>434</v>
      </c>
      <c r="I167" s="39"/>
      <c r="J167" s="18"/>
      <c r="L167" s="44">
        <f>Table1345678101112131415161718192021222324252627[[#This Row],[الدولار]]+(Table1345678101112131415161718192021222324252627[[#This Row],[اللبناني]]/90)</f>
        <v>0</v>
      </c>
      <c r="M167" s="6"/>
    </row>
    <row r="168" spans="8:13" s="11" customFormat="1" x14ac:dyDescent="0.3">
      <c r="H168" s="2" t="s">
        <v>434</v>
      </c>
      <c r="I168" s="39"/>
      <c r="J168" s="18"/>
      <c r="L168" s="44">
        <f>Table1345678101112131415161718192021222324252627[[#This Row],[الدولار]]+(Table1345678101112131415161718192021222324252627[[#This Row],[اللبناني]]/90)</f>
        <v>0</v>
      </c>
      <c r="M168" s="6"/>
    </row>
    <row r="169" spans="8:13" s="11" customFormat="1" x14ac:dyDescent="0.3">
      <c r="H169" s="2" t="s">
        <v>434</v>
      </c>
      <c r="I169" s="39"/>
      <c r="J169" s="18"/>
      <c r="L169" s="44">
        <f>Table1345678101112131415161718192021222324252627[[#This Row],[الدولار]]+(Table1345678101112131415161718192021222324252627[[#This Row],[اللبناني]]/90)</f>
        <v>0</v>
      </c>
      <c r="M169" s="6"/>
    </row>
    <row r="170" spans="8:13" s="11" customFormat="1" x14ac:dyDescent="0.3">
      <c r="H170" s="2" t="s">
        <v>434</v>
      </c>
      <c r="I170" s="39"/>
      <c r="J170" s="18"/>
      <c r="L170" s="44">
        <f>Table1345678101112131415161718192021222324252627[[#This Row],[الدولار]]+(Table1345678101112131415161718192021222324252627[[#This Row],[اللبناني]]/90)</f>
        <v>0</v>
      </c>
      <c r="M170" s="6"/>
    </row>
    <row r="171" spans="8:13" s="11" customFormat="1" x14ac:dyDescent="0.3">
      <c r="H171" s="2" t="s">
        <v>434</v>
      </c>
      <c r="I171" s="39"/>
      <c r="J171" s="18"/>
      <c r="L171" s="44">
        <f>Table1345678101112131415161718192021222324252627[[#This Row],[الدولار]]+(Table1345678101112131415161718192021222324252627[[#This Row],[اللبناني]]/90)</f>
        <v>0</v>
      </c>
      <c r="M171" s="6"/>
    </row>
    <row r="172" spans="8:13" s="11" customFormat="1" x14ac:dyDescent="0.3">
      <c r="H172" s="2" t="s">
        <v>434</v>
      </c>
      <c r="I172" s="39"/>
      <c r="J172" s="18"/>
      <c r="L172" s="44">
        <f>Table1345678101112131415161718192021222324252627[[#This Row],[الدولار]]+(Table1345678101112131415161718192021222324252627[[#This Row],[اللبناني]]/90)</f>
        <v>0</v>
      </c>
      <c r="M172" s="6"/>
    </row>
    <row r="173" spans="8:13" s="11" customFormat="1" x14ac:dyDescent="0.3">
      <c r="H173" s="2" t="s">
        <v>434</v>
      </c>
      <c r="I173" s="39"/>
      <c r="J173" s="18"/>
      <c r="L173" s="44">
        <f>Table1345678101112131415161718192021222324252627[[#This Row],[الدولار]]+(Table1345678101112131415161718192021222324252627[[#This Row],[اللبناني]]/90)</f>
        <v>0</v>
      </c>
      <c r="M173" s="6"/>
    </row>
    <row r="174" spans="8:13" s="11" customFormat="1" x14ac:dyDescent="0.3">
      <c r="H174" s="2" t="s">
        <v>434</v>
      </c>
      <c r="I174" s="39"/>
      <c r="J174" s="18"/>
      <c r="L174" s="44">
        <f>Table1345678101112131415161718192021222324252627[[#This Row],[الدولار]]+(Table1345678101112131415161718192021222324252627[[#This Row],[اللبناني]]/90)</f>
        <v>0</v>
      </c>
      <c r="M174" s="6"/>
    </row>
    <row r="175" spans="8:13" s="11" customFormat="1" x14ac:dyDescent="0.3">
      <c r="H175" s="2" t="s">
        <v>434</v>
      </c>
      <c r="I175" s="39"/>
      <c r="J175" s="18"/>
      <c r="L175" s="44">
        <f>Table1345678101112131415161718192021222324252627[[#This Row],[الدولار]]+(Table1345678101112131415161718192021222324252627[[#This Row],[اللبناني]]/90)</f>
        <v>0</v>
      </c>
      <c r="M175" s="6"/>
    </row>
    <row r="176" spans="8:13" s="11" customFormat="1" x14ac:dyDescent="0.3">
      <c r="H176" s="2" t="s">
        <v>434</v>
      </c>
      <c r="I176" s="39"/>
      <c r="J176" s="18"/>
      <c r="L176" s="44">
        <f>Table1345678101112131415161718192021222324252627[[#This Row],[الدولار]]+(Table1345678101112131415161718192021222324252627[[#This Row],[اللبناني]]/90)</f>
        <v>0</v>
      </c>
      <c r="M176" s="6"/>
    </row>
    <row r="177" spans="8:13" s="11" customFormat="1" x14ac:dyDescent="0.3">
      <c r="H177" s="2" t="s">
        <v>434</v>
      </c>
      <c r="I177" s="39"/>
      <c r="J177" s="18"/>
      <c r="L177" s="44">
        <f>Table1345678101112131415161718192021222324252627[[#This Row],[الدولار]]+(Table1345678101112131415161718192021222324252627[[#This Row],[اللبناني]]/90)</f>
        <v>0</v>
      </c>
      <c r="M177" s="6"/>
    </row>
    <row r="178" spans="8:13" s="11" customFormat="1" x14ac:dyDescent="0.3">
      <c r="H178" s="2" t="s">
        <v>434</v>
      </c>
      <c r="I178" s="39"/>
      <c r="J178" s="18"/>
      <c r="L178" s="44">
        <f>Table1345678101112131415161718192021222324252627[[#This Row],[الدولار]]+(Table1345678101112131415161718192021222324252627[[#This Row],[اللبناني]]/90)</f>
        <v>0</v>
      </c>
      <c r="M178" s="6"/>
    </row>
    <row r="179" spans="8:13" s="11" customFormat="1" x14ac:dyDescent="0.3">
      <c r="H179" s="2" t="s">
        <v>434</v>
      </c>
      <c r="I179" s="39"/>
      <c r="J179" s="18"/>
      <c r="L179" s="44">
        <f>Table1345678101112131415161718192021222324252627[[#This Row],[الدولار]]+(Table1345678101112131415161718192021222324252627[[#This Row],[اللبناني]]/90)</f>
        <v>0</v>
      </c>
      <c r="M179" s="6"/>
    </row>
    <row r="180" spans="8:13" s="11" customFormat="1" x14ac:dyDescent="0.3">
      <c r="H180" s="2" t="s">
        <v>434</v>
      </c>
      <c r="I180" s="39"/>
      <c r="J180" s="18"/>
      <c r="L180" s="44">
        <f>Table1345678101112131415161718192021222324252627[[#This Row],[الدولار]]+(Table1345678101112131415161718192021222324252627[[#This Row],[اللبناني]]/90)</f>
        <v>0</v>
      </c>
      <c r="M180" s="6"/>
    </row>
    <row r="181" spans="8:13" s="11" customFormat="1" x14ac:dyDescent="0.3">
      <c r="H181" s="2" t="s">
        <v>434</v>
      </c>
      <c r="I181" s="39"/>
      <c r="J181" s="18"/>
      <c r="L181" s="44">
        <f>Table1345678101112131415161718192021222324252627[[#This Row],[الدولار]]+(Table1345678101112131415161718192021222324252627[[#This Row],[اللبناني]]/90)</f>
        <v>0</v>
      </c>
      <c r="M181" s="6"/>
    </row>
    <row r="182" spans="8:13" s="11" customFormat="1" x14ac:dyDescent="0.3">
      <c r="H182" s="2" t="s">
        <v>434</v>
      </c>
      <c r="I182" s="39"/>
      <c r="J182" s="18"/>
      <c r="L182" s="44">
        <f>Table1345678101112131415161718192021222324252627[[#This Row],[الدولار]]+(Table1345678101112131415161718192021222324252627[[#This Row],[اللبناني]]/90)</f>
        <v>0</v>
      </c>
      <c r="M182" s="6"/>
    </row>
    <row r="183" spans="8:13" s="11" customFormat="1" x14ac:dyDescent="0.3">
      <c r="H183" s="2" t="s">
        <v>434</v>
      </c>
      <c r="I183" s="39"/>
      <c r="J183" s="18"/>
      <c r="L183" s="44">
        <f>Table1345678101112131415161718192021222324252627[[#This Row],[الدولار]]+(Table1345678101112131415161718192021222324252627[[#This Row],[اللبناني]]/90)</f>
        <v>0</v>
      </c>
      <c r="M183" s="6"/>
    </row>
    <row r="184" spans="8:13" s="11" customFormat="1" x14ac:dyDescent="0.3">
      <c r="H184" s="2" t="s">
        <v>434</v>
      </c>
      <c r="I184" s="39"/>
      <c r="J184" s="18"/>
      <c r="L184" s="44">
        <f>Table1345678101112131415161718192021222324252627[[#This Row],[الدولار]]+(Table1345678101112131415161718192021222324252627[[#This Row],[اللبناني]]/90)</f>
        <v>0</v>
      </c>
      <c r="M184" s="6"/>
    </row>
    <row r="185" spans="8:13" s="11" customFormat="1" x14ac:dyDescent="0.3">
      <c r="H185" s="2" t="s">
        <v>434</v>
      </c>
      <c r="I185" s="39"/>
      <c r="J185" s="18"/>
      <c r="L185" s="44">
        <f>Table1345678101112131415161718192021222324252627[[#This Row],[الدولار]]+(Table1345678101112131415161718192021222324252627[[#This Row],[اللبناني]]/90)</f>
        <v>0</v>
      </c>
      <c r="M185" s="6"/>
    </row>
    <row r="186" spans="8:13" s="11" customFormat="1" x14ac:dyDescent="0.3">
      <c r="H186" s="2" t="s">
        <v>434</v>
      </c>
      <c r="I186" s="39"/>
      <c r="J186" s="18"/>
      <c r="L186" s="44">
        <f>Table1345678101112131415161718192021222324252627[[#This Row],[الدولار]]+(Table1345678101112131415161718192021222324252627[[#This Row],[اللبناني]]/90)</f>
        <v>0</v>
      </c>
      <c r="M186" s="6"/>
    </row>
    <row r="187" spans="8:13" s="11" customFormat="1" x14ac:dyDescent="0.3">
      <c r="H187" s="2" t="s">
        <v>434</v>
      </c>
      <c r="I187" s="39"/>
      <c r="J187" s="18"/>
      <c r="L187" s="44">
        <f>Table1345678101112131415161718192021222324252627[[#This Row],[الدولار]]+(Table1345678101112131415161718192021222324252627[[#This Row],[اللبناني]]/90)</f>
        <v>0</v>
      </c>
      <c r="M187" s="6"/>
    </row>
    <row r="188" spans="8:13" s="11" customFormat="1" x14ac:dyDescent="0.3">
      <c r="H188" s="2" t="s">
        <v>434</v>
      </c>
      <c r="I188" s="39"/>
      <c r="J188" s="18"/>
      <c r="L188" s="44">
        <f>Table1345678101112131415161718192021222324252627[[#This Row],[الدولار]]+(Table1345678101112131415161718192021222324252627[[#This Row],[اللبناني]]/90)</f>
        <v>0</v>
      </c>
      <c r="M188" s="6"/>
    </row>
    <row r="189" spans="8:13" s="11" customFormat="1" x14ac:dyDescent="0.3">
      <c r="H189" s="2" t="s">
        <v>434</v>
      </c>
      <c r="I189" s="39"/>
      <c r="J189" s="18"/>
      <c r="L189" s="44">
        <f>Table1345678101112131415161718192021222324252627[[#This Row],[الدولار]]+(Table1345678101112131415161718192021222324252627[[#This Row],[اللبناني]]/90)</f>
        <v>0</v>
      </c>
      <c r="M189" s="6"/>
    </row>
    <row r="190" spans="8:13" s="11" customFormat="1" x14ac:dyDescent="0.3">
      <c r="H190" s="2" t="s">
        <v>434</v>
      </c>
      <c r="I190" s="39"/>
      <c r="J190" s="18"/>
      <c r="L190" s="44">
        <f>Table1345678101112131415161718192021222324252627[[#This Row],[الدولار]]+(Table1345678101112131415161718192021222324252627[[#This Row],[اللبناني]]/90)</f>
        <v>0</v>
      </c>
      <c r="M190" s="6"/>
    </row>
    <row r="191" spans="8:13" s="11" customFormat="1" x14ac:dyDescent="0.3">
      <c r="H191" s="2" t="s">
        <v>434</v>
      </c>
      <c r="I191" s="39"/>
      <c r="J191" s="18"/>
      <c r="L191" s="44">
        <f>Table1345678101112131415161718192021222324252627[[#This Row],[الدولار]]+(Table1345678101112131415161718192021222324252627[[#This Row],[اللبناني]]/90)</f>
        <v>0</v>
      </c>
      <c r="M191" s="6"/>
    </row>
    <row r="192" spans="8:13" s="11" customFormat="1" x14ac:dyDescent="0.3">
      <c r="H192" s="2" t="s">
        <v>434</v>
      </c>
      <c r="I192" s="39"/>
      <c r="J192" s="18"/>
      <c r="L192" s="44">
        <f>Table1345678101112131415161718192021222324252627[[#This Row],[الدولار]]+(Table1345678101112131415161718192021222324252627[[#This Row],[اللبناني]]/90)</f>
        <v>0</v>
      </c>
      <c r="M192" s="6"/>
    </row>
    <row r="193" spans="8:13" s="11" customFormat="1" x14ac:dyDescent="0.3">
      <c r="H193" s="2" t="s">
        <v>434</v>
      </c>
      <c r="I193" s="39"/>
      <c r="J193" s="18"/>
      <c r="L193" s="44">
        <f>Table1345678101112131415161718192021222324252627[[#This Row],[الدولار]]+(Table1345678101112131415161718192021222324252627[[#This Row],[اللبناني]]/90)</f>
        <v>0</v>
      </c>
      <c r="M193" s="6"/>
    </row>
    <row r="194" spans="8:13" s="11" customFormat="1" x14ac:dyDescent="0.3">
      <c r="H194" s="2" t="s">
        <v>434</v>
      </c>
      <c r="I194" s="39"/>
      <c r="J194" s="18"/>
      <c r="L194" s="44">
        <f>Table1345678101112131415161718192021222324252627[[#This Row],[الدولار]]+(Table1345678101112131415161718192021222324252627[[#This Row],[اللبناني]]/90)</f>
        <v>0</v>
      </c>
      <c r="M194" s="6"/>
    </row>
    <row r="195" spans="8:13" s="11" customFormat="1" x14ac:dyDescent="0.3">
      <c r="H195" s="2" t="s">
        <v>434</v>
      </c>
      <c r="I195" s="39"/>
      <c r="J195" s="18"/>
      <c r="L195" s="44">
        <f>Table1345678101112131415161718192021222324252627[[#This Row],[الدولار]]+(Table1345678101112131415161718192021222324252627[[#This Row],[اللبناني]]/90)</f>
        <v>0</v>
      </c>
      <c r="M195" s="6"/>
    </row>
    <row r="196" spans="8:13" s="11" customFormat="1" x14ac:dyDescent="0.3">
      <c r="H196" s="2" t="s">
        <v>434</v>
      </c>
      <c r="I196" s="39"/>
      <c r="J196" s="18"/>
      <c r="L196" s="44">
        <f>Table1345678101112131415161718192021222324252627[[#This Row],[الدولار]]+(Table1345678101112131415161718192021222324252627[[#This Row],[اللبناني]]/90)</f>
        <v>0</v>
      </c>
      <c r="M196" s="6"/>
    </row>
    <row r="197" spans="8:13" s="11" customFormat="1" x14ac:dyDescent="0.3">
      <c r="H197" s="2" t="s">
        <v>434</v>
      </c>
      <c r="I197" s="39"/>
      <c r="J197" s="18"/>
      <c r="L197" s="44">
        <f>Table1345678101112131415161718192021222324252627[[#This Row],[الدولار]]+(Table1345678101112131415161718192021222324252627[[#This Row],[اللبناني]]/90)</f>
        <v>0</v>
      </c>
      <c r="M197" s="6"/>
    </row>
    <row r="198" spans="8:13" s="11" customFormat="1" x14ac:dyDescent="0.3">
      <c r="H198" s="2" t="s">
        <v>434</v>
      </c>
      <c r="I198" s="39"/>
      <c r="J198" s="18"/>
      <c r="L198" s="44">
        <f>Table1345678101112131415161718192021222324252627[[#This Row],[الدولار]]+(Table1345678101112131415161718192021222324252627[[#This Row],[اللبناني]]/90)</f>
        <v>0</v>
      </c>
      <c r="M198" s="6"/>
    </row>
    <row r="199" spans="8:13" s="11" customFormat="1" x14ac:dyDescent="0.3">
      <c r="H199" s="2" t="s">
        <v>434</v>
      </c>
      <c r="I199" s="39"/>
      <c r="J199" s="18"/>
      <c r="L199" s="44">
        <f>Table1345678101112131415161718192021222324252627[[#This Row],[الدولار]]+(Table1345678101112131415161718192021222324252627[[#This Row],[اللبناني]]/90)</f>
        <v>0</v>
      </c>
      <c r="M199" s="6"/>
    </row>
    <row r="200" spans="8:13" s="11" customFormat="1" x14ac:dyDescent="0.3">
      <c r="H200" s="2" t="s">
        <v>434</v>
      </c>
      <c r="I200" s="39"/>
      <c r="J200" s="18"/>
      <c r="L200" s="44">
        <f>Table1345678101112131415161718192021222324252627[[#This Row],[الدولار]]+(Table1345678101112131415161718192021222324252627[[#This Row],[اللبناني]]/90)</f>
        <v>0</v>
      </c>
      <c r="M200" s="6"/>
    </row>
    <row r="201" spans="8:13" s="11" customFormat="1" x14ac:dyDescent="0.3">
      <c r="H201" s="2" t="s">
        <v>434</v>
      </c>
      <c r="I201" s="39"/>
      <c r="J201" s="18"/>
      <c r="L201" s="44">
        <f>Table1345678101112131415161718192021222324252627[[#This Row],[الدولار]]+(Table1345678101112131415161718192021222324252627[[#This Row],[اللبناني]]/90)</f>
        <v>0</v>
      </c>
      <c r="M201" s="6"/>
    </row>
    <row r="202" spans="8:13" s="11" customFormat="1" x14ac:dyDescent="0.3">
      <c r="H202" s="2" t="s">
        <v>434</v>
      </c>
      <c r="I202" s="39"/>
      <c r="J202" s="18"/>
      <c r="L202" s="44">
        <f>Table1345678101112131415161718192021222324252627[[#This Row],[الدولار]]+(Table1345678101112131415161718192021222324252627[[#This Row],[اللبناني]]/90)</f>
        <v>0</v>
      </c>
      <c r="M202" s="6"/>
    </row>
    <row r="203" spans="8:13" s="11" customFormat="1" x14ac:dyDescent="0.3">
      <c r="H203" s="2" t="s">
        <v>434</v>
      </c>
      <c r="I203" s="39"/>
      <c r="J203" s="18"/>
      <c r="L203" s="44">
        <f>Table1345678101112131415161718192021222324252627[[#This Row],[الدولار]]+(Table1345678101112131415161718192021222324252627[[#This Row],[اللبناني]]/90)</f>
        <v>0</v>
      </c>
      <c r="M203" s="6"/>
    </row>
    <row r="204" spans="8:13" s="11" customFormat="1" x14ac:dyDescent="0.3">
      <c r="H204" s="2" t="s">
        <v>434</v>
      </c>
      <c r="I204" s="39"/>
      <c r="J204" s="18"/>
      <c r="L204" s="44">
        <f>Table1345678101112131415161718192021222324252627[[#This Row],[الدولار]]+(Table1345678101112131415161718192021222324252627[[#This Row],[اللبناني]]/90)</f>
        <v>0</v>
      </c>
      <c r="M204" s="6"/>
    </row>
    <row r="205" spans="8:13" s="11" customFormat="1" x14ac:dyDescent="0.3">
      <c r="H205" s="2" t="s">
        <v>434</v>
      </c>
      <c r="I205" s="39"/>
      <c r="J205" s="18"/>
      <c r="L205" s="44">
        <f>Table1345678101112131415161718192021222324252627[[#This Row],[الدولار]]+(Table1345678101112131415161718192021222324252627[[#This Row],[اللبناني]]/90)</f>
        <v>0</v>
      </c>
      <c r="M205" s="6"/>
    </row>
    <row r="206" spans="8:13" s="11" customFormat="1" x14ac:dyDescent="0.3">
      <c r="H206" s="2" t="s">
        <v>434</v>
      </c>
      <c r="I206" s="39"/>
      <c r="J206" s="18"/>
      <c r="L206" s="44">
        <f>Table1345678101112131415161718192021222324252627[[#This Row],[الدولار]]+(Table1345678101112131415161718192021222324252627[[#This Row],[اللبناني]]/90)</f>
        <v>0</v>
      </c>
      <c r="M206" s="6"/>
    </row>
    <row r="207" spans="8:13" s="11" customFormat="1" x14ac:dyDescent="0.3">
      <c r="H207" s="2" t="s">
        <v>434</v>
      </c>
      <c r="I207" s="39"/>
      <c r="J207" s="18"/>
      <c r="L207" s="44">
        <f>Table1345678101112131415161718192021222324252627[[#This Row],[الدولار]]+(Table1345678101112131415161718192021222324252627[[#This Row],[اللبناني]]/90)</f>
        <v>0</v>
      </c>
      <c r="M207" s="6"/>
    </row>
    <row r="208" spans="8:13" s="11" customFormat="1" x14ac:dyDescent="0.3">
      <c r="H208" s="2" t="s">
        <v>434</v>
      </c>
      <c r="I208" s="39"/>
      <c r="J208" s="18"/>
      <c r="L208" s="44">
        <f>Table1345678101112131415161718192021222324252627[[#This Row],[الدولار]]+(Table1345678101112131415161718192021222324252627[[#This Row],[اللبناني]]/90)</f>
        <v>0</v>
      </c>
      <c r="M208" s="6"/>
    </row>
    <row r="209" spans="8:13" s="11" customFormat="1" x14ac:dyDescent="0.3">
      <c r="H209" s="2" t="s">
        <v>434</v>
      </c>
      <c r="I209" s="39"/>
      <c r="J209" s="18"/>
      <c r="L209" s="44">
        <f>Table1345678101112131415161718192021222324252627[[#This Row],[الدولار]]+(Table1345678101112131415161718192021222324252627[[#This Row],[اللبناني]]/90)</f>
        <v>0</v>
      </c>
      <c r="M209" s="6"/>
    </row>
    <row r="210" spans="8:13" s="11" customFormat="1" x14ac:dyDescent="0.3">
      <c r="H210" s="2" t="s">
        <v>434</v>
      </c>
      <c r="I210" s="39"/>
      <c r="J210" s="18"/>
      <c r="L210" s="44">
        <f>Table1345678101112131415161718192021222324252627[[#This Row],[الدولار]]+(Table1345678101112131415161718192021222324252627[[#This Row],[اللبناني]]/90)</f>
        <v>0</v>
      </c>
      <c r="M210" s="6"/>
    </row>
    <row r="211" spans="8:13" s="11" customFormat="1" x14ac:dyDescent="0.3">
      <c r="H211" s="2" t="s">
        <v>434</v>
      </c>
      <c r="I211" s="39"/>
      <c r="J211" s="18"/>
      <c r="L211" s="44">
        <f>Table1345678101112131415161718192021222324252627[[#This Row],[الدولار]]+(Table1345678101112131415161718192021222324252627[[#This Row],[اللبناني]]/90)</f>
        <v>0</v>
      </c>
      <c r="M211" s="6"/>
    </row>
    <row r="212" spans="8:13" s="11" customFormat="1" x14ac:dyDescent="0.3">
      <c r="H212" s="2" t="s">
        <v>434</v>
      </c>
      <c r="I212" s="39"/>
      <c r="J212" s="18"/>
      <c r="L212" s="44">
        <f>Table1345678101112131415161718192021222324252627[[#This Row],[الدولار]]+(Table1345678101112131415161718192021222324252627[[#This Row],[اللبناني]]/90)</f>
        <v>0</v>
      </c>
      <c r="M212" s="6"/>
    </row>
    <row r="213" spans="8:13" s="11" customFormat="1" x14ac:dyDescent="0.3">
      <c r="H213" s="2" t="s">
        <v>434</v>
      </c>
      <c r="I213" s="39"/>
      <c r="J213" s="18"/>
      <c r="L213" s="44">
        <f>Table1345678101112131415161718192021222324252627[[#This Row],[الدولار]]+(Table1345678101112131415161718192021222324252627[[#This Row],[اللبناني]]/90)</f>
        <v>0</v>
      </c>
      <c r="M213" s="6"/>
    </row>
    <row r="214" spans="8:13" s="11" customFormat="1" x14ac:dyDescent="0.3">
      <c r="H214" s="2" t="s">
        <v>434</v>
      </c>
      <c r="I214" s="39"/>
      <c r="J214" s="18"/>
      <c r="L214" s="44">
        <f>Table1345678101112131415161718192021222324252627[[#This Row],[الدولار]]+(Table1345678101112131415161718192021222324252627[[#This Row],[اللبناني]]/90)</f>
        <v>0</v>
      </c>
      <c r="M214" s="6"/>
    </row>
    <row r="215" spans="8:13" s="11" customFormat="1" x14ac:dyDescent="0.3">
      <c r="H215" s="2" t="s">
        <v>434</v>
      </c>
      <c r="I215" s="39"/>
      <c r="J215" s="18"/>
      <c r="L215" s="44">
        <f>Table1345678101112131415161718192021222324252627[[#This Row],[الدولار]]+(Table1345678101112131415161718192021222324252627[[#This Row],[اللبناني]]/90)</f>
        <v>0</v>
      </c>
      <c r="M215" s="6"/>
    </row>
    <row r="216" spans="8:13" s="11" customFormat="1" x14ac:dyDescent="0.3">
      <c r="H216" s="2" t="s">
        <v>434</v>
      </c>
      <c r="I216" s="39"/>
      <c r="J216" s="18"/>
      <c r="L216" s="44">
        <f>Table1345678101112131415161718192021222324252627[[#This Row],[الدولار]]+(Table1345678101112131415161718192021222324252627[[#This Row],[اللبناني]]/90)</f>
        <v>0</v>
      </c>
      <c r="M216" s="6"/>
    </row>
    <row r="217" spans="8:13" s="11" customFormat="1" x14ac:dyDescent="0.3">
      <c r="H217" s="2" t="s">
        <v>434</v>
      </c>
      <c r="I217" s="39"/>
      <c r="J217" s="18"/>
      <c r="L217" s="44">
        <f>Table1345678101112131415161718192021222324252627[[#This Row],[الدولار]]+(Table1345678101112131415161718192021222324252627[[#This Row],[اللبناني]]/90)</f>
        <v>0</v>
      </c>
      <c r="M217" s="6"/>
    </row>
    <row r="218" spans="8:13" s="11" customFormat="1" x14ac:dyDescent="0.3">
      <c r="H218" s="2" t="s">
        <v>434</v>
      </c>
      <c r="I218" s="39"/>
      <c r="J218" s="18"/>
      <c r="L218" s="44">
        <f>Table1345678101112131415161718192021222324252627[[#This Row],[الدولار]]+(Table1345678101112131415161718192021222324252627[[#This Row],[اللبناني]]/90)</f>
        <v>0</v>
      </c>
      <c r="M218" s="6"/>
    </row>
    <row r="219" spans="8:13" s="11" customFormat="1" x14ac:dyDescent="0.3">
      <c r="H219" s="2" t="s">
        <v>434</v>
      </c>
      <c r="I219" s="39"/>
      <c r="J219" s="18"/>
      <c r="L219" s="44">
        <f>Table1345678101112131415161718192021222324252627[[#This Row],[الدولار]]+(Table1345678101112131415161718192021222324252627[[#This Row],[اللبناني]]/90)</f>
        <v>0</v>
      </c>
      <c r="M219" s="6"/>
    </row>
    <row r="220" spans="8:13" s="11" customFormat="1" x14ac:dyDescent="0.3">
      <c r="H220" s="2" t="s">
        <v>434</v>
      </c>
      <c r="I220" s="39"/>
      <c r="J220" s="18"/>
      <c r="L220" s="44">
        <f>Table1345678101112131415161718192021222324252627[[#This Row],[الدولار]]+(Table1345678101112131415161718192021222324252627[[#This Row],[اللبناني]]/90)</f>
        <v>0</v>
      </c>
      <c r="M220" s="6"/>
    </row>
    <row r="221" spans="8:13" s="11" customFormat="1" x14ac:dyDescent="0.3">
      <c r="H221" s="2" t="s">
        <v>434</v>
      </c>
      <c r="I221" s="39"/>
      <c r="J221" s="18"/>
      <c r="L221" s="44">
        <f>Table1345678101112131415161718192021222324252627[[#This Row],[الدولار]]+(Table1345678101112131415161718192021222324252627[[#This Row],[اللبناني]]/90)</f>
        <v>0</v>
      </c>
      <c r="M221" s="6"/>
    </row>
    <row r="222" spans="8:13" s="11" customFormat="1" x14ac:dyDescent="0.3">
      <c r="H222" s="2" t="s">
        <v>434</v>
      </c>
      <c r="I222" s="39"/>
      <c r="J222" s="18"/>
      <c r="L222" s="44">
        <f>Table1345678101112131415161718192021222324252627[[#This Row],[الدولار]]+(Table1345678101112131415161718192021222324252627[[#This Row],[اللبناني]]/90)</f>
        <v>0</v>
      </c>
      <c r="M222" s="6"/>
    </row>
    <row r="223" spans="8:13" s="11" customFormat="1" x14ac:dyDescent="0.3">
      <c r="H223" s="2" t="s">
        <v>434</v>
      </c>
      <c r="I223" s="39"/>
      <c r="J223" s="18"/>
      <c r="L223" s="44">
        <f>Table1345678101112131415161718192021222324252627[[#This Row],[الدولار]]+(Table1345678101112131415161718192021222324252627[[#This Row],[اللبناني]]/90)</f>
        <v>0</v>
      </c>
      <c r="M223" s="6"/>
    </row>
    <row r="224" spans="8:13" s="11" customFormat="1" x14ac:dyDescent="0.3">
      <c r="H224" s="2" t="s">
        <v>434</v>
      </c>
      <c r="I224" s="39"/>
      <c r="J224" s="18"/>
      <c r="L224" s="44">
        <f>Table1345678101112131415161718192021222324252627[[#This Row],[الدولار]]+(Table1345678101112131415161718192021222324252627[[#This Row],[اللبناني]]/90)</f>
        <v>0</v>
      </c>
      <c r="M224" s="6"/>
    </row>
    <row r="225" spans="8:13" s="11" customFormat="1" x14ac:dyDescent="0.3">
      <c r="H225" s="2" t="s">
        <v>434</v>
      </c>
      <c r="I225" s="39"/>
      <c r="J225" s="18"/>
      <c r="L225" s="44">
        <f>Table1345678101112131415161718192021222324252627[[#This Row],[الدولار]]+(Table1345678101112131415161718192021222324252627[[#This Row],[اللبناني]]/90)</f>
        <v>0</v>
      </c>
      <c r="M225" s="6"/>
    </row>
    <row r="226" spans="8:13" s="11" customFormat="1" x14ac:dyDescent="0.3">
      <c r="H226" s="2" t="s">
        <v>434</v>
      </c>
      <c r="I226" s="39"/>
      <c r="J226" s="18"/>
      <c r="L226" s="44">
        <f>Table1345678101112131415161718192021222324252627[[#This Row],[الدولار]]+(Table1345678101112131415161718192021222324252627[[#This Row],[اللبناني]]/90)</f>
        <v>0</v>
      </c>
      <c r="M226" s="6"/>
    </row>
    <row r="227" spans="8:13" s="11" customFormat="1" x14ac:dyDescent="0.3">
      <c r="H227" s="2" t="s">
        <v>434</v>
      </c>
      <c r="I227" s="39"/>
      <c r="J227" s="18"/>
      <c r="L227" s="44">
        <f>Table1345678101112131415161718192021222324252627[[#This Row],[الدولار]]+(Table1345678101112131415161718192021222324252627[[#This Row],[اللبناني]]/90)</f>
        <v>0</v>
      </c>
      <c r="M227" s="6"/>
    </row>
    <row r="228" spans="8:13" s="11" customFormat="1" x14ac:dyDescent="0.3">
      <c r="H228" s="2" t="s">
        <v>434</v>
      </c>
      <c r="I228" s="39"/>
      <c r="J228" s="18"/>
      <c r="L228" s="44">
        <f>Table1345678101112131415161718192021222324252627[[#This Row],[الدولار]]+(Table1345678101112131415161718192021222324252627[[#This Row],[اللبناني]]/90)</f>
        <v>0</v>
      </c>
      <c r="M228" s="6"/>
    </row>
    <row r="229" spans="8:13" s="11" customFormat="1" x14ac:dyDescent="0.3">
      <c r="H229" s="2" t="s">
        <v>434</v>
      </c>
      <c r="I229" s="39"/>
      <c r="J229" s="18"/>
      <c r="L229" s="44">
        <f>Table1345678101112131415161718192021222324252627[[#This Row],[الدولار]]+(Table1345678101112131415161718192021222324252627[[#This Row],[اللبناني]]/90)</f>
        <v>0</v>
      </c>
      <c r="M229" s="6"/>
    </row>
    <row r="230" spans="8:13" s="11" customFormat="1" x14ac:dyDescent="0.3">
      <c r="H230" s="2" t="s">
        <v>434</v>
      </c>
      <c r="I230" s="39"/>
      <c r="J230" s="18"/>
      <c r="L230" s="44">
        <f>Table1345678101112131415161718192021222324252627[[#This Row],[الدولار]]+(Table1345678101112131415161718192021222324252627[[#This Row],[اللبناني]]/90)</f>
        <v>0</v>
      </c>
      <c r="M230" s="6"/>
    </row>
    <row r="231" spans="8:13" s="11" customFormat="1" x14ac:dyDescent="0.3">
      <c r="H231" s="2" t="s">
        <v>434</v>
      </c>
      <c r="I231" s="39"/>
      <c r="J231" s="18"/>
      <c r="L231" s="44">
        <f>Table1345678101112131415161718192021222324252627[[#This Row],[الدولار]]+(Table1345678101112131415161718192021222324252627[[#This Row],[اللبناني]]/90)</f>
        <v>0</v>
      </c>
      <c r="M231" s="6"/>
    </row>
    <row r="232" spans="8:13" s="11" customFormat="1" x14ac:dyDescent="0.3">
      <c r="H232" s="2" t="s">
        <v>434</v>
      </c>
      <c r="I232" s="39"/>
      <c r="J232" s="18"/>
      <c r="L232" s="44">
        <f>Table1345678101112131415161718192021222324252627[[#This Row],[الدولار]]+(Table1345678101112131415161718192021222324252627[[#This Row],[اللبناني]]/90)</f>
        <v>0</v>
      </c>
      <c r="M232" s="6"/>
    </row>
    <row r="233" spans="8:13" s="11" customFormat="1" x14ac:dyDescent="0.3">
      <c r="H233" s="2" t="s">
        <v>434</v>
      </c>
      <c r="I233" s="39"/>
      <c r="J233" s="18"/>
      <c r="L233" s="44">
        <f>Table1345678101112131415161718192021222324252627[[#This Row],[الدولار]]+(Table1345678101112131415161718192021222324252627[[#This Row],[اللبناني]]/90)</f>
        <v>0</v>
      </c>
      <c r="M233" s="6"/>
    </row>
    <row r="234" spans="8:13" s="11" customFormat="1" x14ac:dyDescent="0.3">
      <c r="H234" s="2" t="s">
        <v>434</v>
      </c>
      <c r="I234" s="39"/>
      <c r="J234" s="18"/>
      <c r="L234" s="44">
        <f>Table1345678101112131415161718192021222324252627[[#This Row],[الدولار]]+(Table1345678101112131415161718192021222324252627[[#This Row],[اللبناني]]/90)</f>
        <v>0</v>
      </c>
      <c r="M234" s="6"/>
    </row>
    <row r="235" spans="8:13" s="11" customFormat="1" x14ac:dyDescent="0.3">
      <c r="H235" s="2" t="s">
        <v>434</v>
      </c>
      <c r="I235" s="39"/>
      <c r="J235" s="18"/>
      <c r="L235" s="44">
        <f>Table1345678101112131415161718192021222324252627[[#This Row],[الدولار]]+(Table1345678101112131415161718192021222324252627[[#This Row],[اللبناني]]/90)</f>
        <v>0</v>
      </c>
      <c r="M235" s="6"/>
    </row>
    <row r="236" spans="8:13" s="11" customFormat="1" x14ac:dyDescent="0.3">
      <c r="H236" s="2" t="s">
        <v>434</v>
      </c>
      <c r="I236" s="39"/>
      <c r="J236" s="18"/>
      <c r="L236" s="44">
        <f>Table1345678101112131415161718192021222324252627[[#This Row],[الدولار]]+(Table1345678101112131415161718192021222324252627[[#This Row],[اللبناني]]/90)</f>
        <v>0</v>
      </c>
      <c r="M236" s="6"/>
    </row>
    <row r="237" spans="8:13" s="11" customFormat="1" x14ac:dyDescent="0.3">
      <c r="H237" s="2" t="s">
        <v>434</v>
      </c>
      <c r="I237" s="39"/>
      <c r="J237" s="18"/>
      <c r="L237" s="44">
        <f>Table1345678101112131415161718192021222324252627[[#This Row],[الدولار]]+(Table1345678101112131415161718192021222324252627[[#This Row],[اللبناني]]/90)</f>
        <v>0</v>
      </c>
      <c r="M237" s="6"/>
    </row>
    <row r="238" spans="8:13" s="11" customFormat="1" x14ac:dyDescent="0.3">
      <c r="H238" s="2" t="s">
        <v>434</v>
      </c>
      <c r="I238" s="39"/>
      <c r="J238" s="18"/>
      <c r="L238" s="44">
        <f>Table1345678101112131415161718192021222324252627[[#This Row],[الدولار]]+(Table1345678101112131415161718192021222324252627[[#This Row],[اللبناني]]/90)</f>
        <v>0</v>
      </c>
      <c r="M238" s="6"/>
    </row>
    <row r="239" spans="8:13" s="11" customFormat="1" x14ac:dyDescent="0.3">
      <c r="H239" s="2" t="s">
        <v>434</v>
      </c>
      <c r="I239" s="39"/>
      <c r="J239" s="18"/>
      <c r="L239" s="44">
        <f>Table1345678101112131415161718192021222324252627[[#This Row],[الدولار]]+(Table1345678101112131415161718192021222324252627[[#This Row],[اللبناني]]/90)</f>
        <v>0</v>
      </c>
      <c r="M239" s="6"/>
    </row>
    <row r="240" spans="8:13" s="11" customFormat="1" x14ac:dyDescent="0.3">
      <c r="H240" s="2" t="s">
        <v>434</v>
      </c>
      <c r="I240" s="39"/>
      <c r="J240" s="18"/>
      <c r="L240" s="44">
        <f>Table1345678101112131415161718192021222324252627[[#This Row],[الدولار]]+(Table1345678101112131415161718192021222324252627[[#This Row],[اللبناني]]/90)</f>
        <v>0</v>
      </c>
      <c r="M240" s="6"/>
    </row>
    <row r="241" spans="8:13" s="11" customFormat="1" x14ac:dyDescent="0.3">
      <c r="H241" s="2" t="s">
        <v>434</v>
      </c>
      <c r="I241" s="39"/>
      <c r="J241" s="18"/>
      <c r="L241" s="44">
        <f>Table1345678101112131415161718192021222324252627[[#This Row],[الدولار]]+(Table1345678101112131415161718192021222324252627[[#This Row],[اللبناني]]/90)</f>
        <v>0</v>
      </c>
      <c r="M241" s="6"/>
    </row>
    <row r="242" spans="8:13" s="11" customFormat="1" x14ac:dyDescent="0.3">
      <c r="H242" s="2" t="s">
        <v>434</v>
      </c>
      <c r="I242" s="39"/>
      <c r="J242" s="18"/>
      <c r="L242" s="44">
        <f>Table1345678101112131415161718192021222324252627[[#This Row],[الدولار]]+(Table1345678101112131415161718192021222324252627[[#This Row],[اللبناني]]/90)</f>
        <v>0</v>
      </c>
      <c r="M242" s="6"/>
    </row>
    <row r="243" spans="8:13" s="11" customFormat="1" x14ac:dyDescent="0.3">
      <c r="H243" s="2" t="s">
        <v>434</v>
      </c>
      <c r="I243" s="39"/>
      <c r="J243" s="18"/>
      <c r="L243" s="44">
        <f>Table1345678101112131415161718192021222324252627[[#This Row],[الدولار]]+(Table1345678101112131415161718192021222324252627[[#This Row],[اللبناني]]/90)</f>
        <v>0</v>
      </c>
      <c r="M243" s="6"/>
    </row>
    <row r="244" spans="8:13" s="11" customFormat="1" x14ac:dyDescent="0.3">
      <c r="H244" s="2" t="s">
        <v>434</v>
      </c>
      <c r="I244" s="39"/>
      <c r="J244" s="18"/>
      <c r="L244" s="44">
        <f>Table1345678101112131415161718192021222324252627[[#This Row],[الدولار]]+(Table1345678101112131415161718192021222324252627[[#This Row],[اللبناني]]/90)</f>
        <v>0</v>
      </c>
      <c r="M244" s="6"/>
    </row>
    <row r="245" spans="8:13" s="11" customFormat="1" x14ac:dyDescent="0.3">
      <c r="H245" s="2" t="s">
        <v>434</v>
      </c>
      <c r="I245" s="39"/>
      <c r="J245" s="18"/>
      <c r="L245" s="44">
        <f>Table1345678101112131415161718192021222324252627[[#This Row],[الدولار]]+(Table1345678101112131415161718192021222324252627[[#This Row],[اللبناني]]/90)</f>
        <v>0</v>
      </c>
      <c r="M245" s="6"/>
    </row>
    <row r="246" spans="8:13" s="11" customFormat="1" x14ac:dyDescent="0.3">
      <c r="H246" s="2" t="s">
        <v>434</v>
      </c>
      <c r="I246" s="39"/>
      <c r="J246" s="18"/>
      <c r="L246" s="44">
        <f>Table1345678101112131415161718192021222324252627[[#This Row],[الدولار]]+(Table1345678101112131415161718192021222324252627[[#This Row],[اللبناني]]/90)</f>
        <v>0</v>
      </c>
      <c r="M246" s="6"/>
    </row>
    <row r="247" spans="8:13" s="11" customFormat="1" x14ac:dyDescent="0.3">
      <c r="H247" s="2" t="s">
        <v>434</v>
      </c>
      <c r="I247" s="39"/>
      <c r="J247" s="18"/>
      <c r="L247" s="44">
        <f>Table1345678101112131415161718192021222324252627[[#This Row],[الدولار]]+(Table1345678101112131415161718192021222324252627[[#This Row],[اللبناني]]/90)</f>
        <v>0</v>
      </c>
      <c r="M247" s="6"/>
    </row>
    <row r="248" spans="8:13" s="11" customFormat="1" x14ac:dyDescent="0.3">
      <c r="H248" s="2" t="s">
        <v>434</v>
      </c>
      <c r="I248" s="39"/>
      <c r="J248" s="18"/>
      <c r="L248" s="44">
        <f>Table1345678101112131415161718192021222324252627[[#This Row],[الدولار]]+(Table1345678101112131415161718192021222324252627[[#This Row],[اللبناني]]/90)</f>
        <v>0</v>
      </c>
      <c r="M248" s="6"/>
    </row>
    <row r="249" spans="8:13" s="11" customFormat="1" x14ac:dyDescent="0.3">
      <c r="H249" s="2" t="s">
        <v>434</v>
      </c>
      <c r="I249" s="39"/>
      <c r="J249" s="18"/>
      <c r="L249" s="44">
        <f>Table1345678101112131415161718192021222324252627[[#This Row],[الدولار]]+(Table1345678101112131415161718192021222324252627[[#This Row],[اللبناني]]/90)</f>
        <v>0</v>
      </c>
      <c r="M249" s="6"/>
    </row>
    <row r="250" spans="8:13" s="11" customFormat="1" x14ac:dyDescent="0.3">
      <c r="H250" s="2" t="s">
        <v>434</v>
      </c>
      <c r="I250" s="39"/>
      <c r="J250" s="18"/>
      <c r="L250" s="44">
        <f>Table1345678101112131415161718192021222324252627[[#This Row],[الدولار]]+(Table1345678101112131415161718192021222324252627[[#This Row],[اللبناني]]/90)</f>
        <v>0</v>
      </c>
      <c r="M250" s="6"/>
    </row>
    <row r="251" spans="8:13" s="11" customFormat="1" x14ac:dyDescent="0.3">
      <c r="H251" s="2" t="s">
        <v>434</v>
      </c>
      <c r="I251" s="39"/>
      <c r="J251" s="18"/>
      <c r="L251" s="44">
        <f>Table1345678101112131415161718192021222324252627[[#This Row],[الدولار]]+(Table1345678101112131415161718192021222324252627[[#This Row],[اللبناني]]/90)</f>
        <v>0</v>
      </c>
      <c r="M251" s="6"/>
    </row>
    <row r="252" spans="8:13" s="11" customFormat="1" x14ac:dyDescent="0.3">
      <c r="H252" s="2" t="s">
        <v>434</v>
      </c>
      <c r="I252" s="39"/>
      <c r="J252" s="18"/>
      <c r="L252" s="44">
        <f>Table1345678101112131415161718192021222324252627[[#This Row],[الدولار]]+(Table1345678101112131415161718192021222324252627[[#This Row],[اللبناني]]/90)</f>
        <v>0</v>
      </c>
      <c r="M252" s="6"/>
    </row>
    <row r="253" spans="8:13" s="11" customFormat="1" x14ac:dyDescent="0.3">
      <c r="H253" s="2" t="s">
        <v>434</v>
      </c>
      <c r="I253" s="39"/>
      <c r="J253" s="18"/>
      <c r="L253" s="44">
        <f>Table1345678101112131415161718192021222324252627[[#This Row],[الدولار]]+(Table1345678101112131415161718192021222324252627[[#This Row],[اللبناني]]/90)</f>
        <v>0</v>
      </c>
      <c r="M253" s="6"/>
    </row>
    <row r="254" spans="8:13" s="11" customFormat="1" x14ac:dyDescent="0.3">
      <c r="H254" s="2" t="s">
        <v>434</v>
      </c>
      <c r="I254" s="39"/>
      <c r="J254" s="18"/>
      <c r="L254" s="44">
        <f>Table1345678101112131415161718192021222324252627[[#This Row],[الدولار]]+(Table1345678101112131415161718192021222324252627[[#This Row],[اللبناني]]/90)</f>
        <v>0</v>
      </c>
      <c r="M254" s="6"/>
    </row>
    <row r="255" spans="8:13" s="11" customFormat="1" x14ac:dyDescent="0.3">
      <c r="H255" s="2" t="s">
        <v>434</v>
      </c>
      <c r="I255" s="39"/>
      <c r="J255" s="18"/>
      <c r="L255" s="44">
        <f>Table1345678101112131415161718192021222324252627[[#This Row],[الدولار]]+(Table1345678101112131415161718192021222324252627[[#This Row],[اللبناني]]/90)</f>
        <v>0</v>
      </c>
      <c r="M255" s="6"/>
    </row>
    <row r="256" spans="8:13" s="11" customFormat="1" x14ac:dyDescent="0.3">
      <c r="H256" s="2" t="s">
        <v>434</v>
      </c>
      <c r="I256" s="39"/>
      <c r="J256" s="18"/>
      <c r="L256" s="44">
        <f>Table1345678101112131415161718192021222324252627[[#This Row],[الدولار]]+(Table1345678101112131415161718192021222324252627[[#This Row],[اللبناني]]/90)</f>
        <v>0</v>
      </c>
      <c r="M256" s="6"/>
    </row>
    <row r="257" spans="8:13" s="11" customFormat="1" x14ac:dyDescent="0.3">
      <c r="H257" s="2" t="s">
        <v>434</v>
      </c>
      <c r="I257" s="39"/>
      <c r="J257" s="18"/>
      <c r="L257" s="44">
        <f>Table1345678101112131415161718192021222324252627[[#This Row],[الدولار]]+(Table1345678101112131415161718192021222324252627[[#This Row],[اللبناني]]/90)</f>
        <v>0</v>
      </c>
      <c r="M257" s="6"/>
    </row>
    <row r="258" spans="8:13" s="11" customFormat="1" x14ac:dyDescent="0.3">
      <c r="H258" s="2" t="s">
        <v>434</v>
      </c>
      <c r="I258" s="39"/>
      <c r="J258" s="18"/>
      <c r="L258" s="44">
        <f>Table1345678101112131415161718192021222324252627[[#This Row],[الدولار]]+(Table1345678101112131415161718192021222324252627[[#This Row],[اللبناني]]/90)</f>
        <v>0</v>
      </c>
      <c r="M258" s="6"/>
    </row>
    <row r="259" spans="8:13" s="11" customFormat="1" x14ac:dyDescent="0.3">
      <c r="H259" s="2" t="s">
        <v>434</v>
      </c>
      <c r="I259" s="39"/>
      <c r="J259" s="18"/>
      <c r="L259" s="44">
        <f>Table1345678101112131415161718192021222324252627[[#This Row],[الدولار]]+(Table1345678101112131415161718192021222324252627[[#This Row],[اللبناني]]/90)</f>
        <v>0</v>
      </c>
      <c r="M259" s="6"/>
    </row>
    <row r="260" spans="8:13" s="11" customFormat="1" x14ac:dyDescent="0.3">
      <c r="H260" s="2" t="s">
        <v>434</v>
      </c>
      <c r="I260" s="39"/>
      <c r="J260" s="18"/>
      <c r="L260" s="44">
        <f>Table1345678101112131415161718192021222324252627[[#This Row],[الدولار]]+(Table1345678101112131415161718192021222324252627[[#This Row],[اللبناني]]/90)</f>
        <v>0</v>
      </c>
      <c r="M260" s="6"/>
    </row>
    <row r="261" spans="8:13" s="11" customFormat="1" x14ac:dyDescent="0.3">
      <c r="H261" s="2" t="s">
        <v>434</v>
      </c>
      <c r="I261" s="39"/>
      <c r="J261" s="18"/>
      <c r="L261" s="44">
        <f>Table1345678101112131415161718192021222324252627[[#This Row],[الدولار]]+(Table1345678101112131415161718192021222324252627[[#This Row],[اللبناني]]/90)</f>
        <v>0</v>
      </c>
      <c r="M261" s="6"/>
    </row>
    <row r="262" spans="8:13" s="11" customFormat="1" x14ac:dyDescent="0.3">
      <c r="H262" s="2" t="s">
        <v>434</v>
      </c>
      <c r="I262" s="39"/>
      <c r="J262" s="18"/>
      <c r="L262" s="44">
        <f>Table1345678101112131415161718192021222324252627[[#This Row],[الدولار]]+(Table1345678101112131415161718192021222324252627[[#This Row],[اللبناني]]/90)</f>
        <v>0</v>
      </c>
      <c r="M262" s="6"/>
    </row>
    <row r="263" spans="8:13" s="11" customFormat="1" x14ac:dyDescent="0.3">
      <c r="H263" s="2" t="s">
        <v>434</v>
      </c>
      <c r="I263" s="39"/>
      <c r="J263" s="18"/>
      <c r="L263" s="44">
        <f>Table1345678101112131415161718192021222324252627[[#This Row],[الدولار]]+(Table1345678101112131415161718192021222324252627[[#This Row],[اللبناني]]/90)</f>
        <v>0</v>
      </c>
      <c r="M263" s="6"/>
    </row>
    <row r="264" spans="8:13" s="11" customFormat="1" x14ac:dyDescent="0.3">
      <c r="H264" s="2" t="s">
        <v>434</v>
      </c>
      <c r="I264" s="39"/>
      <c r="J264" s="18"/>
      <c r="L264" s="44">
        <f>Table1345678101112131415161718192021222324252627[[#This Row],[الدولار]]+(Table1345678101112131415161718192021222324252627[[#This Row],[اللبناني]]/90)</f>
        <v>0</v>
      </c>
      <c r="M264" s="6"/>
    </row>
    <row r="265" spans="8:13" s="11" customFormat="1" x14ac:dyDescent="0.3">
      <c r="H265" s="2" t="s">
        <v>434</v>
      </c>
      <c r="I265" s="39"/>
      <c r="J265" s="18"/>
      <c r="L265" s="44">
        <f>Table1345678101112131415161718192021222324252627[[#This Row],[الدولار]]+(Table1345678101112131415161718192021222324252627[[#This Row],[اللبناني]]/90)</f>
        <v>0</v>
      </c>
      <c r="M265" s="6"/>
    </row>
    <row r="266" spans="8:13" s="11" customFormat="1" x14ac:dyDescent="0.3">
      <c r="H266" s="2" t="s">
        <v>434</v>
      </c>
      <c r="I266" s="39"/>
      <c r="J266" s="18"/>
      <c r="L266" s="44">
        <f>Table1345678101112131415161718192021222324252627[[#This Row],[الدولار]]+(Table1345678101112131415161718192021222324252627[[#This Row],[اللبناني]]/90)</f>
        <v>0</v>
      </c>
      <c r="M266" s="6"/>
    </row>
    <row r="267" spans="8:13" s="11" customFormat="1" x14ac:dyDescent="0.3">
      <c r="H267" s="2" t="s">
        <v>434</v>
      </c>
      <c r="I267" s="39"/>
      <c r="J267" s="18"/>
      <c r="L267" s="44">
        <f>Table1345678101112131415161718192021222324252627[[#This Row],[الدولار]]+(Table1345678101112131415161718192021222324252627[[#This Row],[اللبناني]]/90)</f>
        <v>0</v>
      </c>
      <c r="M267" s="6"/>
    </row>
    <row r="268" spans="8:13" s="11" customFormat="1" x14ac:dyDescent="0.3">
      <c r="H268" s="2" t="s">
        <v>434</v>
      </c>
      <c r="I268" s="39"/>
      <c r="J268" s="18"/>
      <c r="L268" s="44">
        <f>Table1345678101112131415161718192021222324252627[[#This Row],[الدولار]]+(Table1345678101112131415161718192021222324252627[[#This Row],[اللبناني]]/90)</f>
        <v>0</v>
      </c>
      <c r="M268" s="6"/>
    </row>
    <row r="269" spans="8:13" s="11" customFormat="1" x14ac:dyDescent="0.3">
      <c r="H269" s="2" t="s">
        <v>434</v>
      </c>
      <c r="I269" s="39"/>
      <c r="J269" s="18"/>
      <c r="L269" s="44">
        <f>Table1345678101112131415161718192021222324252627[[#This Row],[الدولار]]+(Table1345678101112131415161718192021222324252627[[#This Row],[اللبناني]]/90)</f>
        <v>0</v>
      </c>
      <c r="M269" s="6"/>
    </row>
    <row r="270" spans="8:13" s="11" customFormat="1" x14ac:dyDescent="0.3">
      <c r="H270" s="2" t="s">
        <v>434</v>
      </c>
      <c r="I270" s="39"/>
      <c r="J270" s="18"/>
      <c r="L270" s="44">
        <f>Table1345678101112131415161718192021222324252627[[#This Row],[الدولار]]+(Table1345678101112131415161718192021222324252627[[#This Row],[اللبناني]]/90)</f>
        <v>0</v>
      </c>
      <c r="M270" s="6"/>
    </row>
    <row r="271" spans="8:13" s="11" customFormat="1" x14ac:dyDescent="0.3">
      <c r="H271" s="2" t="s">
        <v>434</v>
      </c>
      <c r="I271" s="39"/>
      <c r="J271" s="18"/>
      <c r="L271" s="44">
        <f>Table1345678101112131415161718192021222324252627[[#This Row],[الدولار]]+(Table1345678101112131415161718192021222324252627[[#This Row],[اللبناني]]/90)</f>
        <v>0</v>
      </c>
      <c r="M271" s="6"/>
    </row>
    <row r="272" spans="8:13" s="11" customFormat="1" x14ac:dyDescent="0.3">
      <c r="H272" s="2" t="s">
        <v>434</v>
      </c>
      <c r="I272" s="39"/>
      <c r="J272" s="18"/>
      <c r="L272" s="44">
        <f>Table1345678101112131415161718192021222324252627[[#This Row],[الدولار]]+(Table1345678101112131415161718192021222324252627[[#This Row],[اللبناني]]/90)</f>
        <v>0</v>
      </c>
      <c r="M272" s="6"/>
    </row>
    <row r="273" spans="8:13" s="11" customFormat="1" x14ac:dyDescent="0.3">
      <c r="H273" s="2" t="s">
        <v>434</v>
      </c>
      <c r="I273" s="39"/>
      <c r="J273" s="18"/>
      <c r="L273" s="44">
        <f>Table1345678101112131415161718192021222324252627[[#This Row],[الدولار]]+(Table1345678101112131415161718192021222324252627[[#This Row],[اللبناني]]/90)</f>
        <v>0</v>
      </c>
      <c r="M273" s="6"/>
    </row>
    <row r="274" spans="8:13" s="11" customFormat="1" x14ac:dyDescent="0.3">
      <c r="H274" s="2" t="s">
        <v>434</v>
      </c>
      <c r="I274" s="39"/>
      <c r="J274" s="18"/>
      <c r="L274" s="44">
        <f>Table1345678101112131415161718192021222324252627[[#This Row],[الدولار]]+(Table1345678101112131415161718192021222324252627[[#This Row],[اللبناني]]/90)</f>
        <v>0</v>
      </c>
      <c r="M274" s="6"/>
    </row>
    <row r="275" spans="8:13" s="11" customFormat="1" x14ac:dyDescent="0.3">
      <c r="H275" s="2" t="s">
        <v>434</v>
      </c>
      <c r="I275" s="39"/>
      <c r="J275" s="18"/>
      <c r="L275" s="44">
        <f>Table1345678101112131415161718192021222324252627[[#This Row],[الدولار]]+(Table1345678101112131415161718192021222324252627[[#This Row],[اللبناني]]/90)</f>
        <v>0</v>
      </c>
      <c r="M275" s="6"/>
    </row>
    <row r="276" spans="8:13" s="11" customFormat="1" x14ac:dyDescent="0.3">
      <c r="H276" s="2" t="s">
        <v>434</v>
      </c>
      <c r="I276" s="39"/>
      <c r="J276" s="18"/>
      <c r="L276" s="44">
        <f>Table1345678101112131415161718192021222324252627[[#This Row],[الدولار]]+(Table1345678101112131415161718192021222324252627[[#This Row],[اللبناني]]/90)</f>
        <v>0</v>
      </c>
      <c r="M276" s="6"/>
    </row>
    <row r="277" spans="8:13" s="11" customFormat="1" x14ac:dyDescent="0.3">
      <c r="H277" s="2" t="s">
        <v>434</v>
      </c>
      <c r="I277" s="39"/>
      <c r="J277" s="18"/>
      <c r="L277" s="44">
        <f>Table1345678101112131415161718192021222324252627[[#This Row],[الدولار]]+(Table1345678101112131415161718192021222324252627[[#This Row],[اللبناني]]/90)</f>
        <v>0</v>
      </c>
      <c r="M277" s="6"/>
    </row>
    <row r="278" spans="8:13" s="11" customFormat="1" x14ac:dyDescent="0.3">
      <c r="H278" s="2" t="s">
        <v>434</v>
      </c>
      <c r="I278" s="39"/>
      <c r="J278" s="18"/>
      <c r="L278" s="44">
        <f>Table1345678101112131415161718192021222324252627[[#This Row],[الدولار]]+(Table1345678101112131415161718192021222324252627[[#This Row],[اللبناني]]/90)</f>
        <v>0</v>
      </c>
      <c r="M278" s="6"/>
    </row>
    <row r="279" spans="8:13" s="11" customFormat="1" x14ac:dyDescent="0.3">
      <c r="H279" s="2" t="s">
        <v>434</v>
      </c>
      <c r="I279" s="39"/>
      <c r="J279" s="18"/>
      <c r="L279" s="44">
        <f>Table1345678101112131415161718192021222324252627[[#This Row],[الدولار]]+(Table1345678101112131415161718192021222324252627[[#This Row],[اللبناني]]/90)</f>
        <v>0</v>
      </c>
      <c r="M279" s="6"/>
    </row>
    <row r="280" spans="8:13" s="11" customFormat="1" x14ac:dyDescent="0.3">
      <c r="H280" s="2" t="s">
        <v>434</v>
      </c>
      <c r="I280" s="39"/>
      <c r="J280" s="18"/>
      <c r="L280" s="44">
        <f>Table1345678101112131415161718192021222324252627[[#This Row],[الدولار]]+(Table1345678101112131415161718192021222324252627[[#This Row],[اللبناني]]/90)</f>
        <v>0</v>
      </c>
      <c r="M280" s="6"/>
    </row>
    <row r="281" spans="8:13" s="11" customFormat="1" x14ac:dyDescent="0.3">
      <c r="H281" s="2" t="s">
        <v>434</v>
      </c>
      <c r="I281" s="39"/>
      <c r="J281" s="18"/>
      <c r="L281" s="44">
        <f>Table1345678101112131415161718192021222324252627[[#This Row],[الدولار]]+(Table1345678101112131415161718192021222324252627[[#This Row],[اللبناني]]/90)</f>
        <v>0</v>
      </c>
      <c r="M281" s="6"/>
    </row>
    <row r="282" spans="8:13" s="11" customFormat="1" x14ac:dyDescent="0.3">
      <c r="H282" s="2" t="s">
        <v>434</v>
      </c>
      <c r="I282" s="39"/>
      <c r="J282" s="18"/>
      <c r="L282" s="44">
        <f>Table1345678101112131415161718192021222324252627[[#This Row],[الدولار]]+(Table1345678101112131415161718192021222324252627[[#This Row],[اللبناني]]/90)</f>
        <v>0</v>
      </c>
      <c r="M282" s="6"/>
    </row>
    <row r="283" spans="8:13" s="11" customFormat="1" x14ac:dyDescent="0.3">
      <c r="H283" s="2" t="s">
        <v>434</v>
      </c>
      <c r="I283" s="39"/>
      <c r="J283" s="18"/>
      <c r="L283" s="44">
        <f>Table1345678101112131415161718192021222324252627[[#This Row],[الدولار]]+(Table1345678101112131415161718192021222324252627[[#This Row],[اللبناني]]/90)</f>
        <v>0</v>
      </c>
      <c r="M283" s="6"/>
    </row>
    <row r="284" spans="8:13" s="11" customFormat="1" x14ac:dyDescent="0.3">
      <c r="H284" s="2" t="s">
        <v>434</v>
      </c>
      <c r="I284" s="39"/>
      <c r="J284" s="18"/>
      <c r="L284" s="44">
        <f>Table1345678101112131415161718192021222324252627[[#This Row],[الدولار]]+(Table1345678101112131415161718192021222324252627[[#This Row],[اللبناني]]/90)</f>
        <v>0</v>
      </c>
      <c r="M284" s="6"/>
    </row>
    <row r="285" spans="8:13" s="11" customFormat="1" x14ac:dyDescent="0.3">
      <c r="H285" s="2" t="s">
        <v>434</v>
      </c>
      <c r="I285" s="39"/>
      <c r="J285" s="18"/>
      <c r="L285" s="44">
        <f>Table1345678101112131415161718192021222324252627[[#This Row],[الدولار]]+(Table1345678101112131415161718192021222324252627[[#This Row],[اللبناني]]/90)</f>
        <v>0</v>
      </c>
      <c r="M285" s="6"/>
    </row>
    <row r="286" spans="8:13" s="11" customFormat="1" x14ac:dyDescent="0.3">
      <c r="H286" s="2" t="s">
        <v>434</v>
      </c>
      <c r="I286" s="39"/>
      <c r="J286" s="18"/>
      <c r="L286" s="44">
        <f>Table1345678101112131415161718192021222324252627[[#This Row],[الدولار]]+(Table1345678101112131415161718192021222324252627[[#This Row],[اللبناني]]/90)</f>
        <v>0</v>
      </c>
      <c r="M286" s="6"/>
    </row>
    <row r="287" spans="8:13" s="11" customFormat="1" x14ac:dyDescent="0.3">
      <c r="H287" s="2" t="s">
        <v>434</v>
      </c>
      <c r="I287" s="39"/>
      <c r="J287" s="18"/>
      <c r="L287" s="44">
        <f>Table1345678101112131415161718192021222324252627[[#This Row],[الدولار]]+(Table1345678101112131415161718192021222324252627[[#This Row],[اللبناني]]/90)</f>
        <v>0</v>
      </c>
      <c r="M287" s="6"/>
    </row>
    <row r="288" spans="8:13" s="11" customFormat="1" x14ac:dyDescent="0.3">
      <c r="H288" s="2" t="s">
        <v>434</v>
      </c>
      <c r="I288" s="39"/>
      <c r="J288" s="18"/>
      <c r="L288" s="44">
        <f>Table1345678101112131415161718192021222324252627[[#This Row],[الدولار]]+(Table1345678101112131415161718192021222324252627[[#This Row],[اللبناني]]/90)</f>
        <v>0</v>
      </c>
      <c r="M288" s="6"/>
    </row>
    <row r="289" spans="8:13" s="11" customFormat="1" x14ac:dyDescent="0.3">
      <c r="H289" s="2" t="s">
        <v>434</v>
      </c>
      <c r="I289" s="39"/>
      <c r="J289" s="18"/>
      <c r="L289" s="44">
        <f>Table1345678101112131415161718192021222324252627[[#This Row],[الدولار]]+(Table1345678101112131415161718192021222324252627[[#This Row],[اللبناني]]/90)</f>
        <v>0</v>
      </c>
      <c r="M289" s="6"/>
    </row>
    <row r="290" spans="8:13" s="11" customFormat="1" x14ac:dyDescent="0.3">
      <c r="H290" s="2" t="s">
        <v>434</v>
      </c>
      <c r="I290" s="39"/>
      <c r="J290" s="18"/>
      <c r="L290" s="44">
        <f>Table1345678101112131415161718192021222324252627[[#This Row],[الدولار]]+(Table1345678101112131415161718192021222324252627[[#This Row],[اللبناني]]/90)</f>
        <v>0</v>
      </c>
      <c r="M290" s="6"/>
    </row>
    <row r="291" spans="8:13" s="11" customFormat="1" x14ac:dyDescent="0.3">
      <c r="H291" s="2" t="s">
        <v>434</v>
      </c>
      <c r="I291" s="39"/>
      <c r="J291" s="18"/>
      <c r="L291" s="44">
        <f>Table1345678101112131415161718192021222324252627[[#This Row],[الدولار]]+(Table1345678101112131415161718192021222324252627[[#This Row],[اللبناني]]/90)</f>
        <v>0</v>
      </c>
      <c r="M291" s="6"/>
    </row>
    <row r="292" spans="8:13" s="11" customFormat="1" x14ac:dyDescent="0.3">
      <c r="H292" s="2" t="s">
        <v>434</v>
      </c>
      <c r="I292" s="39"/>
      <c r="J292" s="18"/>
      <c r="L292" s="44">
        <f>Table1345678101112131415161718192021222324252627[[#This Row],[الدولار]]+(Table1345678101112131415161718192021222324252627[[#This Row],[اللبناني]]/90)</f>
        <v>0</v>
      </c>
      <c r="M292" s="6"/>
    </row>
    <row r="293" spans="8:13" s="11" customFormat="1" x14ac:dyDescent="0.3">
      <c r="H293" s="2" t="s">
        <v>434</v>
      </c>
      <c r="I293" s="39"/>
      <c r="J293" s="18"/>
      <c r="L293" s="44">
        <f>Table1345678101112131415161718192021222324252627[[#This Row],[الدولار]]+(Table1345678101112131415161718192021222324252627[[#This Row],[اللبناني]]/90)</f>
        <v>0</v>
      </c>
      <c r="M293" s="6"/>
    </row>
    <row r="294" spans="8:13" s="11" customFormat="1" x14ac:dyDescent="0.3">
      <c r="H294" s="2" t="s">
        <v>434</v>
      </c>
      <c r="I294" s="39"/>
      <c r="J294" s="18"/>
      <c r="L294" s="44">
        <f>Table1345678101112131415161718192021222324252627[[#This Row],[الدولار]]+(Table1345678101112131415161718192021222324252627[[#This Row],[اللبناني]]/90)</f>
        <v>0</v>
      </c>
      <c r="M294" s="6"/>
    </row>
    <row r="295" spans="8:13" s="11" customFormat="1" x14ac:dyDescent="0.3">
      <c r="H295" s="2" t="s">
        <v>434</v>
      </c>
      <c r="I295" s="39"/>
      <c r="J295" s="18"/>
      <c r="L295" s="44">
        <f>Table1345678101112131415161718192021222324252627[[#This Row],[الدولار]]+(Table1345678101112131415161718192021222324252627[[#This Row],[اللبناني]]/90)</f>
        <v>0</v>
      </c>
      <c r="M295" s="6"/>
    </row>
    <row r="296" spans="8:13" s="11" customFormat="1" x14ac:dyDescent="0.3">
      <c r="H296" s="2" t="s">
        <v>434</v>
      </c>
      <c r="I296" s="39"/>
      <c r="J296" s="18"/>
      <c r="L296" s="44">
        <f>Table1345678101112131415161718192021222324252627[[#This Row],[الدولار]]+(Table1345678101112131415161718192021222324252627[[#This Row],[اللبناني]]/90)</f>
        <v>0</v>
      </c>
      <c r="M296" s="6"/>
    </row>
    <row r="297" spans="8:13" s="11" customFormat="1" x14ac:dyDescent="0.3">
      <c r="H297" s="2" t="s">
        <v>434</v>
      </c>
      <c r="I297" s="39"/>
      <c r="J297" s="18"/>
      <c r="L297" s="44">
        <f>Table1345678101112131415161718192021222324252627[[#This Row],[الدولار]]+(Table1345678101112131415161718192021222324252627[[#This Row],[اللبناني]]/90)</f>
        <v>0</v>
      </c>
      <c r="M297" s="6"/>
    </row>
    <row r="298" spans="8:13" s="11" customFormat="1" x14ac:dyDescent="0.3">
      <c r="H298" s="2" t="s">
        <v>434</v>
      </c>
      <c r="I298" s="39"/>
      <c r="J298" s="18"/>
      <c r="L298" s="44">
        <f>Table1345678101112131415161718192021222324252627[[#This Row],[الدولار]]+(Table1345678101112131415161718192021222324252627[[#This Row],[اللبناني]]/90)</f>
        <v>0</v>
      </c>
      <c r="M298" s="6"/>
    </row>
    <row r="299" spans="8:13" s="11" customFormat="1" x14ac:dyDescent="0.3">
      <c r="H299" s="2" t="s">
        <v>434</v>
      </c>
      <c r="I299" s="39"/>
      <c r="J299" s="18"/>
      <c r="L299" s="44">
        <f>Table1345678101112131415161718192021222324252627[[#This Row],[الدولار]]+(Table1345678101112131415161718192021222324252627[[#This Row],[اللبناني]]/90)</f>
        <v>0</v>
      </c>
      <c r="M299" s="6"/>
    </row>
    <row r="300" spans="8:13" s="11" customFormat="1" x14ac:dyDescent="0.3">
      <c r="H300" s="2" t="s">
        <v>434</v>
      </c>
      <c r="I300" s="39"/>
      <c r="J300" s="18"/>
      <c r="L300" s="44">
        <f>Table1345678101112131415161718192021222324252627[[#This Row],[الدولار]]+(Table1345678101112131415161718192021222324252627[[#This Row],[اللبناني]]/90)</f>
        <v>0</v>
      </c>
      <c r="M300" s="6"/>
    </row>
    <row r="301" spans="8:13" s="11" customFormat="1" x14ac:dyDescent="0.3">
      <c r="H301" s="2" t="s">
        <v>434</v>
      </c>
      <c r="I301" s="39"/>
      <c r="J301" s="18"/>
      <c r="L301" s="44">
        <f>Table1345678101112131415161718192021222324252627[[#This Row],[الدولار]]+(Table1345678101112131415161718192021222324252627[[#This Row],[اللبناني]]/90)</f>
        <v>0</v>
      </c>
      <c r="M301" s="6"/>
    </row>
    <row r="302" spans="8:13" s="11" customFormat="1" x14ac:dyDescent="0.3">
      <c r="H302" s="2" t="s">
        <v>434</v>
      </c>
      <c r="I302" s="39"/>
      <c r="J302" s="18"/>
      <c r="L302" s="44">
        <f>Table1345678101112131415161718192021222324252627[[#This Row],[الدولار]]+(Table1345678101112131415161718192021222324252627[[#This Row],[اللبناني]]/90)</f>
        <v>0</v>
      </c>
      <c r="M302" s="6"/>
    </row>
    <row r="303" spans="8:13" s="11" customFormat="1" x14ac:dyDescent="0.3">
      <c r="H303" s="2" t="s">
        <v>434</v>
      </c>
      <c r="I303" s="39"/>
      <c r="J303" s="18"/>
      <c r="L303" s="44">
        <f>Table1345678101112131415161718192021222324252627[[#This Row],[الدولار]]+(Table1345678101112131415161718192021222324252627[[#This Row],[اللبناني]]/90)</f>
        <v>0</v>
      </c>
      <c r="M303" s="6"/>
    </row>
    <row r="304" spans="8:13" s="11" customFormat="1" x14ac:dyDescent="0.3">
      <c r="H304" s="2" t="s">
        <v>434</v>
      </c>
      <c r="I304" s="39"/>
      <c r="J304" s="18"/>
      <c r="L304" s="44">
        <f>Table1345678101112131415161718192021222324252627[[#This Row],[الدولار]]+(Table1345678101112131415161718192021222324252627[[#This Row],[اللبناني]]/90)</f>
        <v>0</v>
      </c>
      <c r="M304" s="6"/>
    </row>
    <row r="305" spans="8:13" s="11" customFormat="1" x14ac:dyDescent="0.3">
      <c r="H305" s="2" t="s">
        <v>434</v>
      </c>
      <c r="I305" s="39"/>
      <c r="J305" s="18"/>
      <c r="L305" s="44">
        <f>Table1345678101112131415161718192021222324252627[[#This Row],[الدولار]]+(Table1345678101112131415161718192021222324252627[[#This Row],[اللبناني]]/90)</f>
        <v>0</v>
      </c>
      <c r="M305" s="6"/>
    </row>
    <row r="306" spans="8:13" s="11" customFormat="1" x14ac:dyDescent="0.3">
      <c r="H306" s="2" t="s">
        <v>434</v>
      </c>
      <c r="I306" s="39"/>
      <c r="J306" s="18"/>
      <c r="L306" s="44">
        <f>Table1345678101112131415161718192021222324252627[[#This Row],[الدولار]]+(Table1345678101112131415161718192021222324252627[[#This Row],[اللبناني]]/90)</f>
        <v>0</v>
      </c>
      <c r="M306" s="6"/>
    </row>
    <row r="307" spans="8:13" s="11" customFormat="1" x14ac:dyDescent="0.3">
      <c r="H307" s="2" t="s">
        <v>434</v>
      </c>
      <c r="I307" s="39"/>
      <c r="J307" s="18"/>
      <c r="L307" s="44">
        <f>Table1345678101112131415161718192021222324252627[[#This Row],[الدولار]]+(Table1345678101112131415161718192021222324252627[[#This Row],[اللبناني]]/90)</f>
        <v>0</v>
      </c>
      <c r="M307" s="6"/>
    </row>
    <row r="308" spans="8:13" s="11" customFormat="1" x14ac:dyDescent="0.3">
      <c r="H308" s="2" t="s">
        <v>434</v>
      </c>
      <c r="I308" s="39"/>
      <c r="J308" s="18"/>
      <c r="L308" s="44">
        <f>Table1345678101112131415161718192021222324252627[[#This Row],[الدولار]]+(Table1345678101112131415161718192021222324252627[[#This Row],[اللبناني]]/90)</f>
        <v>0</v>
      </c>
      <c r="M308" s="6"/>
    </row>
    <row r="309" spans="8:13" s="11" customFormat="1" x14ac:dyDescent="0.3">
      <c r="H309" s="2" t="s">
        <v>434</v>
      </c>
      <c r="I309" s="39"/>
      <c r="J309" s="18"/>
      <c r="L309" s="44">
        <f>Table1345678101112131415161718192021222324252627[[#This Row],[الدولار]]+(Table1345678101112131415161718192021222324252627[[#This Row],[اللبناني]]/90)</f>
        <v>0</v>
      </c>
      <c r="M309" s="6"/>
    </row>
    <row r="310" spans="8:13" s="11" customFormat="1" x14ac:dyDescent="0.3">
      <c r="H310" s="2" t="s">
        <v>434</v>
      </c>
      <c r="I310" s="39"/>
      <c r="J310" s="18"/>
      <c r="L310" s="44">
        <f>Table1345678101112131415161718192021222324252627[[#This Row],[الدولار]]+(Table1345678101112131415161718192021222324252627[[#This Row],[اللبناني]]/90)</f>
        <v>0</v>
      </c>
      <c r="M310" s="6"/>
    </row>
    <row r="311" spans="8:13" s="11" customFormat="1" x14ac:dyDescent="0.3">
      <c r="H311" s="2" t="s">
        <v>434</v>
      </c>
      <c r="I311" s="39"/>
      <c r="J311" s="18"/>
      <c r="L311" s="44">
        <f>Table1345678101112131415161718192021222324252627[[#This Row],[الدولار]]+(Table1345678101112131415161718192021222324252627[[#This Row],[اللبناني]]/90)</f>
        <v>0</v>
      </c>
      <c r="M311" s="6"/>
    </row>
    <row r="312" spans="8:13" s="11" customFormat="1" x14ac:dyDescent="0.3">
      <c r="H312" s="2" t="s">
        <v>434</v>
      </c>
      <c r="I312" s="39"/>
      <c r="J312" s="18"/>
      <c r="L312" s="44">
        <f>Table1345678101112131415161718192021222324252627[[#This Row],[الدولار]]+(Table1345678101112131415161718192021222324252627[[#This Row],[اللبناني]]/90)</f>
        <v>0</v>
      </c>
      <c r="M312" s="6"/>
    </row>
    <row r="313" spans="8:13" s="11" customFormat="1" x14ac:dyDescent="0.3">
      <c r="H313" s="2" t="s">
        <v>434</v>
      </c>
      <c r="I313" s="39"/>
      <c r="J313" s="18"/>
      <c r="L313" s="44">
        <f>Table1345678101112131415161718192021222324252627[[#This Row],[الدولار]]+(Table1345678101112131415161718192021222324252627[[#This Row],[اللبناني]]/90)</f>
        <v>0</v>
      </c>
      <c r="M313" s="6"/>
    </row>
    <row r="314" spans="8:13" s="11" customFormat="1" x14ac:dyDescent="0.3">
      <c r="H314" s="2" t="s">
        <v>434</v>
      </c>
      <c r="I314" s="39"/>
      <c r="J314" s="18"/>
      <c r="L314" s="44">
        <f>Table1345678101112131415161718192021222324252627[[#This Row],[الدولار]]+(Table1345678101112131415161718192021222324252627[[#This Row],[اللبناني]]/90)</f>
        <v>0</v>
      </c>
      <c r="M314" s="6"/>
    </row>
    <row r="315" spans="8:13" s="11" customFormat="1" x14ac:dyDescent="0.3">
      <c r="H315" s="2" t="s">
        <v>434</v>
      </c>
      <c r="I315" s="39"/>
      <c r="J315" s="18"/>
      <c r="L315" s="44">
        <f>Table1345678101112131415161718192021222324252627[[#This Row],[الدولار]]+(Table1345678101112131415161718192021222324252627[[#This Row],[اللبناني]]/90)</f>
        <v>0</v>
      </c>
      <c r="M315" s="6"/>
    </row>
    <row r="316" spans="8:13" s="11" customFormat="1" x14ac:dyDescent="0.3">
      <c r="H316" s="2" t="s">
        <v>434</v>
      </c>
      <c r="I316" s="39"/>
      <c r="J316" s="18"/>
      <c r="L316" s="44">
        <f>Table1345678101112131415161718192021222324252627[[#This Row],[الدولار]]+(Table1345678101112131415161718192021222324252627[[#This Row],[اللبناني]]/90)</f>
        <v>0</v>
      </c>
      <c r="M316" s="6"/>
    </row>
    <row r="317" spans="8:13" s="11" customFormat="1" x14ac:dyDescent="0.3">
      <c r="H317" s="2" t="s">
        <v>434</v>
      </c>
      <c r="I317" s="39"/>
      <c r="J317" s="18"/>
      <c r="L317" s="44">
        <f>Table1345678101112131415161718192021222324252627[[#This Row],[الدولار]]+(Table1345678101112131415161718192021222324252627[[#This Row],[اللبناني]]/90)</f>
        <v>0</v>
      </c>
      <c r="M317" s="6"/>
    </row>
    <row r="318" spans="8:13" s="11" customFormat="1" x14ac:dyDescent="0.3">
      <c r="H318" s="2" t="s">
        <v>434</v>
      </c>
      <c r="I318" s="39"/>
      <c r="J318" s="18"/>
      <c r="L318" s="44">
        <f>Table1345678101112131415161718192021222324252627[[#This Row],[الدولار]]+(Table1345678101112131415161718192021222324252627[[#This Row],[اللبناني]]/90)</f>
        <v>0</v>
      </c>
      <c r="M318" s="6"/>
    </row>
    <row r="319" spans="8:13" s="11" customFormat="1" x14ac:dyDescent="0.3">
      <c r="H319" s="2" t="s">
        <v>434</v>
      </c>
      <c r="I319" s="39"/>
      <c r="J319" s="18"/>
      <c r="L319" s="44">
        <f>Table1345678101112131415161718192021222324252627[[#This Row],[الدولار]]+(Table1345678101112131415161718192021222324252627[[#This Row],[اللبناني]]/90)</f>
        <v>0</v>
      </c>
      <c r="M319" s="6"/>
    </row>
    <row r="320" spans="8:13" s="11" customFormat="1" x14ac:dyDescent="0.3">
      <c r="H320" s="2" t="s">
        <v>434</v>
      </c>
      <c r="I320" s="39"/>
      <c r="J320" s="18"/>
      <c r="L320" s="44">
        <f>Table1345678101112131415161718192021222324252627[[#This Row],[الدولار]]+(Table1345678101112131415161718192021222324252627[[#This Row],[اللبناني]]/90)</f>
        <v>0</v>
      </c>
      <c r="M320" s="6"/>
    </row>
    <row r="321" spans="8:13" s="11" customFormat="1" x14ac:dyDescent="0.3">
      <c r="H321" s="2" t="s">
        <v>434</v>
      </c>
      <c r="I321" s="39"/>
      <c r="J321" s="18"/>
      <c r="L321" s="44">
        <f>Table1345678101112131415161718192021222324252627[[#This Row],[الدولار]]+(Table1345678101112131415161718192021222324252627[[#This Row],[اللبناني]]/90)</f>
        <v>0</v>
      </c>
      <c r="M321" s="6"/>
    </row>
    <row r="322" spans="8:13" s="11" customFormat="1" x14ac:dyDescent="0.3">
      <c r="H322" s="2" t="s">
        <v>434</v>
      </c>
      <c r="I322" s="39"/>
      <c r="J322" s="18"/>
      <c r="L322" s="44">
        <f>Table1345678101112131415161718192021222324252627[[#This Row],[الدولار]]+(Table1345678101112131415161718192021222324252627[[#This Row],[اللبناني]]/90)</f>
        <v>0</v>
      </c>
      <c r="M322" s="6"/>
    </row>
    <row r="323" spans="8:13" s="11" customFormat="1" x14ac:dyDescent="0.3">
      <c r="H323" s="2" t="s">
        <v>434</v>
      </c>
      <c r="I323" s="39"/>
      <c r="J323" s="18"/>
      <c r="L323" s="44">
        <f>Table1345678101112131415161718192021222324252627[[#This Row],[الدولار]]+(Table1345678101112131415161718192021222324252627[[#This Row],[اللبناني]]/90)</f>
        <v>0</v>
      </c>
      <c r="M323" s="6"/>
    </row>
    <row r="324" spans="8:13" s="11" customFormat="1" x14ac:dyDescent="0.3">
      <c r="H324" s="2" t="s">
        <v>434</v>
      </c>
      <c r="I324" s="39"/>
      <c r="J324" s="18"/>
      <c r="L324" s="44">
        <f>Table1345678101112131415161718192021222324252627[[#This Row],[الدولار]]+(Table1345678101112131415161718192021222324252627[[#This Row],[اللبناني]]/90)</f>
        <v>0</v>
      </c>
      <c r="M324" s="6"/>
    </row>
    <row r="325" spans="8:13" s="11" customFormat="1" x14ac:dyDescent="0.3">
      <c r="H325" s="2" t="s">
        <v>434</v>
      </c>
      <c r="I325" s="39"/>
      <c r="J325" s="18"/>
      <c r="L325" s="44">
        <f>Table1345678101112131415161718192021222324252627[[#This Row],[الدولار]]+(Table1345678101112131415161718192021222324252627[[#This Row],[اللبناني]]/90)</f>
        <v>0</v>
      </c>
      <c r="M325" s="6"/>
    </row>
    <row r="326" spans="8:13" s="11" customFormat="1" x14ac:dyDescent="0.3">
      <c r="H326" s="2" t="s">
        <v>434</v>
      </c>
      <c r="I326" s="39"/>
      <c r="J326" s="18"/>
      <c r="L326" s="44">
        <f>Table1345678101112131415161718192021222324252627[[#This Row],[الدولار]]+(Table1345678101112131415161718192021222324252627[[#This Row],[اللبناني]]/90)</f>
        <v>0</v>
      </c>
      <c r="M326" s="6"/>
    </row>
    <row r="327" spans="8:13" s="11" customFormat="1" x14ac:dyDescent="0.3">
      <c r="H327" s="2" t="s">
        <v>434</v>
      </c>
      <c r="I327" s="39"/>
      <c r="J327" s="18"/>
      <c r="L327" s="44">
        <f>Table1345678101112131415161718192021222324252627[[#This Row],[الدولار]]+(Table1345678101112131415161718192021222324252627[[#This Row],[اللبناني]]/90)</f>
        <v>0</v>
      </c>
      <c r="M327" s="6"/>
    </row>
    <row r="328" spans="8:13" s="11" customFormat="1" x14ac:dyDescent="0.3">
      <c r="H328" s="2" t="s">
        <v>434</v>
      </c>
      <c r="I328" s="39"/>
      <c r="J328" s="18"/>
      <c r="L328" s="44">
        <f>Table1345678101112131415161718192021222324252627[[#This Row],[الدولار]]+(Table1345678101112131415161718192021222324252627[[#This Row],[اللبناني]]/90)</f>
        <v>0</v>
      </c>
      <c r="M328" s="6"/>
    </row>
    <row r="329" spans="8:13" s="11" customFormat="1" x14ac:dyDescent="0.3">
      <c r="H329" s="2" t="s">
        <v>434</v>
      </c>
      <c r="I329" s="39"/>
      <c r="J329" s="18"/>
      <c r="L329" s="44">
        <f>Table1345678101112131415161718192021222324252627[[#This Row],[الدولار]]+(Table1345678101112131415161718192021222324252627[[#This Row],[اللبناني]]/90)</f>
        <v>0</v>
      </c>
      <c r="M329" s="6"/>
    </row>
    <row r="330" spans="8:13" s="11" customFormat="1" x14ac:dyDescent="0.3">
      <c r="H330" s="2" t="s">
        <v>434</v>
      </c>
      <c r="I330" s="39"/>
      <c r="J330" s="18"/>
      <c r="L330" s="44">
        <f>Table1345678101112131415161718192021222324252627[[#This Row],[الدولار]]+(Table1345678101112131415161718192021222324252627[[#This Row],[اللبناني]]/90)</f>
        <v>0</v>
      </c>
      <c r="M330" s="6"/>
    </row>
    <row r="331" spans="8:13" s="11" customFormat="1" x14ac:dyDescent="0.3">
      <c r="H331" s="2" t="s">
        <v>434</v>
      </c>
      <c r="I331" s="39"/>
      <c r="J331" s="18"/>
      <c r="L331" s="44">
        <f>Table1345678101112131415161718192021222324252627[[#This Row],[الدولار]]+(Table1345678101112131415161718192021222324252627[[#This Row],[اللبناني]]/90)</f>
        <v>0</v>
      </c>
      <c r="M331" s="6"/>
    </row>
    <row r="332" spans="8:13" s="11" customFormat="1" x14ac:dyDescent="0.3">
      <c r="H332" s="2" t="s">
        <v>434</v>
      </c>
      <c r="I332" s="39"/>
      <c r="J332" s="18"/>
      <c r="L332" s="44">
        <f>Table1345678101112131415161718192021222324252627[[#This Row],[الدولار]]+(Table1345678101112131415161718192021222324252627[[#This Row],[اللبناني]]/90)</f>
        <v>0</v>
      </c>
      <c r="M332" s="6"/>
    </row>
    <row r="333" spans="8:13" s="11" customFormat="1" x14ac:dyDescent="0.3">
      <c r="H333" s="2" t="s">
        <v>434</v>
      </c>
      <c r="I333" s="39"/>
      <c r="J333" s="18"/>
      <c r="L333" s="44">
        <f>Table1345678101112131415161718192021222324252627[[#This Row],[الدولار]]+(Table1345678101112131415161718192021222324252627[[#This Row],[اللبناني]]/90)</f>
        <v>0</v>
      </c>
      <c r="M333" s="6"/>
    </row>
    <row r="334" spans="8:13" s="11" customFormat="1" x14ac:dyDescent="0.3">
      <c r="H334" s="2" t="s">
        <v>434</v>
      </c>
      <c r="I334" s="39"/>
      <c r="J334" s="18"/>
      <c r="L334" s="44">
        <f>Table1345678101112131415161718192021222324252627[[#This Row],[الدولار]]+(Table1345678101112131415161718192021222324252627[[#This Row],[اللبناني]]/90)</f>
        <v>0</v>
      </c>
      <c r="M334" s="6"/>
    </row>
    <row r="335" spans="8:13" s="11" customFormat="1" x14ac:dyDescent="0.3">
      <c r="H335" s="2" t="s">
        <v>434</v>
      </c>
      <c r="I335" s="39"/>
      <c r="J335" s="18"/>
      <c r="L335" s="44">
        <f>Table1345678101112131415161718192021222324252627[[#This Row],[الدولار]]+(Table1345678101112131415161718192021222324252627[[#This Row],[اللبناني]]/90)</f>
        <v>0</v>
      </c>
      <c r="M335" s="6"/>
    </row>
    <row r="336" spans="8:13" s="11" customFormat="1" x14ac:dyDescent="0.3">
      <c r="H336" s="2" t="s">
        <v>434</v>
      </c>
      <c r="I336" s="39"/>
      <c r="J336" s="18"/>
      <c r="L336" s="44">
        <f>Table1345678101112131415161718192021222324252627[[#This Row],[الدولار]]+(Table1345678101112131415161718192021222324252627[[#This Row],[اللبناني]]/90)</f>
        <v>0</v>
      </c>
      <c r="M336" s="6"/>
    </row>
    <row r="337" spans="8:13" s="11" customFormat="1" x14ac:dyDescent="0.3">
      <c r="H337" s="2" t="s">
        <v>434</v>
      </c>
      <c r="I337" s="39"/>
      <c r="J337" s="18"/>
      <c r="L337" s="44">
        <f>Table1345678101112131415161718192021222324252627[[#This Row],[الدولار]]+(Table1345678101112131415161718192021222324252627[[#This Row],[اللبناني]]/90)</f>
        <v>0</v>
      </c>
      <c r="M337" s="6"/>
    </row>
    <row r="338" spans="8:13" s="11" customFormat="1" x14ac:dyDescent="0.3">
      <c r="H338" s="2" t="s">
        <v>434</v>
      </c>
      <c r="I338" s="39"/>
      <c r="J338" s="18"/>
      <c r="L338" s="44">
        <f>Table1345678101112131415161718192021222324252627[[#This Row],[الدولار]]+(Table1345678101112131415161718192021222324252627[[#This Row],[اللبناني]]/90)</f>
        <v>0</v>
      </c>
      <c r="M338" s="6"/>
    </row>
    <row r="339" spans="8:13" s="11" customFormat="1" x14ac:dyDescent="0.3">
      <c r="H339" s="2" t="s">
        <v>434</v>
      </c>
      <c r="I339" s="39"/>
      <c r="J339" s="18"/>
      <c r="L339" s="44">
        <f>Table1345678101112131415161718192021222324252627[[#This Row],[الدولار]]+(Table1345678101112131415161718192021222324252627[[#This Row],[اللبناني]]/90)</f>
        <v>0</v>
      </c>
      <c r="M339" s="6"/>
    </row>
    <row r="340" spans="8:13" s="11" customFormat="1" x14ac:dyDescent="0.3">
      <c r="H340" s="2" t="s">
        <v>434</v>
      </c>
      <c r="I340" s="39"/>
      <c r="J340" s="18"/>
      <c r="L340" s="44">
        <f>Table1345678101112131415161718192021222324252627[[#This Row],[الدولار]]+(Table1345678101112131415161718192021222324252627[[#This Row],[اللبناني]]/90)</f>
        <v>0</v>
      </c>
      <c r="M340" s="6"/>
    </row>
    <row r="341" spans="8:13" s="11" customFormat="1" x14ac:dyDescent="0.3">
      <c r="H341" s="2" t="s">
        <v>434</v>
      </c>
      <c r="I341" s="39"/>
      <c r="J341" s="18"/>
      <c r="L341" s="44">
        <f>Table1345678101112131415161718192021222324252627[[#This Row],[الدولار]]+(Table1345678101112131415161718192021222324252627[[#This Row],[اللبناني]]/90)</f>
        <v>0</v>
      </c>
      <c r="M341" s="6"/>
    </row>
    <row r="342" spans="8:13" s="11" customFormat="1" x14ac:dyDescent="0.3">
      <c r="H342" s="2" t="s">
        <v>434</v>
      </c>
      <c r="I342" s="39"/>
      <c r="J342" s="18"/>
      <c r="L342" s="44">
        <f>Table1345678101112131415161718192021222324252627[[#This Row],[الدولار]]+(Table1345678101112131415161718192021222324252627[[#This Row],[اللبناني]]/90)</f>
        <v>0</v>
      </c>
      <c r="M342" s="6"/>
    </row>
    <row r="343" spans="8:13" s="11" customFormat="1" x14ac:dyDescent="0.3">
      <c r="H343" s="2" t="s">
        <v>434</v>
      </c>
      <c r="I343" s="39"/>
      <c r="J343" s="18"/>
      <c r="L343" s="44">
        <f>Table1345678101112131415161718192021222324252627[[#This Row],[الدولار]]+(Table1345678101112131415161718192021222324252627[[#This Row],[اللبناني]]/90)</f>
        <v>0</v>
      </c>
      <c r="M343" s="6"/>
    </row>
    <row r="344" spans="8:13" s="11" customFormat="1" x14ac:dyDescent="0.3">
      <c r="H344" s="2" t="s">
        <v>434</v>
      </c>
      <c r="I344" s="39"/>
      <c r="J344" s="18"/>
      <c r="L344" s="44">
        <f>Table1345678101112131415161718192021222324252627[[#This Row],[الدولار]]+(Table1345678101112131415161718192021222324252627[[#This Row],[اللبناني]]/90)</f>
        <v>0</v>
      </c>
      <c r="M344" s="6"/>
    </row>
    <row r="345" spans="8:13" s="11" customFormat="1" x14ac:dyDescent="0.3">
      <c r="H345" s="2" t="s">
        <v>434</v>
      </c>
      <c r="I345" s="39"/>
      <c r="J345" s="18"/>
      <c r="L345" s="44">
        <f>Table1345678101112131415161718192021222324252627[[#This Row],[الدولار]]+(Table1345678101112131415161718192021222324252627[[#This Row],[اللبناني]]/90)</f>
        <v>0</v>
      </c>
      <c r="M345" s="6"/>
    </row>
    <row r="346" spans="8:13" s="11" customFormat="1" x14ac:dyDescent="0.3">
      <c r="H346" s="2" t="s">
        <v>434</v>
      </c>
      <c r="I346" s="39"/>
      <c r="J346" s="18"/>
      <c r="L346" s="44">
        <f>Table1345678101112131415161718192021222324252627[[#This Row],[الدولار]]+(Table1345678101112131415161718192021222324252627[[#This Row],[اللبناني]]/90)</f>
        <v>0</v>
      </c>
      <c r="M346" s="6"/>
    </row>
    <row r="347" spans="8:13" s="11" customFormat="1" x14ac:dyDescent="0.3">
      <c r="H347" s="2" t="s">
        <v>434</v>
      </c>
      <c r="I347" s="39"/>
      <c r="J347" s="18"/>
      <c r="L347" s="44">
        <f>Table1345678101112131415161718192021222324252627[[#This Row],[الدولار]]+(Table1345678101112131415161718192021222324252627[[#This Row],[اللبناني]]/90)</f>
        <v>0</v>
      </c>
      <c r="M347" s="6"/>
    </row>
    <row r="348" spans="8:13" s="11" customFormat="1" x14ac:dyDescent="0.3">
      <c r="H348" s="2" t="s">
        <v>434</v>
      </c>
      <c r="I348" s="39"/>
      <c r="J348" s="18"/>
      <c r="L348" s="44">
        <f>Table1345678101112131415161718192021222324252627[[#This Row],[الدولار]]+(Table1345678101112131415161718192021222324252627[[#This Row],[اللبناني]]/90)</f>
        <v>0</v>
      </c>
      <c r="M348" s="6"/>
    </row>
    <row r="349" spans="8:13" s="11" customFormat="1" x14ac:dyDescent="0.3">
      <c r="H349" s="2" t="s">
        <v>434</v>
      </c>
      <c r="I349" s="39"/>
      <c r="J349" s="18"/>
      <c r="L349" s="44">
        <f>Table1345678101112131415161718192021222324252627[[#This Row],[الدولار]]+(Table1345678101112131415161718192021222324252627[[#This Row],[اللبناني]]/90)</f>
        <v>0</v>
      </c>
      <c r="M349" s="6"/>
    </row>
    <row r="350" spans="8:13" s="11" customFormat="1" x14ac:dyDescent="0.3">
      <c r="H350" s="2" t="s">
        <v>434</v>
      </c>
      <c r="I350" s="39"/>
      <c r="J350" s="18"/>
      <c r="L350" s="44">
        <f>Table1345678101112131415161718192021222324252627[[#This Row],[الدولار]]+(Table1345678101112131415161718192021222324252627[[#This Row],[اللبناني]]/90)</f>
        <v>0</v>
      </c>
      <c r="M350" s="6"/>
    </row>
    <row r="351" spans="8:13" s="11" customFormat="1" x14ac:dyDescent="0.3">
      <c r="H351" s="2" t="s">
        <v>434</v>
      </c>
      <c r="I351" s="39"/>
      <c r="J351" s="18"/>
      <c r="L351" s="44">
        <f>Table1345678101112131415161718192021222324252627[[#This Row],[الدولار]]+(Table1345678101112131415161718192021222324252627[[#This Row],[اللبناني]]/90)</f>
        <v>0</v>
      </c>
      <c r="M351" s="6"/>
    </row>
    <row r="352" spans="8:13" s="11" customFormat="1" x14ac:dyDescent="0.3">
      <c r="H352" s="2" t="s">
        <v>434</v>
      </c>
      <c r="I352" s="39"/>
      <c r="J352" s="18"/>
      <c r="L352" s="44">
        <f>Table1345678101112131415161718192021222324252627[[#This Row],[الدولار]]+(Table1345678101112131415161718192021222324252627[[#This Row],[اللبناني]]/90)</f>
        <v>0</v>
      </c>
      <c r="M352" s="6"/>
    </row>
    <row r="353" spans="8:13" s="11" customFormat="1" x14ac:dyDescent="0.3">
      <c r="H353" s="2" t="s">
        <v>434</v>
      </c>
      <c r="I353" s="39"/>
      <c r="J353" s="18"/>
      <c r="L353" s="44">
        <f>Table1345678101112131415161718192021222324252627[[#This Row],[الدولار]]+(Table1345678101112131415161718192021222324252627[[#This Row],[اللبناني]]/90)</f>
        <v>0</v>
      </c>
      <c r="M353" s="6"/>
    </row>
    <row r="354" spans="8:13" s="11" customFormat="1" x14ac:dyDescent="0.3">
      <c r="H354" s="2" t="s">
        <v>434</v>
      </c>
      <c r="I354" s="39"/>
      <c r="J354" s="18"/>
      <c r="L354" s="44">
        <f>Table1345678101112131415161718192021222324252627[[#This Row],[الدولار]]+(Table1345678101112131415161718192021222324252627[[#This Row],[اللبناني]]/90)</f>
        <v>0</v>
      </c>
      <c r="M354" s="6"/>
    </row>
  </sheetData>
  <mergeCells count="6">
    <mergeCell ref="A13:F13"/>
    <mergeCell ref="N13:S13"/>
    <mergeCell ref="Q22:R22"/>
    <mergeCell ref="N23:O23"/>
    <mergeCell ref="D22:E22"/>
    <mergeCell ref="A23:B23"/>
  </mergeCells>
  <pageMargins left="0.25" right="0.25" top="0.75" bottom="0.75" header="0.3" footer="0.3"/>
  <pageSetup paperSize="9" scale="65" fitToHeight="0" orientation="portrait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118B-C2E9-4A81-9B0B-88E3AF9351C7}">
  <sheetPr>
    <pageSetUpPr fitToPage="1"/>
  </sheetPr>
  <dimension ref="A1:S354"/>
  <sheetViews>
    <sheetView rightToLeft="1" topLeftCell="A7" zoomScale="115" zoomScaleNormal="115" workbookViewId="0">
      <selection activeCell="E15" sqref="E15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8.44140625" style="2" bestFit="1" customWidth="1"/>
    <col min="4" max="4" width="10.44140625" style="2" customWidth="1"/>
    <col min="5" max="5" width="7" style="2" customWidth="1"/>
    <col min="6" max="6" width="10.88671875" style="2" bestFit="1" customWidth="1"/>
    <col min="7" max="7" width="2.44140625" style="2" customWidth="1"/>
    <col min="8" max="8" width="8.88671875" style="2" bestFit="1" customWidth="1"/>
    <col min="9" max="9" width="14.109375" style="39" bestFit="1" customWidth="1"/>
    <col min="10" max="10" width="12.109375" style="7" bestFit="1" customWidth="1"/>
    <col min="11" max="11" width="8.5546875" style="11" bestFit="1" customWidth="1"/>
    <col min="12" max="12" width="9" style="6" bestFit="1" customWidth="1"/>
    <col min="13" max="13" width="2.5546875" style="6" customWidth="1"/>
    <col min="14" max="14" width="9.44140625" style="2" bestFit="1" customWidth="1"/>
    <col min="15" max="15" width="5.109375" style="2" bestFit="1" customWidth="1"/>
    <col min="16" max="16" width="8.5546875" style="2" bestFit="1" customWidth="1"/>
    <col min="17" max="17" width="9.109375" style="2" bestFit="1" customWidth="1"/>
    <col min="18" max="18" width="5.109375" style="2" bestFit="1" customWidth="1"/>
    <col min="19" max="19" width="11.109375" style="2" bestFit="1" customWidth="1"/>
    <col min="20" max="16384" width="8.88671875" style="2"/>
  </cols>
  <sheetData>
    <row r="1" spans="1:19" x14ac:dyDescent="0.3">
      <c r="I1" s="39" t="s">
        <v>38</v>
      </c>
      <c r="J1" s="7">
        <f>SUM(J3:J11)</f>
        <v>0</v>
      </c>
      <c r="K1" s="7">
        <f>SUM(K3:K11)</f>
        <v>0</v>
      </c>
      <c r="L1" s="7">
        <f>SUM(L3:L11)</f>
        <v>0</v>
      </c>
    </row>
    <row r="2" spans="1:19" x14ac:dyDescent="0.3">
      <c r="H2" s="2" t="s">
        <v>426</v>
      </c>
      <c r="I2" s="40" t="s">
        <v>6</v>
      </c>
      <c r="J2" s="3" t="s">
        <v>5</v>
      </c>
      <c r="K2" s="12" t="s">
        <v>4</v>
      </c>
      <c r="L2" s="12" t="s">
        <v>415</v>
      </c>
    </row>
    <row r="3" spans="1:19" x14ac:dyDescent="0.3">
      <c r="H3" s="5" t="s">
        <v>434</v>
      </c>
      <c r="I3" s="41"/>
      <c r="J3" s="20"/>
      <c r="L3" s="44">
        <f t="shared" ref="L3:L11" si="0">K3+(J3/90)</f>
        <v>0</v>
      </c>
    </row>
    <row r="4" spans="1:19" x14ac:dyDescent="0.3">
      <c r="H4" s="5" t="s">
        <v>434</v>
      </c>
      <c r="I4" s="41"/>
      <c r="J4" s="20"/>
      <c r="L4" s="44">
        <f t="shared" si="0"/>
        <v>0</v>
      </c>
    </row>
    <row r="5" spans="1:19" x14ac:dyDescent="0.3">
      <c r="H5" s="5" t="s">
        <v>434</v>
      </c>
      <c r="I5" s="41"/>
      <c r="J5" s="20"/>
      <c r="L5" s="44">
        <f t="shared" si="0"/>
        <v>0</v>
      </c>
    </row>
    <row r="6" spans="1:19" x14ac:dyDescent="0.3">
      <c r="H6" s="5" t="s">
        <v>434</v>
      </c>
      <c r="I6" s="41"/>
      <c r="J6" s="20"/>
      <c r="L6" s="44">
        <f t="shared" si="0"/>
        <v>0</v>
      </c>
    </row>
    <row r="7" spans="1:19" x14ac:dyDescent="0.3">
      <c r="H7" s="5" t="s">
        <v>434</v>
      </c>
      <c r="I7" s="42"/>
      <c r="J7" s="20"/>
      <c r="L7" s="44">
        <f t="shared" si="0"/>
        <v>0</v>
      </c>
    </row>
    <row r="8" spans="1:19" x14ac:dyDescent="0.3">
      <c r="H8" s="5" t="s">
        <v>434</v>
      </c>
      <c r="I8" s="41"/>
      <c r="J8" s="20"/>
      <c r="L8" s="44">
        <f t="shared" si="0"/>
        <v>0</v>
      </c>
    </row>
    <row r="9" spans="1:19" x14ac:dyDescent="0.3">
      <c r="H9" s="2" t="s">
        <v>434</v>
      </c>
      <c r="I9" s="41"/>
      <c r="J9" s="20"/>
      <c r="L9" s="44">
        <f t="shared" si="0"/>
        <v>0</v>
      </c>
    </row>
    <row r="10" spans="1:19" x14ac:dyDescent="0.3">
      <c r="H10" s="2" t="s">
        <v>434</v>
      </c>
      <c r="I10" s="41"/>
      <c r="J10" s="20"/>
      <c r="L10" s="44">
        <f t="shared" si="0"/>
        <v>0</v>
      </c>
    </row>
    <row r="11" spans="1:19" x14ac:dyDescent="0.3">
      <c r="I11" s="41"/>
      <c r="J11" s="20"/>
      <c r="L11" s="44">
        <f t="shared" si="0"/>
        <v>0</v>
      </c>
    </row>
    <row r="12" spans="1:19" x14ac:dyDescent="0.3">
      <c r="A12" s="49" t="s">
        <v>515</v>
      </c>
    </row>
    <row r="13" spans="1:19" x14ac:dyDescent="0.3">
      <c r="A13" s="65" t="s">
        <v>29</v>
      </c>
      <c r="B13" s="65"/>
      <c r="C13" s="65"/>
      <c r="D13" s="65"/>
      <c r="E13" s="65"/>
      <c r="F13" s="65"/>
      <c r="I13" s="39" t="s">
        <v>38</v>
      </c>
      <c r="J13" s="7">
        <f>SUM(Table134567810111213141516171819202122232425262729[اللبناني])</f>
        <v>0</v>
      </c>
      <c r="K13" s="7">
        <f>SUM(Table134567810111213141516171819202122232425262729[الدولار])</f>
        <v>0</v>
      </c>
      <c r="L13" s="7">
        <f>SUM(Table134567810111213141516171819202122232425262729[مبيع $])</f>
        <v>0</v>
      </c>
      <c r="N13" s="65" t="s">
        <v>33</v>
      </c>
      <c r="O13" s="65"/>
      <c r="P13" s="65"/>
      <c r="Q13" s="65"/>
      <c r="R13" s="65"/>
      <c r="S13" s="65"/>
    </row>
    <row r="14" spans="1:19" x14ac:dyDescent="0.3">
      <c r="A14" s="1" t="s">
        <v>2</v>
      </c>
      <c r="B14" s="1" t="s">
        <v>0</v>
      </c>
      <c r="C14" s="1" t="s">
        <v>1</v>
      </c>
      <c r="D14" s="1" t="s">
        <v>3</v>
      </c>
      <c r="E14" s="1" t="s">
        <v>0</v>
      </c>
      <c r="F14" s="1" t="s">
        <v>1</v>
      </c>
      <c r="H14" s="2" t="s">
        <v>426</v>
      </c>
      <c r="I14" s="40" t="s">
        <v>6</v>
      </c>
      <c r="J14" s="3" t="s">
        <v>5</v>
      </c>
      <c r="K14" s="12" t="s">
        <v>4</v>
      </c>
      <c r="L14" s="12" t="s">
        <v>415</v>
      </c>
      <c r="M14" s="2"/>
      <c r="N14" s="1" t="s">
        <v>2</v>
      </c>
      <c r="O14" s="1" t="s">
        <v>0</v>
      </c>
      <c r="P14" s="1" t="s">
        <v>1</v>
      </c>
      <c r="Q14" s="1" t="s">
        <v>3</v>
      </c>
      <c r="R14" s="1" t="s">
        <v>0</v>
      </c>
      <c r="S14" s="1" t="s">
        <v>1</v>
      </c>
    </row>
    <row r="15" spans="1:19" x14ac:dyDescent="0.3">
      <c r="A15" s="15">
        <v>1</v>
      </c>
      <c r="C15" s="21">
        <f>A15*B15</f>
        <v>0</v>
      </c>
      <c r="D15" s="17">
        <v>5</v>
      </c>
      <c r="F15" s="23">
        <f>D15*E15</f>
        <v>0</v>
      </c>
      <c r="G15" s="5"/>
      <c r="H15" s="5" t="s">
        <v>434</v>
      </c>
      <c r="I15" s="41" t="s">
        <v>438</v>
      </c>
      <c r="J15" s="20"/>
      <c r="K15" s="11">
        <v>2000</v>
      </c>
      <c r="L15" s="44">
        <f>Table134567810111213141516171819202122232425262729[[#This Row],[الدولار]]+(Table134567810111213141516171819202122232425262729[[#This Row],[اللبناني]]/90)</f>
        <v>2000</v>
      </c>
      <c r="N15" s="15">
        <v>1</v>
      </c>
      <c r="P15" s="21">
        <f>N15*O15</f>
        <v>0</v>
      </c>
      <c r="Q15" s="17">
        <v>5</v>
      </c>
      <c r="S15" s="23">
        <f>Q15*R15</f>
        <v>0</v>
      </c>
    </row>
    <row r="16" spans="1:19" x14ac:dyDescent="0.3">
      <c r="A16" s="15">
        <v>5</v>
      </c>
      <c r="C16" s="21">
        <f t="shared" ref="C16:C20" si="1">A16*B16</f>
        <v>0</v>
      </c>
      <c r="D16" s="17">
        <v>10</v>
      </c>
      <c r="F16" s="23">
        <f t="shared" ref="F16:F19" si="2">D16*E16</f>
        <v>0</v>
      </c>
      <c r="G16" s="5"/>
      <c r="H16" s="5" t="s">
        <v>436</v>
      </c>
      <c r="I16" s="41" t="s">
        <v>438</v>
      </c>
      <c r="J16" s="20"/>
      <c r="K16" s="11">
        <v>-2000</v>
      </c>
      <c r="L16" s="44">
        <f>Table134567810111213141516171819202122232425262729[[#This Row],[الدولار]]+(Table134567810111213141516171819202122232425262729[[#This Row],[اللبناني]]/90)</f>
        <v>-2000</v>
      </c>
      <c r="N16" s="15">
        <v>5</v>
      </c>
      <c r="P16" s="21">
        <f t="shared" ref="P16:P20" si="3">N16*O16</f>
        <v>0</v>
      </c>
      <c r="Q16" s="17">
        <v>10</v>
      </c>
      <c r="S16" s="23">
        <f t="shared" ref="S16:S19" si="4">Q16*R16</f>
        <v>0</v>
      </c>
    </row>
    <row r="17" spans="1:19" x14ac:dyDescent="0.3">
      <c r="A17" s="15">
        <v>10</v>
      </c>
      <c r="C17" s="21">
        <f t="shared" si="1"/>
        <v>0</v>
      </c>
      <c r="D17" s="17">
        <v>20</v>
      </c>
      <c r="F17" s="23">
        <f t="shared" si="2"/>
        <v>0</v>
      </c>
      <c r="G17" s="5"/>
      <c r="H17" s="5" t="s">
        <v>434</v>
      </c>
      <c r="I17" s="41"/>
      <c r="J17" s="20"/>
      <c r="L17" s="44">
        <f>Table134567810111213141516171819202122232425262729[[#This Row],[الدولار]]+(Table134567810111213141516171819202122232425262729[[#This Row],[اللبناني]]/90)</f>
        <v>0</v>
      </c>
      <c r="N17" s="15">
        <v>10</v>
      </c>
      <c r="P17" s="21">
        <f t="shared" si="3"/>
        <v>0</v>
      </c>
      <c r="Q17" s="17">
        <v>20</v>
      </c>
      <c r="S17" s="23">
        <f t="shared" si="4"/>
        <v>0</v>
      </c>
    </row>
    <row r="18" spans="1:19" x14ac:dyDescent="0.3">
      <c r="A18" s="15">
        <v>20</v>
      </c>
      <c r="C18" s="21">
        <f t="shared" si="1"/>
        <v>0</v>
      </c>
      <c r="D18" s="17">
        <v>50</v>
      </c>
      <c r="F18" s="23">
        <f t="shared" si="2"/>
        <v>0</v>
      </c>
      <c r="G18" s="5"/>
      <c r="H18" s="5" t="s">
        <v>434</v>
      </c>
      <c r="I18" s="41"/>
      <c r="J18" s="20"/>
      <c r="L18" s="44">
        <f>Table134567810111213141516171819202122232425262729[[#This Row],[الدولار]]+(Table134567810111213141516171819202122232425262729[[#This Row],[اللبناني]]/90)</f>
        <v>0</v>
      </c>
      <c r="N18" s="15">
        <v>20</v>
      </c>
      <c r="P18" s="21">
        <f t="shared" si="3"/>
        <v>0</v>
      </c>
      <c r="Q18" s="17">
        <v>50</v>
      </c>
      <c r="S18" s="23">
        <f t="shared" si="4"/>
        <v>0</v>
      </c>
    </row>
    <row r="19" spans="1:19" x14ac:dyDescent="0.3">
      <c r="A19" s="15">
        <v>50</v>
      </c>
      <c r="C19" s="21">
        <f t="shared" si="1"/>
        <v>0</v>
      </c>
      <c r="D19" s="17">
        <v>100</v>
      </c>
      <c r="F19" s="23">
        <f t="shared" si="2"/>
        <v>0</v>
      </c>
      <c r="G19" s="5"/>
      <c r="H19" s="5" t="s">
        <v>434</v>
      </c>
      <c r="I19" s="42"/>
      <c r="J19" s="20"/>
      <c r="L19" s="44">
        <f>Table134567810111213141516171819202122232425262729[[#This Row],[الدولار]]+(Table134567810111213141516171819202122232425262729[[#This Row],[اللبناني]]/90)</f>
        <v>0</v>
      </c>
      <c r="N19" s="15">
        <v>50</v>
      </c>
      <c r="P19" s="21">
        <f t="shared" si="3"/>
        <v>0</v>
      </c>
      <c r="Q19" s="17">
        <v>100</v>
      </c>
      <c r="S19" s="23">
        <f t="shared" si="4"/>
        <v>0</v>
      </c>
    </row>
    <row r="20" spans="1:19" x14ac:dyDescent="0.3">
      <c r="A20" s="15">
        <v>100</v>
      </c>
      <c r="C20" s="21">
        <f t="shared" si="1"/>
        <v>0</v>
      </c>
      <c r="D20" s="1" t="s">
        <v>1</v>
      </c>
      <c r="E20" s="1"/>
      <c r="F20" s="19">
        <f>SUM(F15:F19)</f>
        <v>0</v>
      </c>
      <c r="G20" s="5"/>
      <c r="H20" s="5" t="s">
        <v>434</v>
      </c>
      <c r="I20" s="41"/>
      <c r="J20" s="20"/>
      <c r="L20" s="44">
        <f>Table134567810111213141516171819202122232425262729[[#This Row],[الدولار]]+(Table134567810111213141516171819202122232425262729[[#This Row],[اللبناني]]/90)</f>
        <v>0</v>
      </c>
      <c r="N20" s="15">
        <v>100</v>
      </c>
      <c r="P20" s="21">
        <f t="shared" si="3"/>
        <v>0</v>
      </c>
      <c r="Q20" s="1" t="s">
        <v>1</v>
      </c>
      <c r="R20" s="1"/>
      <c r="S20" s="19">
        <f>SUM(S15:S19)</f>
        <v>0</v>
      </c>
    </row>
    <row r="21" spans="1:19" x14ac:dyDescent="0.3">
      <c r="A21" s="1" t="s">
        <v>1</v>
      </c>
      <c r="B21" s="1"/>
      <c r="C21" s="22">
        <f>SUM(C15:C20)</f>
        <v>0</v>
      </c>
      <c r="H21" s="5" t="s">
        <v>434</v>
      </c>
      <c r="I21" s="41"/>
      <c r="J21" s="20"/>
      <c r="L21" s="44">
        <f>Table134567810111213141516171819202122232425262729[[#This Row],[الدولار]]+(Table134567810111213141516171819202122232425262729[[#This Row],[اللبناني]]/90)</f>
        <v>0</v>
      </c>
      <c r="N21" s="1" t="s">
        <v>1</v>
      </c>
      <c r="O21" s="1"/>
      <c r="P21" s="22">
        <f>SUM(P15:P20)</f>
        <v>0</v>
      </c>
      <c r="S21" s="20"/>
    </row>
    <row r="22" spans="1:19" x14ac:dyDescent="0.3">
      <c r="C22" s="27"/>
      <c r="D22" s="66" t="s">
        <v>40</v>
      </c>
      <c r="E22" s="66"/>
      <c r="F22" s="24">
        <f ca="1">INDIRECT("'"&amp;$A$12&amp;"'!J13")+J1</f>
        <v>935</v>
      </c>
      <c r="H22" s="5" t="s">
        <v>434</v>
      </c>
      <c r="I22" s="41"/>
      <c r="J22" s="20"/>
      <c r="L22" s="44">
        <f>Table134567810111213141516171819202122232425262729[[#This Row],[الدولار]]+(Table134567810111213141516171819202122232425262729[[#This Row],[اللبناني]]/90)</f>
        <v>0</v>
      </c>
      <c r="P22" s="27"/>
      <c r="Q22" s="66" t="s">
        <v>40</v>
      </c>
      <c r="R22" s="66"/>
      <c r="S22" s="24">
        <f>SUM(Table134567810111213141516171819202122232425262729[اللبناني])</f>
        <v>0</v>
      </c>
    </row>
    <row r="23" spans="1:19" x14ac:dyDescent="0.3">
      <c r="A23" s="66" t="s">
        <v>39</v>
      </c>
      <c r="B23" s="66"/>
      <c r="C23" s="12">
        <f ca="1">INDIRECT("'"&amp;$A$12&amp;"'!K13")+K1</f>
        <v>1047</v>
      </c>
      <c r="F23" s="20"/>
      <c r="H23" s="5" t="s">
        <v>434</v>
      </c>
      <c r="I23" s="41"/>
      <c r="J23" s="20"/>
      <c r="L23" s="44">
        <f>Table134567810111213141516171819202122232425262729[[#This Row],[الدولار]]+(Table134567810111213141516171819202122232425262729[[#This Row],[اللبناني]]/90)</f>
        <v>0</v>
      </c>
      <c r="N23" s="66" t="s">
        <v>39</v>
      </c>
      <c r="O23" s="66"/>
      <c r="P23" s="12">
        <f>SUM(Table134567810111213141516171819202122232425262729[الدولار])</f>
        <v>0</v>
      </c>
      <c r="S23" s="20"/>
    </row>
    <row r="24" spans="1:19" x14ac:dyDescent="0.3">
      <c r="C24" s="27"/>
      <c r="D24" s="1" t="s">
        <v>27</v>
      </c>
      <c r="E24" s="1"/>
      <c r="F24" s="24">
        <f ca="1">F20-F22-INDIRECT("'"&amp;$A$12&amp;"'!f20")</f>
        <v>-1925</v>
      </c>
      <c r="H24" s="5" t="s">
        <v>434</v>
      </c>
      <c r="I24" s="41"/>
      <c r="J24" s="20"/>
      <c r="L24" s="44">
        <f>Table134567810111213141516171819202122232425262729[[#This Row],[الدولار]]+(Table134567810111213141516171819202122232425262729[[#This Row],[اللبناني]]/90)</f>
        <v>0</v>
      </c>
      <c r="P24" s="27"/>
      <c r="Q24" s="1" t="s">
        <v>27</v>
      </c>
      <c r="R24" s="1"/>
      <c r="S24" s="24">
        <f>S20-S22-F20</f>
        <v>0</v>
      </c>
    </row>
    <row r="25" spans="1:19" x14ac:dyDescent="0.3">
      <c r="A25" s="1" t="s">
        <v>27</v>
      </c>
      <c r="B25" s="1"/>
      <c r="C25" s="12">
        <f ca="1">C21-C23-INDIRECT("'"&amp;$A$12&amp;"'!c21")</f>
        <v>-2120</v>
      </c>
      <c r="H25" s="5" t="s">
        <v>434</v>
      </c>
      <c r="I25" s="41"/>
      <c r="J25" s="20"/>
      <c r="L25" s="44">
        <f>Table134567810111213141516171819202122232425262729[[#This Row],[الدولار]]+(Table134567810111213141516171819202122232425262729[[#This Row],[اللبناني]]/90)</f>
        <v>0</v>
      </c>
      <c r="N25" s="1" t="s">
        <v>27</v>
      </c>
      <c r="O25" s="1"/>
      <c r="P25" s="12">
        <f>P21-P23-C21</f>
        <v>0</v>
      </c>
    </row>
    <row r="26" spans="1:19" x14ac:dyDescent="0.3">
      <c r="C26" s="14"/>
      <c r="D26" s="14"/>
      <c r="F26" s="14"/>
      <c r="H26" s="5" t="s">
        <v>434</v>
      </c>
      <c r="I26" s="43"/>
      <c r="J26" s="18"/>
      <c r="L26" s="44">
        <f>Table134567810111213141516171819202122232425262729[[#This Row],[الدولار]]+(Table134567810111213141516171819202122232425262729[[#This Row],[اللبناني]]/90)</f>
        <v>0</v>
      </c>
    </row>
    <row r="27" spans="1:19" x14ac:dyDescent="0.3">
      <c r="C27" s="14"/>
      <c r="D27" s="14"/>
      <c r="F27" s="14"/>
      <c r="H27" s="5" t="s">
        <v>434</v>
      </c>
      <c r="I27" s="43"/>
      <c r="J27" s="18"/>
      <c r="L27" s="44">
        <f>Table134567810111213141516171819202122232425262729[[#This Row],[الدولار]]+(Table134567810111213141516171819202122232425262729[[#This Row],[اللبناني]]/90)</f>
        <v>0</v>
      </c>
    </row>
    <row r="28" spans="1:19" x14ac:dyDescent="0.3">
      <c r="C28" s="14"/>
      <c r="D28" s="14"/>
      <c r="F28" s="14"/>
      <c r="H28" s="5" t="s">
        <v>434</v>
      </c>
      <c r="I28" s="41"/>
      <c r="J28" s="18"/>
      <c r="L28" s="44">
        <f>Table134567810111213141516171819202122232425262729[[#This Row],[الدولار]]+(Table134567810111213141516171819202122232425262729[[#This Row],[اللبناني]]/90)</f>
        <v>0</v>
      </c>
    </row>
    <row r="29" spans="1:19" s="11" customFormat="1" x14ac:dyDescent="0.3">
      <c r="C29" s="14"/>
      <c r="D29" s="14"/>
      <c r="E29" s="2"/>
      <c r="F29" s="14"/>
      <c r="G29" s="2"/>
      <c r="H29" s="5" t="s">
        <v>434</v>
      </c>
      <c r="I29" s="43"/>
      <c r="J29" s="20"/>
      <c r="L29" s="44">
        <f>Table134567810111213141516171819202122232425262729[[#This Row],[الدولار]]+(Table134567810111213141516171819202122232425262729[[#This Row],[اللبناني]]/90)</f>
        <v>0</v>
      </c>
      <c r="M29" s="6"/>
    </row>
    <row r="30" spans="1:19" s="11" customFormat="1" x14ac:dyDescent="0.3">
      <c r="C30" s="14"/>
      <c r="D30" s="2"/>
      <c r="E30" s="2"/>
      <c r="F30" s="14"/>
      <c r="G30" s="2"/>
      <c r="H30" s="5" t="s">
        <v>434</v>
      </c>
      <c r="I30" s="43"/>
      <c r="J30" s="20"/>
      <c r="L30" s="44">
        <f>Table134567810111213141516171819202122232425262729[[#This Row],[الدولار]]+(Table134567810111213141516171819202122232425262729[[#This Row],[اللبناني]]/90)</f>
        <v>0</v>
      </c>
      <c r="M30" s="6"/>
    </row>
    <row r="31" spans="1:19" s="11" customFormat="1" x14ac:dyDescent="0.3">
      <c r="C31" s="14"/>
      <c r="D31" s="2"/>
      <c r="E31" s="2"/>
      <c r="F31" s="2"/>
      <c r="G31" s="2"/>
      <c r="H31" s="5" t="s">
        <v>434</v>
      </c>
      <c r="I31" s="43"/>
      <c r="J31" s="20"/>
      <c r="L31" s="44">
        <f>Table134567810111213141516171819202122232425262729[[#This Row],[الدولار]]+(Table134567810111213141516171819202122232425262729[[#This Row],[اللبناني]]/90)</f>
        <v>0</v>
      </c>
      <c r="M31" s="6"/>
    </row>
    <row r="32" spans="1:19" s="11" customFormat="1" x14ac:dyDescent="0.3">
      <c r="C32" s="2"/>
      <c r="D32" s="2"/>
      <c r="E32" s="2"/>
      <c r="F32" s="6"/>
      <c r="G32" s="2"/>
      <c r="H32" s="5" t="s">
        <v>434</v>
      </c>
      <c r="I32" s="41"/>
      <c r="J32" s="20"/>
      <c r="L32" s="44">
        <f>Table134567810111213141516171819202122232425262729[[#This Row],[الدولار]]+(Table134567810111213141516171819202122232425262729[[#This Row],[اللبناني]]/90)</f>
        <v>0</v>
      </c>
      <c r="M32" s="6"/>
    </row>
    <row r="33" spans="3:13" s="11" customFormat="1" x14ac:dyDescent="0.3">
      <c r="C33" s="6"/>
      <c r="D33" s="2"/>
      <c r="E33" s="2"/>
      <c r="F33" s="2"/>
      <c r="G33" s="2"/>
      <c r="H33" s="5" t="s">
        <v>434</v>
      </c>
      <c r="I33" s="41"/>
      <c r="J33" s="20"/>
      <c r="L33" s="44">
        <f>Table134567810111213141516171819202122232425262729[[#This Row],[الدولار]]+(Table134567810111213141516171819202122232425262729[[#This Row],[اللبناني]]/90)</f>
        <v>0</v>
      </c>
      <c r="M33" s="6"/>
    </row>
    <row r="34" spans="3:13" s="11" customFormat="1" x14ac:dyDescent="0.3">
      <c r="C34" s="2"/>
      <c r="D34" s="2"/>
      <c r="E34" s="2"/>
      <c r="F34" s="6"/>
      <c r="G34" s="2"/>
      <c r="H34" s="5" t="s">
        <v>434</v>
      </c>
      <c r="I34" s="41"/>
      <c r="J34" s="20"/>
      <c r="L34" s="44">
        <f>Table134567810111213141516171819202122232425262729[[#This Row],[الدولار]]+(Table134567810111213141516171819202122232425262729[[#This Row],[اللبناني]]/90)</f>
        <v>0</v>
      </c>
      <c r="M34" s="6"/>
    </row>
    <row r="35" spans="3:13" s="11" customFormat="1" x14ac:dyDescent="0.3">
      <c r="C35" s="6"/>
      <c r="D35" s="2"/>
      <c r="E35" s="2"/>
      <c r="F35" s="2"/>
      <c r="G35" s="2"/>
      <c r="H35" s="5" t="s">
        <v>434</v>
      </c>
      <c r="I35" s="41"/>
      <c r="J35" s="20"/>
      <c r="L35" s="44">
        <f>Table134567810111213141516171819202122232425262729[[#This Row],[الدولار]]+(Table134567810111213141516171819202122232425262729[[#This Row],[اللبناني]]/90)</f>
        <v>0</v>
      </c>
      <c r="M35" s="6"/>
    </row>
    <row r="36" spans="3:13" s="11" customFormat="1" x14ac:dyDescent="0.3">
      <c r="C36" s="2"/>
      <c r="D36" s="2"/>
      <c r="E36" s="2"/>
      <c r="F36" s="2"/>
      <c r="G36" s="2"/>
      <c r="H36" s="5" t="s">
        <v>434</v>
      </c>
      <c r="I36" s="41"/>
      <c r="J36" s="20"/>
      <c r="L36" s="44">
        <f>Table134567810111213141516171819202122232425262729[[#This Row],[الدولار]]+(Table134567810111213141516171819202122232425262729[[#This Row],[اللبناني]]/90)</f>
        <v>0</v>
      </c>
      <c r="M36" s="6"/>
    </row>
    <row r="37" spans="3:13" s="11" customFormat="1" x14ac:dyDescent="0.3">
      <c r="C37" s="2"/>
      <c r="D37" s="2"/>
      <c r="E37" s="2"/>
      <c r="F37" s="2"/>
      <c r="G37" s="2"/>
      <c r="H37" s="5" t="s">
        <v>434</v>
      </c>
      <c r="I37" s="41"/>
      <c r="J37" s="20"/>
      <c r="L37" s="44">
        <f>Table134567810111213141516171819202122232425262729[[#This Row],[الدولار]]+(Table134567810111213141516171819202122232425262729[[#This Row],[اللبناني]]/90)</f>
        <v>0</v>
      </c>
      <c r="M37" s="6"/>
    </row>
    <row r="38" spans="3:13" s="11" customFormat="1" x14ac:dyDescent="0.3">
      <c r="C38" s="2"/>
      <c r="D38" s="2"/>
      <c r="E38" s="2"/>
      <c r="F38" s="2"/>
      <c r="G38" s="2"/>
      <c r="H38" s="5" t="s">
        <v>434</v>
      </c>
      <c r="I38" s="41"/>
      <c r="J38" s="20"/>
      <c r="L38" s="44">
        <f>Table134567810111213141516171819202122232425262729[[#This Row],[الدولار]]+(Table134567810111213141516171819202122232425262729[[#This Row],[اللبناني]]/90)</f>
        <v>0</v>
      </c>
      <c r="M38" s="6"/>
    </row>
    <row r="39" spans="3:13" s="11" customFormat="1" x14ac:dyDescent="0.3">
      <c r="C39" s="2"/>
      <c r="D39" s="2"/>
      <c r="E39" s="2"/>
      <c r="F39" s="2"/>
      <c r="G39" s="2"/>
      <c r="H39" s="5" t="s">
        <v>434</v>
      </c>
      <c r="I39" s="41"/>
      <c r="J39" s="18"/>
      <c r="L39" s="44">
        <f>Table134567810111213141516171819202122232425262729[[#This Row],[الدولار]]+(Table134567810111213141516171819202122232425262729[[#This Row],[اللبناني]]/90)</f>
        <v>0</v>
      </c>
      <c r="M39" s="6"/>
    </row>
    <row r="40" spans="3:13" s="11" customFormat="1" x14ac:dyDescent="0.3">
      <c r="C40" s="2"/>
      <c r="D40" s="2"/>
      <c r="E40" s="2"/>
      <c r="F40" s="2"/>
      <c r="G40" s="2"/>
      <c r="H40" s="5" t="s">
        <v>434</v>
      </c>
      <c r="I40" s="39"/>
      <c r="J40" s="18"/>
      <c r="L40" s="44">
        <f>Table134567810111213141516171819202122232425262729[[#This Row],[الدولار]]+(Table134567810111213141516171819202122232425262729[[#This Row],[اللبناني]]/90)</f>
        <v>0</v>
      </c>
      <c r="M40" s="6"/>
    </row>
    <row r="41" spans="3:13" s="11" customFormat="1" x14ac:dyDescent="0.3">
      <c r="C41" s="2"/>
      <c r="D41" s="2"/>
      <c r="E41" s="2"/>
      <c r="F41" s="2"/>
      <c r="G41" s="2"/>
      <c r="H41" s="5" t="s">
        <v>434</v>
      </c>
      <c r="I41" s="39"/>
      <c r="J41" s="18"/>
      <c r="L41" s="44">
        <f>Table134567810111213141516171819202122232425262729[[#This Row],[الدولار]]+(Table134567810111213141516171819202122232425262729[[#This Row],[اللبناني]]/90)</f>
        <v>0</v>
      </c>
      <c r="M41" s="6"/>
    </row>
    <row r="42" spans="3:13" s="11" customFormat="1" x14ac:dyDescent="0.3">
      <c r="C42" s="2"/>
      <c r="D42" s="2"/>
      <c r="E42" s="2"/>
      <c r="F42" s="2"/>
      <c r="G42" s="2"/>
      <c r="H42" s="5" t="s">
        <v>434</v>
      </c>
      <c r="I42" s="39"/>
      <c r="J42" s="18"/>
      <c r="L42" s="44">
        <f>Table134567810111213141516171819202122232425262729[[#This Row],[الدولار]]+(Table134567810111213141516171819202122232425262729[[#This Row],[اللبناني]]/90)</f>
        <v>0</v>
      </c>
      <c r="M42" s="6"/>
    </row>
    <row r="43" spans="3:13" s="11" customFormat="1" x14ac:dyDescent="0.3">
      <c r="C43" s="2"/>
      <c r="D43" s="2"/>
      <c r="E43" s="2"/>
      <c r="F43" s="2"/>
      <c r="G43" s="2"/>
      <c r="H43" s="5" t="s">
        <v>434</v>
      </c>
      <c r="I43" s="39"/>
      <c r="J43" s="18"/>
      <c r="L43" s="44">
        <f>Table134567810111213141516171819202122232425262729[[#This Row],[الدولار]]+(Table134567810111213141516171819202122232425262729[[#This Row],[اللبناني]]/90)</f>
        <v>0</v>
      </c>
      <c r="M43" s="6"/>
    </row>
    <row r="44" spans="3:13" s="11" customFormat="1" x14ac:dyDescent="0.3">
      <c r="C44" s="2"/>
      <c r="D44" s="2"/>
      <c r="E44" s="2"/>
      <c r="F44" s="2"/>
      <c r="G44" s="2"/>
      <c r="H44" s="5" t="s">
        <v>434</v>
      </c>
      <c r="I44" s="39"/>
      <c r="J44" s="18"/>
      <c r="L44" s="44">
        <f>Table134567810111213141516171819202122232425262729[[#This Row],[الدولار]]+(Table134567810111213141516171819202122232425262729[[#This Row],[اللبناني]]/90)</f>
        <v>0</v>
      </c>
      <c r="M44" s="6"/>
    </row>
    <row r="45" spans="3:13" s="11" customFormat="1" x14ac:dyDescent="0.3">
      <c r="H45" s="5" t="s">
        <v>434</v>
      </c>
      <c r="I45" s="39"/>
      <c r="J45" s="18"/>
      <c r="L45" s="44">
        <f>Table134567810111213141516171819202122232425262729[[#This Row],[الدولار]]+(Table134567810111213141516171819202122232425262729[[#This Row],[اللبناني]]/90)</f>
        <v>0</v>
      </c>
      <c r="M45" s="6"/>
    </row>
    <row r="46" spans="3:13" s="11" customFormat="1" x14ac:dyDescent="0.3">
      <c r="H46" s="5" t="s">
        <v>434</v>
      </c>
      <c r="I46" s="39"/>
      <c r="J46" s="18"/>
      <c r="L46" s="44">
        <f>Table134567810111213141516171819202122232425262729[[#This Row],[الدولار]]+(Table134567810111213141516171819202122232425262729[[#This Row],[اللبناني]]/90)</f>
        <v>0</v>
      </c>
      <c r="M46" s="6"/>
    </row>
    <row r="47" spans="3:13" s="11" customFormat="1" x14ac:dyDescent="0.3">
      <c r="H47" s="5" t="s">
        <v>434</v>
      </c>
      <c r="I47" s="39"/>
      <c r="J47" s="18"/>
      <c r="L47" s="44">
        <f>Table134567810111213141516171819202122232425262729[[#This Row],[الدولار]]+(Table134567810111213141516171819202122232425262729[[#This Row],[اللبناني]]/90)</f>
        <v>0</v>
      </c>
      <c r="M47" s="6"/>
    </row>
    <row r="48" spans="3:13" s="11" customFormat="1" x14ac:dyDescent="0.3">
      <c r="H48" s="5" t="s">
        <v>434</v>
      </c>
      <c r="I48" s="39"/>
      <c r="J48" s="18"/>
      <c r="L48" s="44">
        <f>Table134567810111213141516171819202122232425262729[[#This Row],[الدولار]]+(Table134567810111213141516171819202122232425262729[[#This Row],[اللبناني]]/90)</f>
        <v>0</v>
      </c>
      <c r="M48" s="6"/>
    </row>
    <row r="49" spans="8:13" s="11" customFormat="1" x14ac:dyDescent="0.3">
      <c r="H49" s="5" t="s">
        <v>434</v>
      </c>
      <c r="I49" s="39"/>
      <c r="J49" s="18"/>
      <c r="L49" s="44">
        <f>Table134567810111213141516171819202122232425262729[[#This Row],[الدولار]]+(Table134567810111213141516171819202122232425262729[[#This Row],[اللبناني]]/90)</f>
        <v>0</v>
      </c>
      <c r="M49" s="6"/>
    </row>
    <row r="50" spans="8:13" s="11" customFormat="1" x14ac:dyDescent="0.3">
      <c r="H50" s="5" t="s">
        <v>434</v>
      </c>
      <c r="I50" s="39"/>
      <c r="J50" s="18"/>
      <c r="L50" s="44">
        <f>Table134567810111213141516171819202122232425262729[[#This Row],[الدولار]]+(Table134567810111213141516171819202122232425262729[[#This Row],[اللبناني]]/90)</f>
        <v>0</v>
      </c>
      <c r="M50" s="6"/>
    </row>
    <row r="51" spans="8:13" s="11" customFormat="1" x14ac:dyDescent="0.3">
      <c r="H51" s="5" t="s">
        <v>434</v>
      </c>
      <c r="I51" s="39"/>
      <c r="J51" s="18"/>
      <c r="L51" s="44">
        <f>Table134567810111213141516171819202122232425262729[[#This Row],[الدولار]]+(Table134567810111213141516171819202122232425262729[[#This Row],[اللبناني]]/90)</f>
        <v>0</v>
      </c>
      <c r="M51" s="6"/>
    </row>
    <row r="52" spans="8:13" s="11" customFormat="1" x14ac:dyDescent="0.3">
      <c r="H52" s="5" t="s">
        <v>434</v>
      </c>
      <c r="I52" s="39"/>
      <c r="J52" s="18"/>
      <c r="L52" s="44">
        <f>Table134567810111213141516171819202122232425262729[[#This Row],[الدولار]]+(Table134567810111213141516171819202122232425262729[[#This Row],[اللبناني]]/90)</f>
        <v>0</v>
      </c>
      <c r="M52" s="6"/>
    </row>
    <row r="53" spans="8:13" s="11" customFormat="1" x14ac:dyDescent="0.3">
      <c r="H53" s="5" t="s">
        <v>434</v>
      </c>
      <c r="I53" s="39"/>
      <c r="J53" s="18"/>
      <c r="L53" s="44">
        <f>Table134567810111213141516171819202122232425262729[[#This Row],[الدولار]]+(Table134567810111213141516171819202122232425262729[[#This Row],[اللبناني]]/90)</f>
        <v>0</v>
      </c>
      <c r="M53" s="6"/>
    </row>
    <row r="54" spans="8:13" s="11" customFormat="1" x14ac:dyDescent="0.3">
      <c r="H54" s="5" t="s">
        <v>434</v>
      </c>
      <c r="I54" s="39"/>
      <c r="J54" s="18"/>
      <c r="L54" s="44">
        <f>Table134567810111213141516171819202122232425262729[[#This Row],[الدولار]]+(Table134567810111213141516171819202122232425262729[[#This Row],[اللبناني]]/90)</f>
        <v>0</v>
      </c>
      <c r="M54" s="6"/>
    </row>
    <row r="55" spans="8:13" s="11" customFormat="1" x14ac:dyDescent="0.3">
      <c r="H55" s="5" t="s">
        <v>434</v>
      </c>
      <c r="I55" s="39"/>
      <c r="J55" s="18"/>
      <c r="L55" s="44">
        <f>Table134567810111213141516171819202122232425262729[[#This Row],[الدولار]]+(Table134567810111213141516171819202122232425262729[[#This Row],[اللبناني]]/90)</f>
        <v>0</v>
      </c>
      <c r="M55" s="6"/>
    </row>
    <row r="56" spans="8:13" s="11" customFormat="1" x14ac:dyDescent="0.3">
      <c r="H56" s="5" t="s">
        <v>434</v>
      </c>
      <c r="I56" s="39"/>
      <c r="J56" s="18"/>
      <c r="L56" s="44">
        <f>Table134567810111213141516171819202122232425262729[[#This Row],[الدولار]]+(Table134567810111213141516171819202122232425262729[[#This Row],[اللبناني]]/90)</f>
        <v>0</v>
      </c>
      <c r="M56" s="6"/>
    </row>
    <row r="57" spans="8:13" s="11" customFormat="1" x14ac:dyDescent="0.3">
      <c r="H57" s="5" t="s">
        <v>434</v>
      </c>
      <c r="I57" s="39"/>
      <c r="J57" s="18"/>
      <c r="L57" s="44">
        <f>Table134567810111213141516171819202122232425262729[[#This Row],[الدولار]]+(Table134567810111213141516171819202122232425262729[[#This Row],[اللبناني]]/90)</f>
        <v>0</v>
      </c>
      <c r="M57" s="6"/>
    </row>
    <row r="58" spans="8:13" s="11" customFormat="1" x14ac:dyDescent="0.3">
      <c r="H58" s="5" t="s">
        <v>434</v>
      </c>
      <c r="I58" s="39"/>
      <c r="J58" s="18"/>
      <c r="L58" s="44">
        <f>Table134567810111213141516171819202122232425262729[[#This Row],[الدولار]]+(Table134567810111213141516171819202122232425262729[[#This Row],[اللبناني]]/90)</f>
        <v>0</v>
      </c>
      <c r="M58" s="6"/>
    </row>
    <row r="59" spans="8:13" s="11" customFormat="1" x14ac:dyDescent="0.3">
      <c r="H59" s="5" t="s">
        <v>434</v>
      </c>
      <c r="I59" s="39"/>
      <c r="J59" s="18"/>
      <c r="L59" s="44">
        <f>Table134567810111213141516171819202122232425262729[[#This Row],[الدولار]]+(Table134567810111213141516171819202122232425262729[[#This Row],[اللبناني]]/90)</f>
        <v>0</v>
      </c>
      <c r="M59" s="6"/>
    </row>
    <row r="60" spans="8:13" s="11" customFormat="1" x14ac:dyDescent="0.3">
      <c r="H60" s="5" t="s">
        <v>434</v>
      </c>
      <c r="I60" s="39"/>
      <c r="J60" s="18"/>
      <c r="L60" s="44">
        <f>Table134567810111213141516171819202122232425262729[[#This Row],[الدولار]]+(Table134567810111213141516171819202122232425262729[[#This Row],[اللبناني]]/90)</f>
        <v>0</v>
      </c>
      <c r="M60" s="6"/>
    </row>
    <row r="61" spans="8:13" s="11" customFormat="1" x14ac:dyDescent="0.3">
      <c r="H61" s="5" t="s">
        <v>434</v>
      </c>
      <c r="I61" s="39"/>
      <c r="J61" s="18"/>
      <c r="L61" s="44">
        <f>Table134567810111213141516171819202122232425262729[[#This Row],[الدولار]]+(Table134567810111213141516171819202122232425262729[[#This Row],[اللبناني]]/90)</f>
        <v>0</v>
      </c>
      <c r="M61" s="6"/>
    </row>
    <row r="62" spans="8:13" s="11" customFormat="1" x14ac:dyDescent="0.3">
      <c r="H62" s="5" t="s">
        <v>434</v>
      </c>
      <c r="I62" s="39"/>
      <c r="J62" s="18"/>
      <c r="L62" s="44">
        <f>Table134567810111213141516171819202122232425262729[[#This Row],[الدولار]]+(Table134567810111213141516171819202122232425262729[[#This Row],[اللبناني]]/90)</f>
        <v>0</v>
      </c>
      <c r="M62" s="6"/>
    </row>
    <row r="63" spans="8:13" s="11" customFormat="1" x14ac:dyDescent="0.3">
      <c r="H63" s="5" t="s">
        <v>434</v>
      </c>
      <c r="I63" s="39"/>
      <c r="J63" s="18"/>
      <c r="L63" s="44">
        <f>Table134567810111213141516171819202122232425262729[[#This Row],[الدولار]]+(Table134567810111213141516171819202122232425262729[[#This Row],[اللبناني]]/90)</f>
        <v>0</v>
      </c>
      <c r="M63" s="6"/>
    </row>
    <row r="64" spans="8:13" s="11" customFormat="1" x14ac:dyDescent="0.3">
      <c r="H64" s="5" t="s">
        <v>434</v>
      </c>
      <c r="I64" s="39"/>
      <c r="J64" s="18"/>
      <c r="L64" s="44">
        <f>Table134567810111213141516171819202122232425262729[[#This Row],[الدولار]]+(Table134567810111213141516171819202122232425262729[[#This Row],[اللبناني]]/90)</f>
        <v>0</v>
      </c>
      <c r="M64" s="6"/>
    </row>
    <row r="65" spans="8:13" s="11" customFormat="1" x14ac:dyDescent="0.3">
      <c r="H65" s="5" t="s">
        <v>434</v>
      </c>
      <c r="I65" s="39"/>
      <c r="J65" s="18"/>
      <c r="L65" s="44">
        <f>Table134567810111213141516171819202122232425262729[[#This Row],[الدولار]]+(Table134567810111213141516171819202122232425262729[[#This Row],[اللبناني]]/90)</f>
        <v>0</v>
      </c>
      <c r="M65" s="6"/>
    </row>
    <row r="66" spans="8:13" s="11" customFormat="1" x14ac:dyDescent="0.3">
      <c r="H66" s="5" t="s">
        <v>434</v>
      </c>
      <c r="I66" s="39"/>
      <c r="J66" s="18"/>
      <c r="L66" s="44">
        <f>Table134567810111213141516171819202122232425262729[[#This Row],[الدولار]]+(Table134567810111213141516171819202122232425262729[[#This Row],[اللبناني]]/90)</f>
        <v>0</v>
      </c>
      <c r="M66" s="6"/>
    </row>
    <row r="67" spans="8:13" s="11" customFormat="1" x14ac:dyDescent="0.3">
      <c r="H67" s="5" t="s">
        <v>434</v>
      </c>
      <c r="I67" s="39"/>
      <c r="J67" s="18"/>
      <c r="L67" s="44">
        <f>Table134567810111213141516171819202122232425262729[[#This Row],[الدولار]]+(Table134567810111213141516171819202122232425262729[[#This Row],[اللبناني]]/90)</f>
        <v>0</v>
      </c>
      <c r="M67" s="6"/>
    </row>
    <row r="68" spans="8:13" s="11" customFormat="1" x14ac:dyDescent="0.3">
      <c r="H68" s="5" t="s">
        <v>434</v>
      </c>
      <c r="I68" s="39"/>
      <c r="J68" s="18"/>
      <c r="L68" s="44">
        <f>Table134567810111213141516171819202122232425262729[[#This Row],[الدولار]]+(Table134567810111213141516171819202122232425262729[[#This Row],[اللبناني]]/90)</f>
        <v>0</v>
      </c>
      <c r="M68" s="6"/>
    </row>
    <row r="69" spans="8:13" s="11" customFormat="1" x14ac:dyDescent="0.3">
      <c r="H69" s="5" t="s">
        <v>434</v>
      </c>
      <c r="I69" s="39"/>
      <c r="J69" s="18"/>
      <c r="L69" s="44">
        <f>Table134567810111213141516171819202122232425262729[[#This Row],[الدولار]]+(Table134567810111213141516171819202122232425262729[[#This Row],[اللبناني]]/90)</f>
        <v>0</v>
      </c>
      <c r="M69" s="6"/>
    </row>
    <row r="70" spans="8:13" s="11" customFormat="1" x14ac:dyDescent="0.3">
      <c r="H70" s="5" t="s">
        <v>434</v>
      </c>
      <c r="I70" s="39"/>
      <c r="J70" s="18"/>
      <c r="L70" s="44">
        <f>Table134567810111213141516171819202122232425262729[[#This Row],[الدولار]]+(Table134567810111213141516171819202122232425262729[[#This Row],[اللبناني]]/90)</f>
        <v>0</v>
      </c>
      <c r="M70" s="6"/>
    </row>
    <row r="71" spans="8:13" s="11" customFormat="1" x14ac:dyDescent="0.3">
      <c r="H71" s="5" t="s">
        <v>434</v>
      </c>
      <c r="I71" s="39"/>
      <c r="J71" s="18"/>
      <c r="L71" s="44">
        <f>Table134567810111213141516171819202122232425262729[[#This Row],[الدولار]]+(Table134567810111213141516171819202122232425262729[[#This Row],[اللبناني]]/90)</f>
        <v>0</v>
      </c>
      <c r="M71" s="6"/>
    </row>
    <row r="72" spans="8:13" s="11" customFormat="1" x14ac:dyDescent="0.3">
      <c r="H72" s="5" t="s">
        <v>434</v>
      </c>
      <c r="I72" s="39"/>
      <c r="J72" s="18"/>
      <c r="L72" s="44">
        <f>Table134567810111213141516171819202122232425262729[[#This Row],[الدولار]]+(Table134567810111213141516171819202122232425262729[[#This Row],[اللبناني]]/90)</f>
        <v>0</v>
      </c>
      <c r="M72" s="6"/>
    </row>
    <row r="73" spans="8:13" s="11" customFormat="1" x14ac:dyDescent="0.3">
      <c r="H73" s="5" t="s">
        <v>434</v>
      </c>
      <c r="I73" s="39"/>
      <c r="J73" s="18"/>
      <c r="L73" s="44">
        <f>Table134567810111213141516171819202122232425262729[[#This Row],[الدولار]]+(Table134567810111213141516171819202122232425262729[[#This Row],[اللبناني]]/90)</f>
        <v>0</v>
      </c>
      <c r="M73" s="6"/>
    </row>
    <row r="74" spans="8:13" s="11" customFormat="1" x14ac:dyDescent="0.3">
      <c r="H74" s="5" t="s">
        <v>434</v>
      </c>
      <c r="I74" s="39"/>
      <c r="J74" s="18"/>
      <c r="L74" s="44">
        <f>Table134567810111213141516171819202122232425262729[[#This Row],[الدولار]]+(Table134567810111213141516171819202122232425262729[[#This Row],[اللبناني]]/90)</f>
        <v>0</v>
      </c>
      <c r="M74" s="6"/>
    </row>
    <row r="75" spans="8:13" s="11" customFormat="1" x14ac:dyDescent="0.3">
      <c r="H75" s="5" t="s">
        <v>434</v>
      </c>
      <c r="I75" s="39"/>
      <c r="J75" s="18"/>
      <c r="L75" s="44">
        <f>Table134567810111213141516171819202122232425262729[[#This Row],[الدولار]]+(Table134567810111213141516171819202122232425262729[[#This Row],[اللبناني]]/90)</f>
        <v>0</v>
      </c>
      <c r="M75" s="6"/>
    </row>
    <row r="76" spans="8:13" s="11" customFormat="1" x14ac:dyDescent="0.3">
      <c r="H76" s="5" t="s">
        <v>434</v>
      </c>
      <c r="I76" s="39"/>
      <c r="J76" s="18"/>
      <c r="L76" s="44">
        <f>Table134567810111213141516171819202122232425262729[[#This Row],[الدولار]]+(Table134567810111213141516171819202122232425262729[[#This Row],[اللبناني]]/90)</f>
        <v>0</v>
      </c>
      <c r="M76" s="6"/>
    </row>
    <row r="77" spans="8:13" s="11" customFormat="1" x14ac:dyDescent="0.3">
      <c r="H77" s="5" t="s">
        <v>434</v>
      </c>
      <c r="I77" s="39"/>
      <c r="J77" s="18"/>
      <c r="L77" s="44">
        <f>Table134567810111213141516171819202122232425262729[[#This Row],[الدولار]]+(Table134567810111213141516171819202122232425262729[[#This Row],[اللبناني]]/90)</f>
        <v>0</v>
      </c>
      <c r="M77" s="6"/>
    </row>
    <row r="78" spans="8:13" s="11" customFormat="1" x14ac:dyDescent="0.3">
      <c r="H78" s="5" t="s">
        <v>434</v>
      </c>
      <c r="I78" s="39"/>
      <c r="J78" s="18"/>
      <c r="L78" s="44">
        <f>Table134567810111213141516171819202122232425262729[[#This Row],[الدولار]]+(Table134567810111213141516171819202122232425262729[[#This Row],[اللبناني]]/90)</f>
        <v>0</v>
      </c>
      <c r="M78" s="6"/>
    </row>
    <row r="79" spans="8:13" s="11" customFormat="1" x14ac:dyDescent="0.3">
      <c r="H79" s="5" t="s">
        <v>434</v>
      </c>
      <c r="I79" s="39"/>
      <c r="J79" s="18"/>
      <c r="L79" s="44">
        <f>Table134567810111213141516171819202122232425262729[[#This Row],[الدولار]]+(Table134567810111213141516171819202122232425262729[[#This Row],[اللبناني]]/90)</f>
        <v>0</v>
      </c>
      <c r="M79" s="6"/>
    </row>
    <row r="80" spans="8:13" s="11" customFormat="1" x14ac:dyDescent="0.3">
      <c r="H80" s="5" t="s">
        <v>434</v>
      </c>
      <c r="I80" s="39"/>
      <c r="J80" s="18"/>
      <c r="L80" s="44">
        <f>Table134567810111213141516171819202122232425262729[[#This Row],[الدولار]]+(Table134567810111213141516171819202122232425262729[[#This Row],[اللبناني]]/90)</f>
        <v>0</v>
      </c>
      <c r="M80" s="6"/>
    </row>
    <row r="81" spans="8:13" s="11" customFormat="1" x14ac:dyDescent="0.3">
      <c r="H81" s="5" t="s">
        <v>434</v>
      </c>
      <c r="I81" s="39"/>
      <c r="J81" s="18"/>
      <c r="L81" s="44">
        <f>Table134567810111213141516171819202122232425262729[[#This Row],[الدولار]]+(Table134567810111213141516171819202122232425262729[[#This Row],[اللبناني]]/90)</f>
        <v>0</v>
      </c>
      <c r="M81" s="6"/>
    </row>
    <row r="82" spans="8:13" s="11" customFormat="1" x14ac:dyDescent="0.3">
      <c r="H82" s="5" t="s">
        <v>434</v>
      </c>
      <c r="I82" s="39"/>
      <c r="J82" s="18"/>
      <c r="L82" s="44">
        <f>Table134567810111213141516171819202122232425262729[[#This Row],[الدولار]]+(Table134567810111213141516171819202122232425262729[[#This Row],[اللبناني]]/90)</f>
        <v>0</v>
      </c>
      <c r="M82" s="6"/>
    </row>
    <row r="83" spans="8:13" s="11" customFormat="1" x14ac:dyDescent="0.3">
      <c r="H83" s="5" t="s">
        <v>434</v>
      </c>
      <c r="I83" s="39"/>
      <c r="J83" s="18"/>
      <c r="L83" s="44">
        <f>Table134567810111213141516171819202122232425262729[[#This Row],[الدولار]]+(Table134567810111213141516171819202122232425262729[[#This Row],[اللبناني]]/90)</f>
        <v>0</v>
      </c>
      <c r="M83" s="6"/>
    </row>
    <row r="84" spans="8:13" s="11" customFormat="1" x14ac:dyDescent="0.3">
      <c r="H84" s="5" t="s">
        <v>434</v>
      </c>
      <c r="I84" s="39"/>
      <c r="J84" s="18"/>
      <c r="L84" s="44">
        <f>Table134567810111213141516171819202122232425262729[[#This Row],[الدولار]]+(Table134567810111213141516171819202122232425262729[[#This Row],[اللبناني]]/90)</f>
        <v>0</v>
      </c>
      <c r="M84" s="6"/>
    </row>
    <row r="85" spans="8:13" s="11" customFormat="1" x14ac:dyDescent="0.3">
      <c r="H85" s="5" t="s">
        <v>434</v>
      </c>
      <c r="I85" s="39"/>
      <c r="J85" s="18"/>
      <c r="L85" s="44">
        <f>Table134567810111213141516171819202122232425262729[[#This Row],[الدولار]]+(Table134567810111213141516171819202122232425262729[[#This Row],[اللبناني]]/90)</f>
        <v>0</v>
      </c>
      <c r="M85" s="6"/>
    </row>
    <row r="86" spans="8:13" s="11" customFormat="1" x14ac:dyDescent="0.3">
      <c r="H86" s="5" t="s">
        <v>434</v>
      </c>
      <c r="I86" s="39"/>
      <c r="J86" s="18"/>
      <c r="L86" s="44">
        <f>Table134567810111213141516171819202122232425262729[[#This Row],[الدولار]]+(Table134567810111213141516171819202122232425262729[[#This Row],[اللبناني]]/90)</f>
        <v>0</v>
      </c>
      <c r="M86" s="6"/>
    </row>
    <row r="87" spans="8:13" s="11" customFormat="1" x14ac:dyDescent="0.3">
      <c r="H87" s="5" t="s">
        <v>434</v>
      </c>
      <c r="I87" s="39"/>
      <c r="J87" s="18"/>
      <c r="L87" s="44">
        <f>Table134567810111213141516171819202122232425262729[[#This Row],[الدولار]]+(Table134567810111213141516171819202122232425262729[[#This Row],[اللبناني]]/90)</f>
        <v>0</v>
      </c>
      <c r="M87" s="6"/>
    </row>
    <row r="88" spans="8:13" s="11" customFormat="1" x14ac:dyDescent="0.3">
      <c r="H88" s="5" t="s">
        <v>434</v>
      </c>
      <c r="I88" s="39"/>
      <c r="J88" s="18"/>
      <c r="L88" s="44">
        <f>Table134567810111213141516171819202122232425262729[[#This Row],[الدولار]]+(Table134567810111213141516171819202122232425262729[[#This Row],[اللبناني]]/90)</f>
        <v>0</v>
      </c>
      <c r="M88" s="6"/>
    </row>
    <row r="89" spans="8:13" s="11" customFormat="1" x14ac:dyDescent="0.3">
      <c r="H89" s="5" t="s">
        <v>434</v>
      </c>
      <c r="I89" s="39"/>
      <c r="J89" s="18"/>
      <c r="L89" s="44">
        <f>Table134567810111213141516171819202122232425262729[[#This Row],[الدولار]]+(Table134567810111213141516171819202122232425262729[[#This Row],[اللبناني]]/90)</f>
        <v>0</v>
      </c>
      <c r="M89" s="6"/>
    </row>
    <row r="90" spans="8:13" s="11" customFormat="1" x14ac:dyDescent="0.3">
      <c r="H90" s="5" t="s">
        <v>434</v>
      </c>
      <c r="I90" s="39"/>
      <c r="J90" s="18"/>
      <c r="L90" s="44">
        <f>Table134567810111213141516171819202122232425262729[[#This Row],[الدولار]]+(Table134567810111213141516171819202122232425262729[[#This Row],[اللبناني]]/90)</f>
        <v>0</v>
      </c>
      <c r="M90" s="6"/>
    </row>
    <row r="91" spans="8:13" s="11" customFormat="1" x14ac:dyDescent="0.3">
      <c r="H91" s="5" t="s">
        <v>434</v>
      </c>
      <c r="I91" s="39"/>
      <c r="J91" s="18"/>
      <c r="L91" s="44">
        <f>Table134567810111213141516171819202122232425262729[[#This Row],[الدولار]]+(Table134567810111213141516171819202122232425262729[[#This Row],[اللبناني]]/90)</f>
        <v>0</v>
      </c>
      <c r="M91" s="6"/>
    </row>
    <row r="92" spans="8:13" s="11" customFormat="1" x14ac:dyDescent="0.3">
      <c r="H92" s="5" t="s">
        <v>434</v>
      </c>
      <c r="I92" s="39"/>
      <c r="J92" s="18"/>
      <c r="L92" s="44">
        <f>Table134567810111213141516171819202122232425262729[[#This Row],[الدولار]]+(Table134567810111213141516171819202122232425262729[[#This Row],[اللبناني]]/90)</f>
        <v>0</v>
      </c>
      <c r="M92" s="6"/>
    </row>
    <row r="93" spans="8:13" s="11" customFormat="1" x14ac:dyDescent="0.3">
      <c r="H93" s="5" t="s">
        <v>434</v>
      </c>
      <c r="I93" s="39"/>
      <c r="J93" s="18"/>
      <c r="L93" s="44">
        <f>Table134567810111213141516171819202122232425262729[[#This Row],[الدولار]]+(Table134567810111213141516171819202122232425262729[[#This Row],[اللبناني]]/90)</f>
        <v>0</v>
      </c>
      <c r="M93" s="6"/>
    </row>
    <row r="94" spans="8:13" s="11" customFormat="1" x14ac:dyDescent="0.3">
      <c r="H94" s="5" t="s">
        <v>434</v>
      </c>
      <c r="I94" s="39"/>
      <c r="J94" s="18"/>
      <c r="L94" s="44">
        <f>Table134567810111213141516171819202122232425262729[[#This Row],[الدولار]]+(Table134567810111213141516171819202122232425262729[[#This Row],[اللبناني]]/90)</f>
        <v>0</v>
      </c>
      <c r="M94" s="6"/>
    </row>
    <row r="95" spans="8:13" s="11" customFormat="1" x14ac:dyDescent="0.3">
      <c r="H95" s="5" t="s">
        <v>434</v>
      </c>
      <c r="I95" s="39"/>
      <c r="J95" s="18"/>
      <c r="L95" s="44">
        <f>Table134567810111213141516171819202122232425262729[[#This Row],[الدولار]]+(Table134567810111213141516171819202122232425262729[[#This Row],[اللبناني]]/90)</f>
        <v>0</v>
      </c>
      <c r="M95" s="6"/>
    </row>
    <row r="96" spans="8:13" s="11" customFormat="1" x14ac:dyDescent="0.3">
      <c r="H96" s="5" t="s">
        <v>434</v>
      </c>
      <c r="I96" s="39"/>
      <c r="J96" s="18"/>
      <c r="L96" s="44">
        <f>Table134567810111213141516171819202122232425262729[[#This Row],[الدولار]]+(Table134567810111213141516171819202122232425262729[[#This Row],[اللبناني]]/90)</f>
        <v>0</v>
      </c>
      <c r="M96" s="6"/>
    </row>
    <row r="97" spans="8:13" s="11" customFormat="1" x14ac:dyDescent="0.3">
      <c r="H97" s="5" t="s">
        <v>434</v>
      </c>
      <c r="I97" s="39"/>
      <c r="J97" s="18"/>
      <c r="L97" s="44">
        <f>Table134567810111213141516171819202122232425262729[[#This Row],[الدولار]]+(Table134567810111213141516171819202122232425262729[[#This Row],[اللبناني]]/90)</f>
        <v>0</v>
      </c>
      <c r="M97" s="6"/>
    </row>
    <row r="98" spans="8:13" s="11" customFormat="1" x14ac:dyDescent="0.3">
      <c r="H98" s="5" t="s">
        <v>434</v>
      </c>
      <c r="I98" s="39"/>
      <c r="J98" s="18"/>
      <c r="L98" s="44">
        <f>Table134567810111213141516171819202122232425262729[[#This Row],[الدولار]]+(Table134567810111213141516171819202122232425262729[[#This Row],[اللبناني]]/90)</f>
        <v>0</v>
      </c>
      <c r="M98" s="6"/>
    </row>
    <row r="99" spans="8:13" s="11" customFormat="1" x14ac:dyDescent="0.3">
      <c r="H99" s="5" t="s">
        <v>434</v>
      </c>
      <c r="I99" s="39"/>
      <c r="J99" s="18"/>
      <c r="L99" s="44">
        <f>Table134567810111213141516171819202122232425262729[[#This Row],[الدولار]]+(Table134567810111213141516171819202122232425262729[[#This Row],[اللبناني]]/90)</f>
        <v>0</v>
      </c>
      <c r="M99" s="6"/>
    </row>
    <row r="100" spans="8:13" s="11" customFormat="1" x14ac:dyDescent="0.3">
      <c r="H100" s="5" t="s">
        <v>434</v>
      </c>
      <c r="I100" s="39"/>
      <c r="J100" s="18"/>
      <c r="L100" s="44">
        <f>Table134567810111213141516171819202122232425262729[[#This Row],[الدولار]]+(Table134567810111213141516171819202122232425262729[[#This Row],[اللبناني]]/90)</f>
        <v>0</v>
      </c>
      <c r="M100" s="6"/>
    </row>
    <row r="101" spans="8:13" s="11" customFormat="1" x14ac:dyDescent="0.3">
      <c r="H101" s="5" t="s">
        <v>434</v>
      </c>
      <c r="I101" s="39"/>
      <c r="J101" s="18"/>
      <c r="L101" s="44">
        <f>Table134567810111213141516171819202122232425262729[[#This Row],[الدولار]]+(Table134567810111213141516171819202122232425262729[[#This Row],[اللبناني]]/90)</f>
        <v>0</v>
      </c>
      <c r="M101" s="6"/>
    </row>
    <row r="102" spans="8:13" s="11" customFormat="1" x14ac:dyDescent="0.3">
      <c r="H102" s="5" t="s">
        <v>434</v>
      </c>
      <c r="I102" s="39"/>
      <c r="J102" s="18"/>
      <c r="L102" s="44">
        <f>Table134567810111213141516171819202122232425262729[[#This Row],[الدولار]]+(Table134567810111213141516171819202122232425262729[[#This Row],[اللبناني]]/90)</f>
        <v>0</v>
      </c>
      <c r="M102" s="6"/>
    </row>
    <row r="103" spans="8:13" s="11" customFormat="1" x14ac:dyDescent="0.3">
      <c r="H103" s="5" t="s">
        <v>434</v>
      </c>
      <c r="I103" s="39"/>
      <c r="J103" s="18"/>
      <c r="L103" s="44">
        <f>Table134567810111213141516171819202122232425262729[[#This Row],[الدولار]]+(Table134567810111213141516171819202122232425262729[[#This Row],[اللبناني]]/90)</f>
        <v>0</v>
      </c>
      <c r="M103" s="6"/>
    </row>
    <row r="104" spans="8:13" s="11" customFormat="1" x14ac:dyDescent="0.3">
      <c r="H104" s="5" t="s">
        <v>434</v>
      </c>
      <c r="I104" s="39"/>
      <c r="J104" s="18"/>
      <c r="L104" s="44">
        <f>Table134567810111213141516171819202122232425262729[[#This Row],[الدولار]]+(Table134567810111213141516171819202122232425262729[[#This Row],[اللبناني]]/90)</f>
        <v>0</v>
      </c>
      <c r="M104" s="6"/>
    </row>
    <row r="105" spans="8:13" s="11" customFormat="1" x14ac:dyDescent="0.3">
      <c r="H105" s="5" t="s">
        <v>434</v>
      </c>
      <c r="I105" s="39"/>
      <c r="J105" s="18"/>
      <c r="L105" s="44">
        <f>Table134567810111213141516171819202122232425262729[[#This Row],[الدولار]]+(Table134567810111213141516171819202122232425262729[[#This Row],[اللبناني]]/90)</f>
        <v>0</v>
      </c>
      <c r="M105" s="6"/>
    </row>
    <row r="106" spans="8:13" s="11" customFormat="1" x14ac:dyDescent="0.3">
      <c r="H106" s="5" t="s">
        <v>434</v>
      </c>
      <c r="I106" s="39"/>
      <c r="J106" s="18"/>
      <c r="L106" s="44">
        <f>Table134567810111213141516171819202122232425262729[[#This Row],[الدولار]]+(Table134567810111213141516171819202122232425262729[[#This Row],[اللبناني]]/90)</f>
        <v>0</v>
      </c>
      <c r="M106" s="6"/>
    </row>
    <row r="107" spans="8:13" s="11" customFormat="1" x14ac:dyDescent="0.3">
      <c r="H107" s="5" t="s">
        <v>434</v>
      </c>
      <c r="I107" s="39"/>
      <c r="J107" s="18"/>
      <c r="L107" s="44">
        <f>Table134567810111213141516171819202122232425262729[[#This Row],[الدولار]]+(Table134567810111213141516171819202122232425262729[[#This Row],[اللبناني]]/90)</f>
        <v>0</v>
      </c>
      <c r="M107" s="6"/>
    </row>
    <row r="108" spans="8:13" s="11" customFormat="1" x14ac:dyDescent="0.3">
      <c r="H108" s="5" t="s">
        <v>434</v>
      </c>
      <c r="I108" s="39"/>
      <c r="J108" s="18"/>
      <c r="L108" s="44">
        <f>Table134567810111213141516171819202122232425262729[[#This Row],[الدولار]]+(Table134567810111213141516171819202122232425262729[[#This Row],[اللبناني]]/90)</f>
        <v>0</v>
      </c>
      <c r="M108" s="6"/>
    </row>
    <row r="109" spans="8:13" s="11" customFormat="1" x14ac:dyDescent="0.3">
      <c r="H109" s="5" t="s">
        <v>434</v>
      </c>
      <c r="I109" s="39"/>
      <c r="J109" s="18"/>
      <c r="L109" s="44">
        <f>Table134567810111213141516171819202122232425262729[[#This Row],[الدولار]]+(Table134567810111213141516171819202122232425262729[[#This Row],[اللبناني]]/90)</f>
        <v>0</v>
      </c>
      <c r="M109" s="6"/>
    </row>
    <row r="110" spans="8:13" s="11" customFormat="1" x14ac:dyDescent="0.3">
      <c r="H110" s="5" t="s">
        <v>434</v>
      </c>
      <c r="I110" s="39"/>
      <c r="J110" s="18"/>
      <c r="L110" s="44">
        <f>Table134567810111213141516171819202122232425262729[[#This Row],[الدولار]]+(Table134567810111213141516171819202122232425262729[[#This Row],[اللبناني]]/90)</f>
        <v>0</v>
      </c>
      <c r="M110" s="6"/>
    </row>
    <row r="111" spans="8:13" s="11" customFormat="1" x14ac:dyDescent="0.3">
      <c r="H111" s="5" t="s">
        <v>434</v>
      </c>
      <c r="I111" s="39"/>
      <c r="J111" s="18"/>
      <c r="L111" s="44">
        <f>Table134567810111213141516171819202122232425262729[[#This Row],[الدولار]]+(Table134567810111213141516171819202122232425262729[[#This Row],[اللبناني]]/90)</f>
        <v>0</v>
      </c>
      <c r="M111" s="6"/>
    </row>
    <row r="112" spans="8:13" s="11" customFormat="1" x14ac:dyDescent="0.3">
      <c r="H112" s="5" t="s">
        <v>434</v>
      </c>
      <c r="I112" s="39"/>
      <c r="J112" s="18"/>
      <c r="L112" s="44">
        <f>Table134567810111213141516171819202122232425262729[[#This Row],[الدولار]]+(Table134567810111213141516171819202122232425262729[[#This Row],[اللبناني]]/90)</f>
        <v>0</v>
      </c>
      <c r="M112" s="6"/>
    </row>
    <row r="113" spans="8:13" s="11" customFormat="1" x14ac:dyDescent="0.3">
      <c r="H113" s="5" t="s">
        <v>434</v>
      </c>
      <c r="I113" s="39"/>
      <c r="J113" s="18"/>
      <c r="L113" s="44">
        <f>Table134567810111213141516171819202122232425262729[[#This Row],[الدولار]]+(Table134567810111213141516171819202122232425262729[[#This Row],[اللبناني]]/90)</f>
        <v>0</v>
      </c>
      <c r="M113" s="6"/>
    </row>
    <row r="114" spans="8:13" s="11" customFormat="1" x14ac:dyDescent="0.3">
      <c r="H114" s="5" t="s">
        <v>434</v>
      </c>
      <c r="I114" s="39"/>
      <c r="J114" s="18"/>
      <c r="L114" s="44">
        <f>Table134567810111213141516171819202122232425262729[[#This Row],[الدولار]]+(Table134567810111213141516171819202122232425262729[[#This Row],[اللبناني]]/90)</f>
        <v>0</v>
      </c>
      <c r="M114" s="6"/>
    </row>
    <row r="115" spans="8:13" s="11" customFormat="1" x14ac:dyDescent="0.3">
      <c r="H115" s="5" t="s">
        <v>434</v>
      </c>
      <c r="I115" s="39"/>
      <c r="J115" s="18"/>
      <c r="L115" s="44">
        <f>Table134567810111213141516171819202122232425262729[[#This Row],[الدولار]]+(Table134567810111213141516171819202122232425262729[[#This Row],[اللبناني]]/90)</f>
        <v>0</v>
      </c>
      <c r="M115" s="6"/>
    </row>
    <row r="116" spans="8:13" s="11" customFormat="1" x14ac:dyDescent="0.3">
      <c r="H116" s="5" t="s">
        <v>434</v>
      </c>
      <c r="I116" s="39"/>
      <c r="J116" s="18"/>
      <c r="L116" s="44">
        <f>Table134567810111213141516171819202122232425262729[[#This Row],[الدولار]]+(Table134567810111213141516171819202122232425262729[[#This Row],[اللبناني]]/90)</f>
        <v>0</v>
      </c>
      <c r="M116" s="6"/>
    </row>
    <row r="117" spans="8:13" s="11" customFormat="1" x14ac:dyDescent="0.3">
      <c r="H117" s="5" t="s">
        <v>434</v>
      </c>
      <c r="I117" s="39"/>
      <c r="J117" s="18"/>
      <c r="L117" s="44">
        <f>Table134567810111213141516171819202122232425262729[[#This Row],[الدولار]]+(Table134567810111213141516171819202122232425262729[[#This Row],[اللبناني]]/90)</f>
        <v>0</v>
      </c>
      <c r="M117" s="6"/>
    </row>
    <row r="118" spans="8:13" s="11" customFormat="1" x14ac:dyDescent="0.3">
      <c r="H118" s="5" t="s">
        <v>434</v>
      </c>
      <c r="I118" s="39"/>
      <c r="J118" s="18"/>
      <c r="L118" s="44">
        <f>Table134567810111213141516171819202122232425262729[[#This Row],[الدولار]]+(Table134567810111213141516171819202122232425262729[[#This Row],[اللبناني]]/90)</f>
        <v>0</v>
      </c>
      <c r="M118" s="6"/>
    </row>
    <row r="119" spans="8:13" s="11" customFormat="1" x14ac:dyDescent="0.3">
      <c r="H119" s="5" t="s">
        <v>434</v>
      </c>
      <c r="I119" s="39"/>
      <c r="J119" s="18"/>
      <c r="L119" s="44">
        <f>Table134567810111213141516171819202122232425262729[[#This Row],[الدولار]]+(Table134567810111213141516171819202122232425262729[[#This Row],[اللبناني]]/90)</f>
        <v>0</v>
      </c>
      <c r="M119" s="6"/>
    </row>
    <row r="120" spans="8:13" s="11" customFormat="1" x14ac:dyDescent="0.3">
      <c r="H120" s="5" t="s">
        <v>434</v>
      </c>
      <c r="I120" s="39"/>
      <c r="J120" s="18"/>
      <c r="L120" s="44">
        <f>Table134567810111213141516171819202122232425262729[[#This Row],[الدولار]]+(Table134567810111213141516171819202122232425262729[[#This Row],[اللبناني]]/90)</f>
        <v>0</v>
      </c>
      <c r="M120" s="6"/>
    </row>
    <row r="121" spans="8:13" s="11" customFormat="1" x14ac:dyDescent="0.3">
      <c r="H121" s="5" t="s">
        <v>434</v>
      </c>
      <c r="I121" s="39"/>
      <c r="J121" s="18"/>
      <c r="L121" s="44">
        <f>Table134567810111213141516171819202122232425262729[[#This Row],[الدولار]]+(Table134567810111213141516171819202122232425262729[[#This Row],[اللبناني]]/90)</f>
        <v>0</v>
      </c>
      <c r="M121" s="6"/>
    </row>
    <row r="122" spans="8:13" s="11" customFormat="1" x14ac:dyDescent="0.3">
      <c r="H122" s="5" t="s">
        <v>434</v>
      </c>
      <c r="I122" s="39"/>
      <c r="J122" s="18"/>
      <c r="L122" s="44">
        <f>Table134567810111213141516171819202122232425262729[[#This Row],[الدولار]]+(Table134567810111213141516171819202122232425262729[[#This Row],[اللبناني]]/90)</f>
        <v>0</v>
      </c>
      <c r="M122" s="6"/>
    </row>
    <row r="123" spans="8:13" s="11" customFormat="1" x14ac:dyDescent="0.3">
      <c r="H123" s="5" t="s">
        <v>434</v>
      </c>
      <c r="I123" s="39"/>
      <c r="J123" s="18"/>
      <c r="L123" s="44">
        <f>Table134567810111213141516171819202122232425262729[[#This Row],[الدولار]]+(Table134567810111213141516171819202122232425262729[[#This Row],[اللبناني]]/90)</f>
        <v>0</v>
      </c>
      <c r="M123" s="6"/>
    </row>
    <row r="124" spans="8:13" s="11" customFormat="1" x14ac:dyDescent="0.3">
      <c r="H124" s="5" t="s">
        <v>434</v>
      </c>
      <c r="I124" s="39"/>
      <c r="J124" s="18"/>
      <c r="L124" s="44">
        <f>Table134567810111213141516171819202122232425262729[[#This Row],[الدولار]]+(Table134567810111213141516171819202122232425262729[[#This Row],[اللبناني]]/90)</f>
        <v>0</v>
      </c>
      <c r="M124" s="6"/>
    </row>
    <row r="125" spans="8:13" s="11" customFormat="1" x14ac:dyDescent="0.3">
      <c r="H125" s="5" t="s">
        <v>434</v>
      </c>
      <c r="I125" s="39"/>
      <c r="J125" s="18"/>
      <c r="L125" s="44">
        <f>Table134567810111213141516171819202122232425262729[[#This Row],[الدولار]]+(Table134567810111213141516171819202122232425262729[[#This Row],[اللبناني]]/90)</f>
        <v>0</v>
      </c>
      <c r="M125" s="6"/>
    </row>
    <row r="126" spans="8:13" s="11" customFormat="1" x14ac:dyDescent="0.3">
      <c r="H126" s="5" t="s">
        <v>434</v>
      </c>
      <c r="I126" s="39"/>
      <c r="J126" s="18"/>
      <c r="L126" s="44">
        <f>Table134567810111213141516171819202122232425262729[[#This Row],[الدولار]]+(Table134567810111213141516171819202122232425262729[[#This Row],[اللبناني]]/90)</f>
        <v>0</v>
      </c>
      <c r="M126" s="6"/>
    </row>
    <row r="127" spans="8:13" s="11" customFormat="1" x14ac:dyDescent="0.3">
      <c r="H127" s="5" t="s">
        <v>434</v>
      </c>
      <c r="I127" s="39"/>
      <c r="J127" s="18"/>
      <c r="L127" s="44">
        <f>Table134567810111213141516171819202122232425262729[[#This Row],[الدولار]]+(Table134567810111213141516171819202122232425262729[[#This Row],[اللبناني]]/90)</f>
        <v>0</v>
      </c>
      <c r="M127" s="6"/>
    </row>
    <row r="128" spans="8:13" s="11" customFormat="1" x14ac:dyDescent="0.3">
      <c r="H128" s="5" t="s">
        <v>434</v>
      </c>
      <c r="I128" s="39"/>
      <c r="J128" s="18"/>
      <c r="L128" s="44">
        <f>Table134567810111213141516171819202122232425262729[[#This Row],[الدولار]]+(Table134567810111213141516171819202122232425262729[[#This Row],[اللبناني]]/90)</f>
        <v>0</v>
      </c>
      <c r="M128" s="6"/>
    </row>
    <row r="129" spans="8:13" s="11" customFormat="1" x14ac:dyDescent="0.3">
      <c r="H129" s="5" t="s">
        <v>434</v>
      </c>
      <c r="I129" s="39"/>
      <c r="J129" s="18"/>
      <c r="L129" s="44">
        <f>Table134567810111213141516171819202122232425262729[[#This Row],[الدولار]]+(Table134567810111213141516171819202122232425262729[[#This Row],[اللبناني]]/90)</f>
        <v>0</v>
      </c>
      <c r="M129" s="6"/>
    </row>
    <row r="130" spans="8:13" s="11" customFormat="1" x14ac:dyDescent="0.3">
      <c r="H130" s="5" t="s">
        <v>434</v>
      </c>
      <c r="I130" s="39"/>
      <c r="J130" s="18"/>
      <c r="L130" s="44">
        <f>Table134567810111213141516171819202122232425262729[[#This Row],[الدولار]]+(Table134567810111213141516171819202122232425262729[[#This Row],[اللبناني]]/90)</f>
        <v>0</v>
      </c>
      <c r="M130" s="6"/>
    </row>
    <row r="131" spans="8:13" s="11" customFormat="1" x14ac:dyDescent="0.3">
      <c r="H131" s="5" t="s">
        <v>434</v>
      </c>
      <c r="I131" s="39"/>
      <c r="J131" s="18"/>
      <c r="L131" s="44">
        <f>Table134567810111213141516171819202122232425262729[[#This Row],[الدولار]]+(Table134567810111213141516171819202122232425262729[[#This Row],[اللبناني]]/90)</f>
        <v>0</v>
      </c>
      <c r="M131" s="6"/>
    </row>
    <row r="132" spans="8:13" s="11" customFormat="1" x14ac:dyDescent="0.3">
      <c r="H132" s="5" t="s">
        <v>434</v>
      </c>
      <c r="I132" s="39"/>
      <c r="J132" s="18"/>
      <c r="L132" s="44">
        <f>Table134567810111213141516171819202122232425262729[[#This Row],[الدولار]]+(Table134567810111213141516171819202122232425262729[[#This Row],[اللبناني]]/90)</f>
        <v>0</v>
      </c>
      <c r="M132" s="6"/>
    </row>
    <row r="133" spans="8:13" s="11" customFormat="1" x14ac:dyDescent="0.3">
      <c r="H133" s="5" t="s">
        <v>434</v>
      </c>
      <c r="I133" s="39"/>
      <c r="J133" s="18"/>
      <c r="L133" s="44">
        <f>Table134567810111213141516171819202122232425262729[[#This Row],[الدولار]]+(Table134567810111213141516171819202122232425262729[[#This Row],[اللبناني]]/90)</f>
        <v>0</v>
      </c>
      <c r="M133" s="6"/>
    </row>
    <row r="134" spans="8:13" s="11" customFormat="1" x14ac:dyDescent="0.3">
      <c r="H134" s="5" t="s">
        <v>434</v>
      </c>
      <c r="I134" s="39"/>
      <c r="J134" s="18"/>
      <c r="L134" s="44">
        <f>Table134567810111213141516171819202122232425262729[[#This Row],[الدولار]]+(Table134567810111213141516171819202122232425262729[[#This Row],[اللبناني]]/90)</f>
        <v>0</v>
      </c>
      <c r="M134" s="6"/>
    </row>
    <row r="135" spans="8:13" s="11" customFormat="1" x14ac:dyDescent="0.3">
      <c r="H135" s="5" t="s">
        <v>434</v>
      </c>
      <c r="I135" s="39"/>
      <c r="J135" s="18"/>
      <c r="L135" s="44">
        <f>Table134567810111213141516171819202122232425262729[[#This Row],[الدولار]]+(Table134567810111213141516171819202122232425262729[[#This Row],[اللبناني]]/90)</f>
        <v>0</v>
      </c>
      <c r="M135" s="6"/>
    </row>
    <row r="136" spans="8:13" s="11" customFormat="1" x14ac:dyDescent="0.3">
      <c r="H136" s="5" t="s">
        <v>434</v>
      </c>
      <c r="I136" s="39"/>
      <c r="J136" s="18"/>
      <c r="L136" s="44">
        <f>Table134567810111213141516171819202122232425262729[[#This Row],[الدولار]]+(Table134567810111213141516171819202122232425262729[[#This Row],[اللبناني]]/90)</f>
        <v>0</v>
      </c>
      <c r="M136" s="6"/>
    </row>
    <row r="137" spans="8:13" s="11" customFormat="1" x14ac:dyDescent="0.3">
      <c r="H137" s="5" t="s">
        <v>434</v>
      </c>
      <c r="I137" s="39"/>
      <c r="J137" s="18"/>
      <c r="L137" s="44">
        <f>Table134567810111213141516171819202122232425262729[[#This Row],[الدولار]]+(Table134567810111213141516171819202122232425262729[[#This Row],[اللبناني]]/90)</f>
        <v>0</v>
      </c>
      <c r="M137" s="6"/>
    </row>
    <row r="138" spans="8:13" s="11" customFormat="1" x14ac:dyDescent="0.3">
      <c r="H138" s="5" t="s">
        <v>434</v>
      </c>
      <c r="I138" s="39"/>
      <c r="J138" s="18"/>
      <c r="L138" s="44">
        <f>Table134567810111213141516171819202122232425262729[[#This Row],[الدولار]]+(Table134567810111213141516171819202122232425262729[[#This Row],[اللبناني]]/90)</f>
        <v>0</v>
      </c>
      <c r="M138" s="6"/>
    </row>
    <row r="139" spans="8:13" s="11" customFormat="1" x14ac:dyDescent="0.3">
      <c r="H139" s="5" t="s">
        <v>434</v>
      </c>
      <c r="I139" s="39"/>
      <c r="J139" s="18"/>
      <c r="L139" s="44">
        <f>Table134567810111213141516171819202122232425262729[[#This Row],[الدولار]]+(Table134567810111213141516171819202122232425262729[[#This Row],[اللبناني]]/90)</f>
        <v>0</v>
      </c>
      <c r="M139" s="6"/>
    </row>
    <row r="140" spans="8:13" s="11" customFormat="1" x14ac:dyDescent="0.3">
      <c r="H140" s="5" t="s">
        <v>434</v>
      </c>
      <c r="I140" s="39"/>
      <c r="J140" s="18"/>
      <c r="L140" s="44">
        <f>Table134567810111213141516171819202122232425262729[[#This Row],[الدولار]]+(Table134567810111213141516171819202122232425262729[[#This Row],[اللبناني]]/90)</f>
        <v>0</v>
      </c>
      <c r="M140" s="6"/>
    </row>
    <row r="141" spans="8:13" s="11" customFormat="1" x14ac:dyDescent="0.3">
      <c r="H141" s="5" t="s">
        <v>434</v>
      </c>
      <c r="I141" s="39"/>
      <c r="J141" s="18"/>
      <c r="L141" s="44">
        <f>Table134567810111213141516171819202122232425262729[[#This Row],[الدولار]]+(Table134567810111213141516171819202122232425262729[[#This Row],[اللبناني]]/90)</f>
        <v>0</v>
      </c>
      <c r="M141" s="6"/>
    </row>
    <row r="142" spans="8:13" s="11" customFormat="1" x14ac:dyDescent="0.3">
      <c r="H142" s="5" t="s">
        <v>434</v>
      </c>
      <c r="I142" s="39"/>
      <c r="J142" s="18"/>
      <c r="L142" s="44">
        <f>Table134567810111213141516171819202122232425262729[[#This Row],[الدولار]]+(Table134567810111213141516171819202122232425262729[[#This Row],[اللبناني]]/90)</f>
        <v>0</v>
      </c>
      <c r="M142" s="6"/>
    </row>
    <row r="143" spans="8:13" s="11" customFormat="1" x14ac:dyDescent="0.3">
      <c r="H143" s="5" t="s">
        <v>434</v>
      </c>
      <c r="I143" s="39"/>
      <c r="J143" s="18"/>
      <c r="L143" s="44">
        <f>Table134567810111213141516171819202122232425262729[[#This Row],[الدولار]]+(Table134567810111213141516171819202122232425262729[[#This Row],[اللبناني]]/90)</f>
        <v>0</v>
      </c>
      <c r="M143" s="6"/>
    </row>
    <row r="144" spans="8:13" s="11" customFormat="1" x14ac:dyDescent="0.3">
      <c r="H144" s="5" t="s">
        <v>434</v>
      </c>
      <c r="I144" s="39"/>
      <c r="J144" s="18"/>
      <c r="L144" s="44">
        <f>Table134567810111213141516171819202122232425262729[[#This Row],[الدولار]]+(Table134567810111213141516171819202122232425262729[[#This Row],[اللبناني]]/90)</f>
        <v>0</v>
      </c>
      <c r="M144" s="6"/>
    </row>
    <row r="145" spans="8:13" s="11" customFormat="1" x14ac:dyDescent="0.3">
      <c r="H145" s="5" t="s">
        <v>434</v>
      </c>
      <c r="I145" s="39"/>
      <c r="J145" s="18"/>
      <c r="L145" s="44">
        <f>Table134567810111213141516171819202122232425262729[[#This Row],[الدولار]]+(Table134567810111213141516171819202122232425262729[[#This Row],[اللبناني]]/90)</f>
        <v>0</v>
      </c>
      <c r="M145" s="6"/>
    </row>
    <row r="146" spans="8:13" s="11" customFormat="1" x14ac:dyDescent="0.3">
      <c r="H146" s="5" t="s">
        <v>434</v>
      </c>
      <c r="I146" s="39"/>
      <c r="J146" s="18"/>
      <c r="L146" s="44">
        <f>Table134567810111213141516171819202122232425262729[[#This Row],[الدولار]]+(Table134567810111213141516171819202122232425262729[[#This Row],[اللبناني]]/90)</f>
        <v>0</v>
      </c>
      <c r="M146" s="6"/>
    </row>
    <row r="147" spans="8:13" s="11" customFormat="1" x14ac:dyDescent="0.3">
      <c r="H147" s="5" t="s">
        <v>434</v>
      </c>
      <c r="I147" s="39"/>
      <c r="J147" s="18"/>
      <c r="L147" s="44">
        <f>Table134567810111213141516171819202122232425262729[[#This Row],[الدولار]]+(Table134567810111213141516171819202122232425262729[[#This Row],[اللبناني]]/90)</f>
        <v>0</v>
      </c>
      <c r="M147" s="6"/>
    </row>
    <row r="148" spans="8:13" s="11" customFormat="1" x14ac:dyDescent="0.3">
      <c r="H148" s="5" t="s">
        <v>434</v>
      </c>
      <c r="I148" s="39"/>
      <c r="J148" s="18"/>
      <c r="L148" s="44">
        <f>Table134567810111213141516171819202122232425262729[[#This Row],[الدولار]]+(Table134567810111213141516171819202122232425262729[[#This Row],[اللبناني]]/90)</f>
        <v>0</v>
      </c>
      <c r="M148" s="6"/>
    </row>
    <row r="149" spans="8:13" s="11" customFormat="1" x14ac:dyDescent="0.3">
      <c r="H149" s="5" t="s">
        <v>434</v>
      </c>
      <c r="I149" s="39"/>
      <c r="J149" s="18"/>
      <c r="L149" s="44">
        <f>Table134567810111213141516171819202122232425262729[[#This Row],[الدولار]]+(Table134567810111213141516171819202122232425262729[[#This Row],[اللبناني]]/90)</f>
        <v>0</v>
      </c>
      <c r="M149" s="6"/>
    </row>
    <row r="150" spans="8:13" s="11" customFormat="1" x14ac:dyDescent="0.3">
      <c r="H150" s="5" t="s">
        <v>434</v>
      </c>
      <c r="I150" s="39"/>
      <c r="J150" s="18"/>
      <c r="L150" s="44">
        <f>Table134567810111213141516171819202122232425262729[[#This Row],[الدولار]]+(Table134567810111213141516171819202122232425262729[[#This Row],[اللبناني]]/90)</f>
        <v>0</v>
      </c>
      <c r="M150" s="6"/>
    </row>
    <row r="151" spans="8:13" s="11" customFormat="1" x14ac:dyDescent="0.3">
      <c r="H151" s="5" t="s">
        <v>434</v>
      </c>
      <c r="I151" s="39"/>
      <c r="J151" s="18"/>
      <c r="L151" s="44">
        <f>Table134567810111213141516171819202122232425262729[[#This Row],[الدولار]]+(Table134567810111213141516171819202122232425262729[[#This Row],[اللبناني]]/90)</f>
        <v>0</v>
      </c>
      <c r="M151" s="6"/>
    </row>
    <row r="152" spans="8:13" s="11" customFormat="1" x14ac:dyDescent="0.3">
      <c r="H152" s="5" t="s">
        <v>434</v>
      </c>
      <c r="I152" s="39"/>
      <c r="J152" s="18"/>
      <c r="L152" s="44">
        <f>Table134567810111213141516171819202122232425262729[[#This Row],[الدولار]]+(Table134567810111213141516171819202122232425262729[[#This Row],[اللبناني]]/90)</f>
        <v>0</v>
      </c>
      <c r="M152" s="6"/>
    </row>
    <row r="153" spans="8:13" s="11" customFormat="1" x14ac:dyDescent="0.3">
      <c r="H153" s="5" t="s">
        <v>434</v>
      </c>
      <c r="I153" s="39"/>
      <c r="J153" s="18"/>
      <c r="L153" s="44">
        <f>Table134567810111213141516171819202122232425262729[[#This Row],[الدولار]]+(Table134567810111213141516171819202122232425262729[[#This Row],[اللبناني]]/90)</f>
        <v>0</v>
      </c>
      <c r="M153" s="6"/>
    </row>
    <row r="154" spans="8:13" s="11" customFormat="1" x14ac:dyDescent="0.3">
      <c r="H154" s="5" t="s">
        <v>434</v>
      </c>
      <c r="I154" s="39"/>
      <c r="J154" s="18"/>
      <c r="L154" s="44">
        <f>Table134567810111213141516171819202122232425262729[[#This Row],[الدولار]]+(Table134567810111213141516171819202122232425262729[[#This Row],[اللبناني]]/90)</f>
        <v>0</v>
      </c>
      <c r="M154" s="6"/>
    </row>
    <row r="155" spans="8:13" s="11" customFormat="1" x14ac:dyDescent="0.3">
      <c r="H155" s="5" t="s">
        <v>434</v>
      </c>
      <c r="I155" s="39"/>
      <c r="J155" s="18"/>
      <c r="L155" s="44">
        <f>Table134567810111213141516171819202122232425262729[[#This Row],[الدولار]]+(Table134567810111213141516171819202122232425262729[[#This Row],[اللبناني]]/90)</f>
        <v>0</v>
      </c>
      <c r="M155" s="6"/>
    </row>
    <row r="156" spans="8:13" s="11" customFormat="1" x14ac:dyDescent="0.3">
      <c r="H156" s="5" t="s">
        <v>434</v>
      </c>
      <c r="I156" s="39"/>
      <c r="J156" s="18"/>
      <c r="L156" s="44">
        <f>Table134567810111213141516171819202122232425262729[[#This Row],[الدولار]]+(Table134567810111213141516171819202122232425262729[[#This Row],[اللبناني]]/90)</f>
        <v>0</v>
      </c>
      <c r="M156" s="6"/>
    </row>
    <row r="157" spans="8:13" s="11" customFormat="1" x14ac:dyDescent="0.3">
      <c r="H157" s="5" t="s">
        <v>434</v>
      </c>
      <c r="I157" s="39"/>
      <c r="J157" s="18"/>
      <c r="L157" s="44">
        <f>Table134567810111213141516171819202122232425262729[[#This Row],[الدولار]]+(Table134567810111213141516171819202122232425262729[[#This Row],[اللبناني]]/90)</f>
        <v>0</v>
      </c>
      <c r="M157" s="6"/>
    </row>
    <row r="158" spans="8:13" s="11" customFormat="1" x14ac:dyDescent="0.3">
      <c r="H158" s="5" t="s">
        <v>434</v>
      </c>
      <c r="I158" s="39"/>
      <c r="J158" s="18"/>
      <c r="L158" s="44">
        <f>Table134567810111213141516171819202122232425262729[[#This Row],[الدولار]]+(Table134567810111213141516171819202122232425262729[[#This Row],[اللبناني]]/90)</f>
        <v>0</v>
      </c>
      <c r="M158" s="6"/>
    </row>
    <row r="159" spans="8:13" s="11" customFormat="1" x14ac:dyDescent="0.3">
      <c r="H159" s="5" t="s">
        <v>434</v>
      </c>
      <c r="I159" s="39"/>
      <c r="J159" s="18"/>
      <c r="L159" s="44">
        <f>Table134567810111213141516171819202122232425262729[[#This Row],[الدولار]]+(Table134567810111213141516171819202122232425262729[[#This Row],[اللبناني]]/90)</f>
        <v>0</v>
      </c>
      <c r="M159" s="6"/>
    </row>
    <row r="160" spans="8:13" s="11" customFormat="1" x14ac:dyDescent="0.3">
      <c r="H160" s="5" t="s">
        <v>434</v>
      </c>
      <c r="I160" s="39"/>
      <c r="J160" s="18"/>
      <c r="L160" s="44">
        <f>Table134567810111213141516171819202122232425262729[[#This Row],[الدولار]]+(Table134567810111213141516171819202122232425262729[[#This Row],[اللبناني]]/90)</f>
        <v>0</v>
      </c>
      <c r="M160" s="6"/>
    </row>
    <row r="161" spans="8:13" s="11" customFormat="1" x14ac:dyDescent="0.3">
      <c r="H161" s="5" t="s">
        <v>434</v>
      </c>
      <c r="I161" s="39"/>
      <c r="J161" s="18"/>
      <c r="L161" s="44">
        <f>Table134567810111213141516171819202122232425262729[[#This Row],[الدولار]]+(Table134567810111213141516171819202122232425262729[[#This Row],[اللبناني]]/90)</f>
        <v>0</v>
      </c>
      <c r="M161" s="6"/>
    </row>
    <row r="162" spans="8:13" s="11" customFormat="1" x14ac:dyDescent="0.3">
      <c r="H162" s="5" t="s">
        <v>434</v>
      </c>
      <c r="I162" s="39"/>
      <c r="J162" s="18"/>
      <c r="L162" s="44">
        <f>Table134567810111213141516171819202122232425262729[[#This Row],[الدولار]]+(Table134567810111213141516171819202122232425262729[[#This Row],[اللبناني]]/90)</f>
        <v>0</v>
      </c>
      <c r="M162" s="6"/>
    </row>
    <row r="163" spans="8:13" s="11" customFormat="1" x14ac:dyDescent="0.3">
      <c r="H163" s="5" t="s">
        <v>434</v>
      </c>
      <c r="I163" s="39"/>
      <c r="J163" s="18"/>
      <c r="L163" s="44">
        <f>Table134567810111213141516171819202122232425262729[[#This Row],[الدولار]]+(Table134567810111213141516171819202122232425262729[[#This Row],[اللبناني]]/90)</f>
        <v>0</v>
      </c>
      <c r="M163" s="6"/>
    </row>
    <row r="164" spans="8:13" s="11" customFormat="1" x14ac:dyDescent="0.3">
      <c r="H164" s="5" t="s">
        <v>434</v>
      </c>
      <c r="I164" s="39"/>
      <c r="J164" s="18"/>
      <c r="L164" s="44">
        <f>Table134567810111213141516171819202122232425262729[[#This Row],[الدولار]]+(Table134567810111213141516171819202122232425262729[[#This Row],[اللبناني]]/90)</f>
        <v>0</v>
      </c>
      <c r="M164" s="6"/>
    </row>
    <row r="165" spans="8:13" s="11" customFormat="1" x14ac:dyDescent="0.3">
      <c r="H165" s="5" t="s">
        <v>434</v>
      </c>
      <c r="I165" s="39"/>
      <c r="J165" s="18"/>
      <c r="L165" s="44">
        <f>Table134567810111213141516171819202122232425262729[[#This Row],[الدولار]]+(Table134567810111213141516171819202122232425262729[[#This Row],[اللبناني]]/90)</f>
        <v>0</v>
      </c>
      <c r="M165" s="6"/>
    </row>
    <row r="166" spans="8:13" s="11" customFormat="1" x14ac:dyDescent="0.3">
      <c r="H166" s="5" t="s">
        <v>434</v>
      </c>
      <c r="I166" s="39"/>
      <c r="J166" s="18"/>
      <c r="L166" s="44">
        <f>Table134567810111213141516171819202122232425262729[[#This Row],[الدولار]]+(Table134567810111213141516171819202122232425262729[[#This Row],[اللبناني]]/90)</f>
        <v>0</v>
      </c>
      <c r="M166" s="6"/>
    </row>
    <row r="167" spans="8:13" s="11" customFormat="1" x14ac:dyDescent="0.3">
      <c r="H167" s="5" t="s">
        <v>434</v>
      </c>
      <c r="I167" s="39"/>
      <c r="J167" s="18"/>
      <c r="L167" s="44">
        <f>Table134567810111213141516171819202122232425262729[[#This Row],[الدولار]]+(Table134567810111213141516171819202122232425262729[[#This Row],[اللبناني]]/90)</f>
        <v>0</v>
      </c>
      <c r="M167" s="6"/>
    </row>
    <row r="168" spans="8:13" s="11" customFormat="1" x14ac:dyDescent="0.3">
      <c r="H168" s="5" t="s">
        <v>434</v>
      </c>
      <c r="I168" s="39"/>
      <c r="J168" s="18"/>
      <c r="L168" s="44">
        <f>Table134567810111213141516171819202122232425262729[[#This Row],[الدولار]]+(Table134567810111213141516171819202122232425262729[[#This Row],[اللبناني]]/90)</f>
        <v>0</v>
      </c>
      <c r="M168" s="6"/>
    </row>
    <row r="169" spans="8:13" s="11" customFormat="1" x14ac:dyDescent="0.3">
      <c r="H169" s="5" t="s">
        <v>434</v>
      </c>
      <c r="I169" s="39"/>
      <c r="J169" s="18"/>
      <c r="L169" s="44">
        <f>Table134567810111213141516171819202122232425262729[[#This Row],[الدولار]]+(Table134567810111213141516171819202122232425262729[[#This Row],[اللبناني]]/90)</f>
        <v>0</v>
      </c>
      <c r="M169" s="6"/>
    </row>
    <row r="170" spans="8:13" s="11" customFormat="1" x14ac:dyDescent="0.3">
      <c r="H170" s="5" t="s">
        <v>434</v>
      </c>
      <c r="I170" s="39"/>
      <c r="J170" s="18"/>
      <c r="L170" s="44">
        <f>Table134567810111213141516171819202122232425262729[[#This Row],[الدولار]]+(Table134567810111213141516171819202122232425262729[[#This Row],[اللبناني]]/90)</f>
        <v>0</v>
      </c>
      <c r="M170" s="6"/>
    </row>
    <row r="171" spans="8:13" s="11" customFormat="1" x14ac:dyDescent="0.3">
      <c r="H171" s="5" t="s">
        <v>434</v>
      </c>
      <c r="I171" s="39"/>
      <c r="J171" s="18"/>
      <c r="L171" s="44">
        <f>Table134567810111213141516171819202122232425262729[[#This Row],[الدولار]]+(Table134567810111213141516171819202122232425262729[[#This Row],[اللبناني]]/90)</f>
        <v>0</v>
      </c>
      <c r="M171" s="6"/>
    </row>
    <row r="172" spans="8:13" s="11" customFormat="1" x14ac:dyDescent="0.3">
      <c r="H172" s="5" t="s">
        <v>434</v>
      </c>
      <c r="I172" s="39"/>
      <c r="J172" s="18"/>
      <c r="L172" s="44">
        <f>Table134567810111213141516171819202122232425262729[[#This Row],[الدولار]]+(Table134567810111213141516171819202122232425262729[[#This Row],[اللبناني]]/90)</f>
        <v>0</v>
      </c>
      <c r="M172" s="6"/>
    </row>
    <row r="173" spans="8:13" s="11" customFormat="1" x14ac:dyDescent="0.3">
      <c r="H173" s="5" t="s">
        <v>434</v>
      </c>
      <c r="I173" s="39"/>
      <c r="J173" s="18"/>
      <c r="L173" s="44">
        <f>Table134567810111213141516171819202122232425262729[[#This Row],[الدولار]]+(Table134567810111213141516171819202122232425262729[[#This Row],[اللبناني]]/90)</f>
        <v>0</v>
      </c>
      <c r="M173" s="6"/>
    </row>
    <row r="174" spans="8:13" s="11" customFormat="1" x14ac:dyDescent="0.3">
      <c r="H174" s="5" t="s">
        <v>434</v>
      </c>
      <c r="I174" s="39"/>
      <c r="J174" s="18"/>
      <c r="L174" s="44">
        <f>Table134567810111213141516171819202122232425262729[[#This Row],[الدولار]]+(Table134567810111213141516171819202122232425262729[[#This Row],[اللبناني]]/90)</f>
        <v>0</v>
      </c>
      <c r="M174" s="6"/>
    </row>
    <row r="175" spans="8:13" s="11" customFormat="1" x14ac:dyDescent="0.3">
      <c r="H175" s="5" t="s">
        <v>434</v>
      </c>
      <c r="I175" s="39"/>
      <c r="J175" s="18"/>
      <c r="L175" s="44">
        <f>Table134567810111213141516171819202122232425262729[[#This Row],[الدولار]]+(Table134567810111213141516171819202122232425262729[[#This Row],[اللبناني]]/90)</f>
        <v>0</v>
      </c>
      <c r="M175" s="6"/>
    </row>
    <row r="176" spans="8:13" s="11" customFormat="1" x14ac:dyDescent="0.3">
      <c r="H176" s="5" t="s">
        <v>434</v>
      </c>
      <c r="I176" s="39"/>
      <c r="J176" s="18"/>
      <c r="L176" s="44">
        <f>Table134567810111213141516171819202122232425262729[[#This Row],[الدولار]]+(Table134567810111213141516171819202122232425262729[[#This Row],[اللبناني]]/90)</f>
        <v>0</v>
      </c>
      <c r="M176" s="6"/>
    </row>
    <row r="177" spans="8:13" s="11" customFormat="1" x14ac:dyDescent="0.3">
      <c r="H177" s="5" t="s">
        <v>434</v>
      </c>
      <c r="I177" s="39"/>
      <c r="J177" s="18"/>
      <c r="L177" s="44">
        <f>Table134567810111213141516171819202122232425262729[[#This Row],[الدولار]]+(Table134567810111213141516171819202122232425262729[[#This Row],[اللبناني]]/90)</f>
        <v>0</v>
      </c>
      <c r="M177" s="6"/>
    </row>
    <row r="178" spans="8:13" s="11" customFormat="1" x14ac:dyDescent="0.3">
      <c r="H178" s="5" t="s">
        <v>434</v>
      </c>
      <c r="I178" s="39"/>
      <c r="J178" s="18"/>
      <c r="L178" s="44">
        <f>Table134567810111213141516171819202122232425262729[[#This Row],[الدولار]]+(Table134567810111213141516171819202122232425262729[[#This Row],[اللبناني]]/90)</f>
        <v>0</v>
      </c>
      <c r="M178" s="6"/>
    </row>
    <row r="179" spans="8:13" s="11" customFormat="1" x14ac:dyDescent="0.3">
      <c r="H179" s="5" t="s">
        <v>434</v>
      </c>
      <c r="I179" s="39"/>
      <c r="J179" s="18"/>
      <c r="L179" s="44">
        <f>Table134567810111213141516171819202122232425262729[[#This Row],[الدولار]]+(Table134567810111213141516171819202122232425262729[[#This Row],[اللبناني]]/90)</f>
        <v>0</v>
      </c>
      <c r="M179" s="6"/>
    </row>
    <row r="180" spans="8:13" s="11" customFormat="1" x14ac:dyDescent="0.3">
      <c r="H180" s="5" t="s">
        <v>434</v>
      </c>
      <c r="I180" s="39"/>
      <c r="J180" s="18"/>
      <c r="L180" s="44">
        <f>Table134567810111213141516171819202122232425262729[[#This Row],[الدولار]]+(Table134567810111213141516171819202122232425262729[[#This Row],[اللبناني]]/90)</f>
        <v>0</v>
      </c>
      <c r="M180" s="6"/>
    </row>
    <row r="181" spans="8:13" s="11" customFormat="1" x14ac:dyDescent="0.3">
      <c r="H181" s="5" t="s">
        <v>434</v>
      </c>
      <c r="I181" s="39"/>
      <c r="J181" s="18"/>
      <c r="L181" s="44">
        <f>Table134567810111213141516171819202122232425262729[[#This Row],[الدولار]]+(Table134567810111213141516171819202122232425262729[[#This Row],[اللبناني]]/90)</f>
        <v>0</v>
      </c>
      <c r="M181" s="6"/>
    </row>
    <row r="182" spans="8:13" s="11" customFormat="1" x14ac:dyDescent="0.3">
      <c r="H182" s="5" t="s">
        <v>434</v>
      </c>
      <c r="I182" s="39"/>
      <c r="J182" s="18"/>
      <c r="L182" s="44">
        <f>Table134567810111213141516171819202122232425262729[[#This Row],[الدولار]]+(Table134567810111213141516171819202122232425262729[[#This Row],[اللبناني]]/90)</f>
        <v>0</v>
      </c>
      <c r="M182" s="6"/>
    </row>
    <row r="183" spans="8:13" s="11" customFormat="1" x14ac:dyDescent="0.3">
      <c r="H183" s="5" t="s">
        <v>434</v>
      </c>
      <c r="I183" s="39"/>
      <c r="J183" s="18"/>
      <c r="L183" s="44">
        <f>Table134567810111213141516171819202122232425262729[[#This Row],[الدولار]]+(Table134567810111213141516171819202122232425262729[[#This Row],[اللبناني]]/90)</f>
        <v>0</v>
      </c>
      <c r="M183" s="6"/>
    </row>
    <row r="184" spans="8:13" s="11" customFormat="1" x14ac:dyDescent="0.3">
      <c r="H184" s="5" t="s">
        <v>434</v>
      </c>
      <c r="I184" s="39"/>
      <c r="J184" s="18"/>
      <c r="L184" s="44">
        <f>Table134567810111213141516171819202122232425262729[[#This Row],[الدولار]]+(Table134567810111213141516171819202122232425262729[[#This Row],[اللبناني]]/90)</f>
        <v>0</v>
      </c>
      <c r="M184" s="6"/>
    </row>
    <row r="185" spans="8:13" s="11" customFormat="1" x14ac:dyDescent="0.3">
      <c r="H185" s="5" t="s">
        <v>434</v>
      </c>
      <c r="I185" s="39"/>
      <c r="J185" s="18"/>
      <c r="L185" s="44">
        <f>Table134567810111213141516171819202122232425262729[[#This Row],[الدولار]]+(Table134567810111213141516171819202122232425262729[[#This Row],[اللبناني]]/90)</f>
        <v>0</v>
      </c>
      <c r="M185" s="6"/>
    </row>
    <row r="186" spans="8:13" s="11" customFormat="1" x14ac:dyDescent="0.3">
      <c r="H186" s="5" t="s">
        <v>434</v>
      </c>
      <c r="I186" s="39"/>
      <c r="J186" s="18"/>
      <c r="L186" s="44">
        <f>Table134567810111213141516171819202122232425262729[[#This Row],[الدولار]]+(Table134567810111213141516171819202122232425262729[[#This Row],[اللبناني]]/90)</f>
        <v>0</v>
      </c>
      <c r="M186" s="6"/>
    </row>
    <row r="187" spans="8:13" s="11" customFormat="1" x14ac:dyDescent="0.3">
      <c r="H187" s="5" t="s">
        <v>434</v>
      </c>
      <c r="I187" s="39"/>
      <c r="J187" s="18"/>
      <c r="L187" s="44">
        <f>Table134567810111213141516171819202122232425262729[[#This Row],[الدولار]]+(Table134567810111213141516171819202122232425262729[[#This Row],[اللبناني]]/90)</f>
        <v>0</v>
      </c>
      <c r="M187" s="6"/>
    </row>
    <row r="188" spans="8:13" s="11" customFormat="1" x14ac:dyDescent="0.3">
      <c r="H188" s="5" t="s">
        <v>434</v>
      </c>
      <c r="I188" s="39"/>
      <c r="J188" s="18"/>
      <c r="L188" s="44">
        <f>Table134567810111213141516171819202122232425262729[[#This Row],[الدولار]]+(Table134567810111213141516171819202122232425262729[[#This Row],[اللبناني]]/90)</f>
        <v>0</v>
      </c>
      <c r="M188" s="6"/>
    </row>
    <row r="189" spans="8:13" s="11" customFormat="1" x14ac:dyDescent="0.3">
      <c r="H189" s="5" t="s">
        <v>434</v>
      </c>
      <c r="I189" s="39"/>
      <c r="J189" s="18"/>
      <c r="L189" s="44">
        <f>Table134567810111213141516171819202122232425262729[[#This Row],[الدولار]]+(Table134567810111213141516171819202122232425262729[[#This Row],[اللبناني]]/90)</f>
        <v>0</v>
      </c>
      <c r="M189" s="6"/>
    </row>
    <row r="190" spans="8:13" s="11" customFormat="1" x14ac:dyDescent="0.3">
      <c r="H190" s="5" t="s">
        <v>434</v>
      </c>
      <c r="I190" s="39"/>
      <c r="J190" s="18"/>
      <c r="L190" s="44">
        <f>Table134567810111213141516171819202122232425262729[[#This Row],[الدولار]]+(Table134567810111213141516171819202122232425262729[[#This Row],[اللبناني]]/90)</f>
        <v>0</v>
      </c>
      <c r="M190" s="6"/>
    </row>
    <row r="191" spans="8:13" s="11" customFormat="1" x14ac:dyDescent="0.3">
      <c r="H191" s="5" t="s">
        <v>434</v>
      </c>
      <c r="I191" s="39"/>
      <c r="J191" s="18"/>
      <c r="L191" s="44">
        <f>Table134567810111213141516171819202122232425262729[[#This Row],[الدولار]]+(Table134567810111213141516171819202122232425262729[[#This Row],[اللبناني]]/90)</f>
        <v>0</v>
      </c>
      <c r="M191" s="6"/>
    </row>
    <row r="192" spans="8:13" s="11" customFormat="1" x14ac:dyDescent="0.3">
      <c r="H192" s="5" t="s">
        <v>434</v>
      </c>
      <c r="I192" s="39"/>
      <c r="J192" s="18"/>
      <c r="L192" s="44">
        <f>Table134567810111213141516171819202122232425262729[[#This Row],[الدولار]]+(Table134567810111213141516171819202122232425262729[[#This Row],[اللبناني]]/90)</f>
        <v>0</v>
      </c>
      <c r="M192" s="6"/>
    </row>
    <row r="193" spans="8:13" s="11" customFormat="1" x14ac:dyDescent="0.3">
      <c r="H193" s="5" t="s">
        <v>434</v>
      </c>
      <c r="I193" s="39"/>
      <c r="J193" s="18"/>
      <c r="L193" s="44">
        <f>Table134567810111213141516171819202122232425262729[[#This Row],[الدولار]]+(Table134567810111213141516171819202122232425262729[[#This Row],[اللبناني]]/90)</f>
        <v>0</v>
      </c>
      <c r="M193" s="6"/>
    </row>
    <row r="194" spans="8:13" s="11" customFormat="1" x14ac:dyDescent="0.3">
      <c r="H194" s="5" t="s">
        <v>434</v>
      </c>
      <c r="I194" s="39"/>
      <c r="J194" s="18"/>
      <c r="L194" s="44">
        <f>Table134567810111213141516171819202122232425262729[[#This Row],[الدولار]]+(Table134567810111213141516171819202122232425262729[[#This Row],[اللبناني]]/90)</f>
        <v>0</v>
      </c>
      <c r="M194" s="6"/>
    </row>
    <row r="195" spans="8:13" s="11" customFormat="1" x14ac:dyDescent="0.3">
      <c r="H195" s="5" t="s">
        <v>434</v>
      </c>
      <c r="I195" s="39"/>
      <c r="J195" s="18"/>
      <c r="L195" s="44">
        <f>Table134567810111213141516171819202122232425262729[[#This Row],[الدولار]]+(Table134567810111213141516171819202122232425262729[[#This Row],[اللبناني]]/90)</f>
        <v>0</v>
      </c>
      <c r="M195" s="6"/>
    </row>
    <row r="196" spans="8:13" s="11" customFormat="1" x14ac:dyDescent="0.3">
      <c r="H196" s="5" t="s">
        <v>434</v>
      </c>
      <c r="I196" s="39"/>
      <c r="J196" s="18"/>
      <c r="L196" s="44">
        <f>Table134567810111213141516171819202122232425262729[[#This Row],[الدولار]]+(Table134567810111213141516171819202122232425262729[[#This Row],[اللبناني]]/90)</f>
        <v>0</v>
      </c>
      <c r="M196" s="6"/>
    </row>
    <row r="197" spans="8:13" s="11" customFormat="1" x14ac:dyDescent="0.3">
      <c r="H197" s="5" t="s">
        <v>434</v>
      </c>
      <c r="I197" s="39"/>
      <c r="J197" s="18"/>
      <c r="L197" s="44">
        <f>Table134567810111213141516171819202122232425262729[[#This Row],[الدولار]]+(Table134567810111213141516171819202122232425262729[[#This Row],[اللبناني]]/90)</f>
        <v>0</v>
      </c>
      <c r="M197" s="6"/>
    </row>
    <row r="198" spans="8:13" s="11" customFormat="1" x14ac:dyDescent="0.3">
      <c r="H198" s="5" t="s">
        <v>434</v>
      </c>
      <c r="I198" s="39"/>
      <c r="J198" s="18"/>
      <c r="L198" s="44">
        <f>Table134567810111213141516171819202122232425262729[[#This Row],[الدولار]]+(Table134567810111213141516171819202122232425262729[[#This Row],[اللبناني]]/90)</f>
        <v>0</v>
      </c>
      <c r="M198" s="6"/>
    </row>
    <row r="199" spans="8:13" s="11" customFormat="1" x14ac:dyDescent="0.3">
      <c r="H199" s="5" t="s">
        <v>434</v>
      </c>
      <c r="I199" s="39"/>
      <c r="J199" s="18"/>
      <c r="L199" s="44">
        <f>Table134567810111213141516171819202122232425262729[[#This Row],[الدولار]]+(Table134567810111213141516171819202122232425262729[[#This Row],[اللبناني]]/90)</f>
        <v>0</v>
      </c>
      <c r="M199" s="6"/>
    </row>
    <row r="200" spans="8:13" s="11" customFormat="1" x14ac:dyDescent="0.3">
      <c r="H200" s="5" t="s">
        <v>434</v>
      </c>
      <c r="I200" s="39"/>
      <c r="J200" s="18"/>
      <c r="L200" s="44">
        <f>Table134567810111213141516171819202122232425262729[[#This Row],[الدولار]]+(Table134567810111213141516171819202122232425262729[[#This Row],[اللبناني]]/90)</f>
        <v>0</v>
      </c>
      <c r="M200" s="6"/>
    </row>
    <row r="201" spans="8:13" s="11" customFormat="1" x14ac:dyDescent="0.3">
      <c r="H201" s="5" t="s">
        <v>434</v>
      </c>
      <c r="I201" s="39"/>
      <c r="J201" s="18"/>
      <c r="L201" s="44">
        <f>Table134567810111213141516171819202122232425262729[[#This Row],[الدولار]]+(Table134567810111213141516171819202122232425262729[[#This Row],[اللبناني]]/90)</f>
        <v>0</v>
      </c>
      <c r="M201" s="6"/>
    </row>
    <row r="202" spans="8:13" s="11" customFormat="1" x14ac:dyDescent="0.3">
      <c r="H202" s="5" t="s">
        <v>434</v>
      </c>
      <c r="I202" s="39"/>
      <c r="J202" s="18"/>
      <c r="L202" s="44">
        <f>Table134567810111213141516171819202122232425262729[[#This Row],[الدولار]]+(Table134567810111213141516171819202122232425262729[[#This Row],[اللبناني]]/90)</f>
        <v>0</v>
      </c>
      <c r="M202" s="6"/>
    </row>
    <row r="203" spans="8:13" s="11" customFormat="1" x14ac:dyDescent="0.3">
      <c r="H203" s="5" t="s">
        <v>434</v>
      </c>
      <c r="I203" s="39"/>
      <c r="J203" s="18"/>
      <c r="L203" s="44">
        <f>Table134567810111213141516171819202122232425262729[[#This Row],[الدولار]]+(Table134567810111213141516171819202122232425262729[[#This Row],[اللبناني]]/90)</f>
        <v>0</v>
      </c>
      <c r="M203" s="6"/>
    </row>
    <row r="204" spans="8:13" s="11" customFormat="1" x14ac:dyDescent="0.3">
      <c r="H204" s="5" t="s">
        <v>434</v>
      </c>
      <c r="I204" s="39"/>
      <c r="J204" s="18"/>
      <c r="L204" s="44">
        <f>Table134567810111213141516171819202122232425262729[[#This Row],[الدولار]]+(Table134567810111213141516171819202122232425262729[[#This Row],[اللبناني]]/90)</f>
        <v>0</v>
      </c>
      <c r="M204" s="6"/>
    </row>
    <row r="205" spans="8:13" s="11" customFormat="1" x14ac:dyDescent="0.3">
      <c r="H205" s="5" t="s">
        <v>434</v>
      </c>
      <c r="I205" s="39"/>
      <c r="J205" s="18"/>
      <c r="L205" s="44">
        <f>Table134567810111213141516171819202122232425262729[[#This Row],[الدولار]]+(Table134567810111213141516171819202122232425262729[[#This Row],[اللبناني]]/90)</f>
        <v>0</v>
      </c>
      <c r="M205" s="6"/>
    </row>
    <row r="206" spans="8:13" s="11" customFormat="1" x14ac:dyDescent="0.3">
      <c r="H206" s="5" t="s">
        <v>434</v>
      </c>
      <c r="I206" s="39"/>
      <c r="J206" s="18"/>
      <c r="L206" s="44">
        <f>Table134567810111213141516171819202122232425262729[[#This Row],[الدولار]]+(Table134567810111213141516171819202122232425262729[[#This Row],[اللبناني]]/90)</f>
        <v>0</v>
      </c>
      <c r="M206" s="6"/>
    </row>
    <row r="207" spans="8:13" s="11" customFormat="1" x14ac:dyDescent="0.3">
      <c r="H207" s="5" t="s">
        <v>434</v>
      </c>
      <c r="I207" s="39"/>
      <c r="J207" s="18"/>
      <c r="L207" s="44">
        <f>Table134567810111213141516171819202122232425262729[[#This Row],[الدولار]]+(Table134567810111213141516171819202122232425262729[[#This Row],[اللبناني]]/90)</f>
        <v>0</v>
      </c>
      <c r="M207" s="6"/>
    </row>
    <row r="208" spans="8:13" s="11" customFormat="1" x14ac:dyDescent="0.3">
      <c r="H208" s="5" t="s">
        <v>434</v>
      </c>
      <c r="I208" s="39"/>
      <c r="J208" s="18"/>
      <c r="L208" s="44">
        <f>Table134567810111213141516171819202122232425262729[[#This Row],[الدولار]]+(Table134567810111213141516171819202122232425262729[[#This Row],[اللبناني]]/90)</f>
        <v>0</v>
      </c>
      <c r="M208" s="6"/>
    </row>
    <row r="209" spans="8:13" s="11" customFormat="1" x14ac:dyDescent="0.3">
      <c r="H209" s="5" t="s">
        <v>434</v>
      </c>
      <c r="I209" s="39"/>
      <c r="J209" s="18"/>
      <c r="L209" s="44">
        <f>Table134567810111213141516171819202122232425262729[[#This Row],[الدولار]]+(Table134567810111213141516171819202122232425262729[[#This Row],[اللبناني]]/90)</f>
        <v>0</v>
      </c>
      <c r="M209" s="6"/>
    </row>
    <row r="210" spans="8:13" s="11" customFormat="1" x14ac:dyDescent="0.3">
      <c r="H210" s="5" t="s">
        <v>434</v>
      </c>
      <c r="I210" s="39"/>
      <c r="J210" s="18"/>
      <c r="L210" s="44">
        <f>Table134567810111213141516171819202122232425262729[[#This Row],[الدولار]]+(Table134567810111213141516171819202122232425262729[[#This Row],[اللبناني]]/90)</f>
        <v>0</v>
      </c>
      <c r="M210" s="6"/>
    </row>
    <row r="211" spans="8:13" s="11" customFormat="1" x14ac:dyDescent="0.3">
      <c r="H211" s="5" t="s">
        <v>434</v>
      </c>
      <c r="I211" s="39"/>
      <c r="J211" s="18"/>
      <c r="L211" s="44">
        <f>Table134567810111213141516171819202122232425262729[[#This Row],[الدولار]]+(Table134567810111213141516171819202122232425262729[[#This Row],[اللبناني]]/90)</f>
        <v>0</v>
      </c>
      <c r="M211" s="6"/>
    </row>
    <row r="212" spans="8:13" s="11" customFormat="1" x14ac:dyDescent="0.3">
      <c r="H212" s="5" t="s">
        <v>434</v>
      </c>
      <c r="I212" s="39"/>
      <c r="J212" s="18"/>
      <c r="L212" s="44">
        <f>Table134567810111213141516171819202122232425262729[[#This Row],[الدولار]]+(Table134567810111213141516171819202122232425262729[[#This Row],[اللبناني]]/90)</f>
        <v>0</v>
      </c>
      <c r="M212" s="6"/>
    </row>
    <row r="213" spans="8:13" s="11" customFormat="1" x14ac:dyDescent="0.3">
      <c r="H213" s="5" t="s">
        <v>434</v>
      </c>
      <c r="I213" s="39"/>
      <c r="J213" s="18"/>
      <c r="L213" s="44">
        <f>Table134567810111213141516171819202122232425262729[[#This Row],[الدولار]]+(Table134567810111213141516171819202122232425262729[[#This Row],[اللبناني]]/90)</f>
        <v>0</v>
      </c>
      <c r="M213" s="6"/>
    </row>
    <row r="214" spans="8:13" s="11" customFormat="1" x14ac:dyDescent="0.3">
      <c r="H214" s="5" t="s">
        <v>434</v>
      </c>
      <c r="I214" s="39"/>
      <c r="J214" s="18"/>
      <c r="L214" s="44">
        <f>Table134567810111213141516171819202122232425262729[[#This Row],[الدولار]]+(Table134567810111213141516171819202122232425262729[[#This Row],[اللبناني]]/90)</f>
        <v>0</v>
      </c>
      <c r="M214" s="6"/>
    </row>
    <row r="215" spans="8:13" s="11" customFormat="1" x14ac:dyDescent="0.3">
      <c r="H215" s="5" t="s">
        <v>434</v>
      </c>
      <c r="I215" s="39"/>
      <c r="J215" s="18"/>
      <c r="L215" s="44">
        <f>Table134567810111213141516171819202122232425262729[[#This Row],[الدولار]]+(Table134567810111213141516171819202122232425262729[[#This Row],[اللبناني]]/90)</f>
        <v>0</v>
      </c>
      <c r="M215" s="6"/>
    </row>
    <row r="216" spans="8:13" s="11" customFormat="1" x14ac:dyDescent="0.3">
      <c r="H216" s="5" t="s">
        <v>434</v>
      </c>
      <c r="I216" s="39"/>
      <c r="J216" s="18"/>
      <c r="L216" s="44">
        <f>Table134567810111213141516171819202122232425262729[[#This Row],[الدولار]]+(Table134567810111213141516171819202122232425262729[[#This Row],[اللبناني]]/90)</f>
        <v>0</v>
      </c>
      <c r="M216" s="6"/>
    </row>
    <row r="217" spans="8:13" s="11" customFormat="1" x14ac:dyDescent="0.3">
      <c r="H217" s="5" t="s">
        <v>434</v>
      </c>
      <c r="I217" s="39"/>
      <c r="J217" s="18"/>
      <c r="L217" s="44">
        <f>Table134567810111213141516171819202122232425262729[[#This Row],[الدولار]]+(Table134567810111213141516171819202122232425262729[[#This Row],[اللبناني]]/90)</f>
        <v>0</v>
      </c>
      <c r="M217" s="6"/>
    </row>
    <row r="218" spans="8:13" s="11" customFormat="1" x14ac:dyDescent="0.3">
      <c r="H218" s="5" t="s">
        <v>434</v>
      </c>
      <c r="I218" s="39"/>
      <c r="J218" s="18"/>
      <c r="L218" s="44">
        <f>Table134567810111213141516171819202122232425262729[[#This Row],[الدولار]]+(Table134567810111213141516171819202122232425262729[[#This Row],[اللبناني]]/90)</f>
        <v>0</v>
      </c>
      <c r="M218" s="6"/>
    </row>
    <row r="219" spans="8:13" s="11" customFormat="1" x14ac:dyDescent="0.3">
      <c r="H219" s="5" t="s">
        <v>434</v>
      </c>
      <c r="I219" s="39"/>
      <c r="J219" s="18"/>
      <c r="L219" s="44">
        <f>Table134567810111213141516171819202122232425262729[[#This Row],[الدولار]]+(Table134567810111213141516171819202122232425262729[[#This Row],[اللبناني]]/90)</f>
        <v>0</v>
      </c>
      <c r="M219" s="6"/>
    </row>
    <row r="220" spans="8:13" s="11" customFormat="1" x14ac:dyDescent="0.3">
      <c r="H220" s="5" t="s">
        <v>434</v>
      </c>
      <c r="I220" s="39"/>
      <c r="J220" s="18"/>
      <c r="L220" s="44">
        <f>Table134567810111213141516171819202122232425262729[[#This Row],[الدولار]]+(Table134567810111213141516171819202122232425262729[[#This Row],[اللبناني]]/90)</f>
        <v>0</v>
      </c>
      <c r="M220" s="6"/>
    </row>
    <row r="221" spans="8:13" s="11" customFormat="1" x14ac:dyDescent="0.3">
      <c r="H221" s="5" t="s">
        <v>434</v>
      </c>
      <c r="I221" s="39"/>
      <c r="J221" s="18"/>
      <c r="L221" s="44">
        <f>Table134567810111213141516171819202122232425262729[[#This Row],[الدولار]]+(Table134567810111213141516171819202122232425262729[[#This Row],[اللبناني]]/90)</f>
        <v>0</v>
      </c>
      <c r="M221" s="6"/>
    </row>
    <row r="222" spans="8:13" s="11" customFormat="1" x14ac:dyDescent="0.3">
      <c r="H222" s="5" t="s">
        <v>434</v>
      </c>
      <c r="I222" s="39"/>
      <c r="J222" s="18"/>
      <c r="L222" s="44">
        <f>Table134567810111213141516171819202122232425262729[[#This Row],[الدولار]]+(Table134567810111213141516171819202122232425262729[[#This Row],[اللبناني]]/90)</f>
        <v>0</v>
      </c>
      <c r="M222" s="6"/>
    </row>
    <row r="223" spans="8:13" s="11" customFormat="1" x14ac:dyDescent="0.3">
      <c r="H223" s="5" t="s">
        <v>434</v>
      </c>
      <c r="I223" s="39"/>
      <c r="J223" s="18"/>
      <c r="L223" s="44">
        <f>Table134567810111213141516171819202122232425262729[[#This Row],[الدولار]]+(Table134567810111213141516171819202122232425262729[[#This Row],[اللبناني]]/90)</f>
        <v>0</v>
      </c>
      <c r="M223" s="6"/>
    </row>
    <row r="224" spans="8:13" s="11" customFormat="1" x14ac:dyDescent="0.3">
      <c r="H224" s="5" t="s">
        <v>434</v>
      </c>
      <c r="I224" s="39"/>
      <c r="J224" s="18"/>
      <c r="L224" s="44">
        <f>Table134567810111213141516171819202122232425262729[[#This Row],[الدولار]]+(Table134567810111213141516171819202122232425262729[[#This Row],[اللبناني]]/90)</f>
        <v>0</v>
      </c>
      <c r="M224" s="6"/>
    </row>
    <row r="225" spans="8:13" s="11" customFormat="1" x14ac:dyDescent="0.3">
      <c r="H225" s="5" t="s">
        <v>434</v>
      </c>
      <c r="I225" s="39"/>
      <c r="J225" s="18"/>
      <c r="L225" s="44">
        <f>Table134567810111213141516171819202122232425262729[[#This Row],[الدولار]]+(Table134567810111213141516171819202122232425262729[[#This Row],[اللبناني]]/90)</f>
        <v>0</v>
      </c>
      <c r="M225" s="6"/>
    </row>
    <row r="226" spans="8:13" s="11" customFormat="1" x14ac:dyDescent="0.3">
      <c r="H226" s="5" t="s">
        <v>434</v>
      </c>
      <c r="I226" s="39"/>
      <c r="J226" s="18"/>
      <c r="L226" s="44">
        <f>Table134567810111213141516171819202122232425262729[[#This Row],[الدولار]]+(Table134567810111213141516171819202122232425262729[[#This Row],[اللبناني]]/90)</f>
        <v>0</v>
      </c>
      <c r="M226" s="6"/>
    </row>
    <row r="227" spans="8:13" s="11" customFormat="1" x14ac:dyDescent="0.3">
      <c r="H227" s="5" t="s">
        <v>434</v>
      </c>
      <c r="I227" s="39"/>
      <c r="J227" s="18"/>
      <c r="L227" s="44">
        <f>Table134567810111213141516171819202122232425262729[[#This Row],[الدولار]]+(Table134567810111213141516171819202122232425262729[[#This Row],[اللبناني]]/90)</f>
        <v>0</v>
      </c>
      <c r="M227" s="6"/>
    </row>
    <row r="228" spans="8:13" s="11" customFormat="1" x14ac:dyDescent="0.3">
      <c r="H228" s="5" t="s">
        <v>434</v>
      </c>
      <c r="I228" s="39"/>
      <c r="J228" s="18"/>
      <c r="L228" s="44">
        <f>Table134567810111213141516171819202122232425262729[[#This Row],[الدولار]]+(Table134567810111213141516171819202122232425262729[[#This Row],[اللبناني]]/90)</f>
        <v>0</v>
      </c>
      <c r="M228" s="6"/>
    </row>
    <row r="229" spans="8:13" s="11" customFormat="1" x14ac:dyDescent="0.3">
      <c r="H229" s="5" t="s">
        <v>434</v>
      </c>
      <c r="I229" s="39"/>
      <c r="J229" s="18"/>
      <c r="L229" s="44">
        <f>Table134567810111213141516171819202122232425262729[[#This Row],[الدولار]]+(Table134567810111213141516171819202122232425262729[[#This Row],[اللبناني]]/90)</f>
        <v>0</v>
      </c>
      <c r="M229" s="6"/>
    </row>
    <row r="230" spans="8:13" s="11" customFormat="1" x14ac:dyDescent="0.3">
      <c r="H230" s="5" t="s">
        <v>434</v>
      </c>
      <c r="I230" s="39"/>
      <c r="J230" s="18"/>
      <c r="L230" s="44">
        <f>Table134567810111213141516171819202122232425262729[[#This Row],[الدولار]]+(Table134567810111213141516171819202122232425262729[[#This Row],[اللبناني]]/90)</f>
        <v>0</v>
      </c>
      <c r="M230" s="6"/>
    </row>
    <row r="231" spans="8:13" s="11" customFormat="1" x14ac:dyDescent="0.3">
      <c r="H231" s="5" t="s">
        <v>434</v>
      </c>
      <c r="I231" s="39"/>
      <c r="J231" s="18"/>
      <c r="L231" s="44">
        <f>Table134567810111213141516171819202122232425262729[[#This Row],[الدولار]]+(Table134567810111213141516171819202122232425262729[[#This Row],[اللبناني]]/90)</f>
        <v>0</v>
      </c>
      <c r="M231" s="6"/>
    </row>
    <row r="232" spans="8:13" s="11" customFormat="1" x14ac:dyDescent="0.3">
      <c r="H232" s="5" t="s">
        <v>434</v>
      </c>
      <c r="I232" s="39"/>
      <c r="J232" s="18"/>
      <c r="L232" s="44">
        <f>Table134567810111213141516171819202122232425262729[[#This Row],[الدولار]]+(Table134567810111213141516171819202122232425262729[[#This Row],[اللبناني]]/90)</f>
        <v>0</v>
      </c>
      <c r="M232" s="6"/>
    </row>
    <row r="233" spans="8:13" s="11" customFormat="1" x14ac:dyDescent="0.3">
      <c r="H233" s="5" t="s">
        <v>434</v>
      </c>
      <c r="I233" s="39"/>
      <c r="J233" s="18"/>
      <c r="L233" s="44">
        <f>Table134567810111213141516171819202122232425262729[[#This Row],[الدولار]]+(Table134567810111213141516171819202122232425262729[[#This Row],[اللبناني]]/90)</f>
        <v>0</v>
      </c>
      <c r="M233" s="6"/>
    </row>
    <row r="234" spans="8:13" s="11" customFormat="1" x14ac:dyDescent="0.3">
      <c r="H234" s="5" t="s">
        <v>434</v>
      </c>
      <c r="I234" s="39"/>
      <c r="J234" s="18"/>
      <c r="L234" s="44">
        <f>Table134567810111213141516171819202122232425262729[[#This Row],[الدولار]]+(Table134567810111213141516171819202122232425262729[[#This Row],[اللبناني]]/90)</f>
        <v>0</v>
      </c>
      <c r="M234" s="6"/>
    </row>
    <row r="235" spans="8:13" s="11" customFormat="1" x14ac:dyDescent="0.3">
      <c r="H235" s="5" t="s">
        <v>434</v>
      </c>
      <c r="I235" s="39"/>
      <c r="J235" s="18"/>
      <c r="L235" s="44">
        <f>Table134567810111213141516171819202122232425262729[[#This Row],[الدولار]]+(Table134567810111213141516171819202122232425262729[[#This Row],[اللبناني]]/90)</f>
        <v>0</v>
      </c>
      <c r="M235" s="6"/>
    </row>
    <row r="236" spans="8:13" s="11" customFormat="1" x14ac:dyDescent="0.3">
      <c r="H236" s="5" t="s">
        <v>434</v>
      </c>
      <c r="I236" s="39"/>
      <c r="J236" s="18"/>
      <c r="L236" s="44">
        <f>Table134567810111213141516171819202122232425262729[[#This Row],[الدولار]]+(Table134567810111213141516171819202122232425262729[[#This Row],[اللبناني]]/90)</f>
        <v>0</v>
      </c>
      <c r="M236" s="6"/>
    </row>
    <row r="237" spans="8:13" s="11" customFormat="1" x14ac:dyDescent="0.3">
      <c r="H237" s="5" t="s">
        <v>434</v>
      </c>
      <c r="I237" s="39"/>
      <c r="J237" s="18"/>
      <c r="L237" s="44">
        <f>Table134567810111213141516171819202122232425262729[[#This Row],[الدولار]]+(Table134567810111213141516171819202122232425262729[[#This Row],[اللبناني]]/90)</f>
        <v>0</v>
      </c>
      <c r="M237" s="6"/>
    </row>
    <row r="238" spans="8:13" s="11" customFormat="1" x14ac:dyDescent="0.3">
      <c r="H238" s="5" t="s">
        <v>434</v>
      </c>
      <c r="I238" s="39"/>
      <c r="J238" s="18"/>
      <c r="L238" s="44">
        <f>Table134567810111213141516171819202122232425262729[[#This Row],[الدولار]]+(Table134567810111213141516171819202122232425262729[[#This Row],[اللبناني]]/90)</f>
        <v>0</v>
      </c>
      <c r="M238" s="6"/>
    </row>
    <row r="239" spans="8:13" s="11" customFormat="1" x14ac:dyDescent="0.3">
      <c r="H239" s="5" t="s">
        <v>434</v>
      </c>
      <c r="I239" s="39"/>
      <c r="J239" s="18"/>
      <c r="L239" s="44">
        <f>Table134567810111213141516171819202122232425262729[[#This Row],[الدولار]]+(Table134567810111213141516171819202122232425262729[[#This Row],[اللبناني]]/90)</f>
        <v>0</v>
      </c>
      <c r="M239" s="6"/>
    </row>
    <row r="240" spans="8:13" s="11" customFormat="1" x14ac:dyDescent="0.3">
      <c r="H240" s="5" t="s">
        <v>434</v>
      </c>
      <c r="I240" s="39"/>
      <c r="J240" s="18"/>
      <c r="L240" s="44">
        <f>Table134567810111213141516171819202122232425262729[[#This Row],[الدولار]]+(Table134567810111213141516171819202122232425262729[[#This Row],[اللبناني]]/90)</f>
        <v>0</v>
      </c>
      <c r="M240" s="6"/>
    </row>
    <row r="241" spans="8:13" s="11" customFormat="1" x14ac:dyDescent="0.3">
      <c r="H241" s="5" t="s">
        <v>434</v>
      </c>
      <c r="I241" s="39"/>
      <c r="J241" s="18"/>
      <c r="L241" s="44">
        <f>Table134567810111213141516171819202122232425262729[[#This Row],[الدولار]]+(Table134567810111213141516171819202122232425262729[[#This Row],[اللبناني]]/90)</f>
        <v>0</v>
      </c>
      <c r="M241" s="6"/>
    </row>
    <row r="242" spans="8:13" s="11" customFormat="1" x14ac:dyDescent="0.3">
      <c r="H242" s="5" t="s">
        <v>434</v>
      </c>
      <c r="I242" s="39"/>
      <c r="J242" s="18"/>
      <c r="L242" s="44">
        <f>Table134567810111213141516171819202122232425262729[[#This Row],[الدولار]]+(Table134567810111213141516171819202122232425262729[[#This Row],[اللبناني]]/90)</f>
        <v>0</v>
      </c>
      <c r="M242" s="6"/>
    </row>
    <row r="243" spans="8:13" s="11" customFormat="1" x14ac:dyDescent="0.3">
      <c r="H243" s="5" t="s">
        <v>434</v>
      </c>
      <c r="I243" s="39"/>
      <c r="J243" s="18"/>
      <c r="L243" s="44">
        <f>Table134567810111213141516171819202122232425262729[[#This Row],[الدولار]]+(Table134567810111213141516171819202122232425262729[[#This Row],[اللبناني]]/90)</f>
        <v>0</v>
      </c>
      <c r="M243" s="6"/>
    </row>
    <row r="244" spans="8:13" s="11" customFormat="1" x14ac:dyDescent="0.3">
      <c r="H244" s="5" t="s">
        <v>434</v>
      </c>
      <c r="I244" s="39"/>
      <c r="J244" s="18"/>
      <c r="L244" s="44">
        <f>Table134567810111213141516171819202122232425262729[[#This Row],[الدولار]]+(Table134567810111213141516171819202122232425262729[[#This Row],[اللبناني]]/90)</f>
        <v>0</v>
      </c>
      <c r="M244" s="6"/>
    </row>
    <row r="245" spans="8:13" s="11" customFormat="1" x14ac:dyDescent="0.3">
      <c r="H245" s="5" t="s">
        <v>434</v>
      </c>
      <c r="I245" s="39"/>
      <c r="J245" s="18"/>
      <c r="L245" s="44">
        <f>Table134567810111213141516171819202122232425262729[[#This Row],[الدولار]]+(Table134567810111213141516171819202122232425262729[[#This Row],[اللبناني]]/90)</f>
        <v>0</v>
      </c>
      <c r="M245" s="6"/>
    </row>
    <row r="246" spans="8:13" s="11" customFormat="1" x14ac:dyDescent="0.3">
      <c r="H246" s="5" t="s">
        <v>434</v>
      </c>
      <c r="I246" s="39"/>
      <c r="J246" s="18"/>
      <c r="L246" s="44">
        <f>Table134567810111213141516171819202122232425262729[[#This Row],[الدولار]]+(Table134567810111213141516171819202122232425262729[[#This Row],[اللبناني]]/90)</f>
        <v>0</v>
      </c>
      <c r="M246" s="6"/>
    </row>
    <row r="247" spans="8:13" s="11" customFormat="1" x14ac:dyDescent="0.3">
      <c r="H247" s="5" t="s">
        <v>434</v>
      </c>
      <c r="I247" s="39"/>
      <c r="J247" s="18"/>
      <c r="L247" s="44">
        <f>Table134567810111213141516171819202122232425262729[[#This Row],[الدولار]]+(Table134567810111213141516171819202122232425262729[[#This Row],[اللبناني]]/90)</f>
        <v>0</v>
      </c>
      <c r="M247" s="6"/>
    </row>
    <row r="248" spans="8:13" s="11" customFormat="1" x14ac:dyDescent="0.3">
      <c r="H248" s="5" t="s">
        <v>434</v>
      </c>
      <c r="I248" s="39"/>
      <c r="J248" s="18"/>
      <c r="L248" s="44">
        <f>Table134567810111213141516171819202122232425262729[[#This Row],[الدولار]]+(Table134567810111213141516171819202122232425262729[[#This Row],[اللبناني]]/90)</f>
        <v>0</v>
      </c>
      <c r="M248" s="6"/>
    </row>
    <row r="249" spans="8:13" s="11" customFormat="1" x14ac:dyDescent="0.3">
      <c r="H249" s="5" t="s">
        <v>434</v>
      </c>
      <c r="I249" s="39"/>
      <c r="J249" s="18"/>
      <c r="L249" s="44">
        <f>Table134567810111213141516171819202122232425262729[[#This Row],[الدولار]]+(Table134567810111213141516171819202122232425262729[[#This Row],[اللبناني]]/90)</f>
        <v>0</v>
      </c>
      <c r="M249" s="6"/>
    </row>
    <row r="250" spans="8:13" s="11" customFormat="1" x14ac:dyDescent="0.3">
      <c r="H250" s="5" t="s">
        <v>434</v>
      </c>
      <c r="I250" s="39"/>
      <c r="J250" s="18"/>
      <c r="L250" s="44">
        <f>Table134567810111213141516171819202122232425262729[[#This Row],[الدولار]]+(Table134567810111213141516171819202122232425262729[[#This Row],[اللبناني]]/90)</f>
        <v>0</v>
      </c>
      <c r="M250" s="6"/>
    </row>
    <row r="251" spans="8:13" s="11" customFormat="1" x14ac:dyDescent="0.3">
      <c r="H251" s="5" t="s">
        <v>434</v>
      </c>
      <c r="I251" s="39"/>
      <c r="J251" s="18"/>
      <c r="L251" s="44">
        <f>Table134567810111213141516171819202122232425262729[[#This Row],[الدولار]]+(Table134567810111213141516171819202122232425262729[[#This Row],[اللبناني]]/90)</f>
        <v>0</v>
      </c>
      <c r="M251" s="6"/>
    </row>
    <row r="252" spans="8:13" s="11" customFormat="1" x14ac:dyDescent="0.3">
      <c r="H252" s="5" t="s">
        <v>434</v>
      </c>
      <c r="I252" s="39"/>
      <c r="J252" s="18"/>
      <c r="L252" s="44">
        <f>Table134567810111213141516171819202122232425262729[[#This Row],[الدولار]]+(Table134567810111213141516171819202122232425262729[[#This Row],[اللبناني]]/90)</f>
        <v>0</v>
      </c>
      <c r="M252" s="6"/>
    </row>
    <row r="253" spans="8:13" s="11" customFormat="1" x14ac:dyDescent="0.3">
      <c r="H253" s="5" t="s">
        <v>434</v>
      </c>
      <c r="I253" s="39"/>
      <c r="J253" s="18"/>
      <c r="L253" s="44">
        <f>Table134567810111213141516171819202122232425262729[[#This Row],[الدولار]]+(Table134567810111213141516171819202122232425262729[[#This Row],[اللبناني]]/90)</f>
        <v>0</v>
      </c>
      <c r="M253" s="6"/>
    </row>
    <row r="254" spans="8:13" s="11" customFormat="1" x14ac:dyDescent="0.3">
      <c r="H254" s="5" t="s">
        <v>434</v>
      </c>
      <c r="I254" s="39"/>
      <c r="J254" s="18"/>
      <c r="L254" s="44">
        <f>Table134567810111213141516171819202122232425262729[[#This Row],[الدولار]]+(Table134567810111213141516171819202122232425262729[[#This Row],[اللبناني]]/90)</f>
        <v>0</v>
      </c>
      <c r="M254" s="6"/>
    </row>
    <row r="255" spans="8:13" s="11" customFormat="1" x14ac:dyDescent="0.3">
      <c r="H255" s="5" t="s">
        <v>434</v>
      </c>
      <c r="I255" s="39"/>
      <c r="J255" s="18"/>
      <c r="L255" s="44">
        <f>Table134567810111213141516171819202122232425262729[[#This Row],[الدولار]]+(Table134567810111213141516171819202122232425262729[[#This Row],[اللبناني]]/90)</f>
        <v>0</v>
      </c>
      <c r="M255" s="6"/>
    </row>
    <row r="256" spans="8:13" s="11" customFormat="1" x14ac:dyDescent="0.3">
      <c r="H256" s="5" t="s">
        <v>434</v>
      </c>
      <c r="I256" s="39"/>
      <c r="J256" s="18"/>
      <c r="L256" s="44">
        <f>Table134567810111213141516171819202122232425262729[[#This Row],[الدولار]]+(Table134567810111213141516171819202122232425262729[[#This Row],[اللبناني]]/90)</f>
        <v>0</v>
      </c>
      <c r="M256" s="6"/>
    </row>
    <row r="257" spans="8:13" s="11" customFormat="1" x14ac:dyDescent="0.3">
      <c r="H257" s="5" t="s">
        <v>434</v>
      </c>
      <c r="I257" s="39"/>
      <c r="J257" s="18"/>
      <c r="L257" s="44">
        <f>Table134567810111213141516171819202122232425262729[[#This Row],[الدولار]]+(Table134567810111213141516171819202122232425262729[[#This Row],[اللبناني]]/90)</f>
        <v>0</v>
      </c>
      <c r="M257" s="6"/>
    </row>
    <row r="258" spans="8:13" s="11" customFormat="1" x14ac:dyDescent="0.3">
      <c r="H258" s="5" t="s">
        <v>434</v>
      </c>
      <c r="I258" s="39"/>
      <c r="J258" s="18"/>
      <c r="L258" s="44">
        <f>Table134567810111213141516171819202122232425262729[[#This Row],[الدولار]]+(Table134567810111213141516171819202122232425262729[[#This Row],[اللبناني]]/90)</f>
        <v>0</v>
      </c>
      <c r="M258" s="6"/>
    </row>
    <row r="259" spans="8:13" s="11" customFormat="1" x14ac:dyDescent="0.3">
      <c r="H259" s="5" t="s">
        <v>434</v>
      </c>
      <c r="I259" s="39"/>
      <c r="J259" s="18"/>
      <c r="L259" s="44">
        <f>Table134567810111213141516171819202122232425262729[[#This Row],[الدولار]]+(Table134567810111213141516171819202122232425262729[[#This Row],[اللبناني]]/90)</f>
        <v>0</v>
      </c>
      <c r="M259" s="6"/>
    </row>
    <row r="260" spans="8:13" s="11" customFormat="1" x14ac:dyDescent="0.3">
      <c r="H260" s="5" t="s">
        <v>434</v>
      </c>
      <c r="I260" s="39"/>
      <c r="J260" s="18"/>
      <c r="L260" s="44">
        <f>Table134567810111213141516171819202122232425262729[[#This Row],[الدولار]]+(Table134567810111213141516171819202122232425262729[[#This Row],[اللبناني]]/90)</f>
        <v>0</v>
      </c>
      <c r="M260" s="6"/>
    </row>
    <row r="261" spans="8:13" s="11" customFormat="1" x14ac:dyDescent="0.3">
      <c r="H261" s="5" t="s">
        <v>434</v>
      </c>
      <c r="I261" s="39"/>
      <c r="J261" s="18"/>
      <c r="L261" s="44">
        <f>Table134567810111213141516171819202122232425262729[[#This Row],[الدولار]]+(Table134567810111213141516171819202122232425262729[[#This Row],[اللبناني]]/90)</f>
        <v>0</v>
      </c>
      <c r="M261" s="6"/>
    </row>
    <row r="262" spans="8:13" s="11" customFormat="1" x14ac:dyDescent="0.3">
      <c r="H262" s="5" t="s">
        <v>434</v>
      </c>
      <c r="I262" s="39"/>
      <c r="J262" s="18"/>
      <c r="L262" s="44">
        <f>Table134567810111213141516171819202122232425262729[[#This Row],[الدولار]]+(Table134567810111213141516171819202122232425262729[[#This Row],[اللبناني]]/90)</f>
        <v>0</v>
      </c>
      <c r="M262" s="6"/>
    </row>
    <row r="263" spans="8:13" s="11" customFormat="1" x14ac:dyDescent="0.3">
      <c r="H263" s="5" t="s">
        <v>434</v>
      </c>
      <c r="I263" s="39"/>
      <c r="J263" s="18"/>
      <c r="L263" s="44">
        <f>Table134567810111213141516171819202122232425262729[[#This Row],[الدولار]]+(Table134567810111213141516171819202122232425262729[[#This Row],[اللبناني]]/90)</f>
        <v>0</v>
      </c>
      <c r="M263" s="6"/>
    </row>
    <row r="264" spans="8:13" s="11" customFormat="1" x14ac:dyDescent="0.3">
      <c r="H264" s="5" t="s">
        <v>434</v>
      </c>
      <c r="I264" s="39"/>
      <c r="J264" s="18"/>
      <c r="L264" s="44">
        <f>Table134567810111213141516171819202122232425262729[[#This Row],[الدولار]]+(Table134567810111213141516171819202122232425262729[[#This Row],[اللبناني]]/90)</f>
        <v>0</v>
      </c>
      <c r="M264" s="6"/>
    </row>
    <row r="265" spans="8:13" s="11" customFormat="1" x14ac:dyDescent="0.3">
      <c r="H265" s="5" t="s">
        <v>434</v>
      </c>
      <c r="I265" s="39"/>
      <c r="J265" s="18"/>
      <c r="L265" s="44">
        <f>Table134567810111213141516171819202122232425262729[[#This Row],[الدولار]]+(Table134567810111213141516171819202122232425262729[[#This Row],[اللبناني]]/90)</f>
        <v>0</v>
      </c>
      <c r="M265" s="6"/>
    </row>
    <row r="266" spans="8:13" s="11" customFormat="1" x14ac:dyDescent="0.3">
      <c r="H266" s="5" t="s">
        <v>434</v>
      </c>
      <c r="I266" s="39"/>
      <c r="J266" s="18"/>
      <c r="L266" s="44">
        <f>Table134567810111213141516171819202122232425262729[[#This Row],[الدولار]]+(Table134567810111213141516171819202122232425262729[[#This Row],[اللبناني]]/90)</f>
        <v>0</v>
      </c>
      <c r="M266" s="6"/>
    </row>
    <row r="267" spans="8:13" s="11" customFormat="1" x14ac:dyDescent="0.3">
      <c r="H267" s="5" t="s">
        <v>434</v>
      </c>
      <c r="I267" s="39"/>
      <c r="J267" s="18"/>
      <c r="L267" s="44">
        <f>Table134567810111213141516171819202122232425262729[[#This Row],[الدولار]]+(Table134567810111213141516171819202122232425262729[[#This Row],[اللبناني]]/90)</f>
        <v>0</v>
      </c>
      <c r="M267" s="6"/>
    </row>
    <row r="268" spans="8:13" s="11" customFormat="1" x14ac:dyDescent="0.3">
      <c r="H268" s="5" t="s">
        <v>434</v>
      </c>
      <c r="I268" s="39"/>
      <c r="J268" s="18"/>
      <c r="L268" s="44">
        <f>Table134567810111213141516171819202122232425262729[[#This Row],[الدولار]]+(Table134567810111213141516171819202122232425262729[[#This Row],[اللبناني]]/90)</f>
        <v>0</v>
      </c>
      <c r="M268" s="6"/>
    </row>
    <row r="269" spans="8:13" s="11" customFormat="1" x14ac:dyDescent="0.3">
      <c r="H269" s="5" t="s">
        <v>434</v>
      </c>
      <c r="I269" s="39"/>
      <c r="J269" s="18"/>
      <c r="L269" s="44">
        <f>Table134567810111213141516171819202122232425262729[[#This Row],[الدولار]]+(Table134567810111213141516171819202122232425262729[[#This Row],[اللبناني]]/90)</f>
        <v>0</v>
      </c>
      <c r="M269" s="6"/>
    </row>
    <row r="270" spans="8:13" s="11" customFormat="1" x14ac:dyDescent="0.3">
      <c r="H270" s="5" t="s">
        <v>434</v>
      </c>
      <c r="I270" s="39"/>
      <c r="J270" s="18"/>
      <c r="L270" s="44">
        <f>Table134567810111213141516171819202122232425262729[[#This Row],[الدولار]]+(Table134567810111213141516171819202122232425262729[[#This Row],[اللبناني]]/90)</f>
        <v>0</v>
      </c>
      <c r="M270" s="6"/>
    </row>
    <row r="271" spans="8:13" s="11" customFormat="1" x14ac:dyDescent="0.3">
      <c r="H271" s="5" t="s">
        <v>434</v>
      </c>
      <c r="I271" s="39"/>
      <c r="J271" s="18"/>
      <c r="L271" s="44">
        <f>Table134567810111213141516171819202122232425262729[[#This Row],[الدولار]]+(Table134567810111213141516171819202122232425262729[[#This Row],[اللبناني]]/90)</f>
        <v>0</v>
      </c>
      <c r="M271" s="6"/>
    </row>
    <row r="272" spans="8:13" s="11" customFormat="1" x14ac:dyDescent="0.3">
      <c r="H272" s="5" t="s">
        <v>434</v>
      </c>
      <c r="I272" s="39"/>
      <c r="J272" s="18"/>
      <c r="L272" s="44">
        <f>Table134567810111213141516171819202122232425262729[[#This Row],[الدولار]]+(Table134567810111213141516171819202122232425262729[[#This Row],[اللبناني]]/90)</f>
        <v>0</v>
      </c>
      <c r="M272" s="6"/>
    </row>
    <row r="273" spans="8:13" s="11" customFormat="1" x14ac:dyDescent="0.3">
      <c r="H273" s="5" t="s">
        <v>434</v>
      </c>
      <c r="I273" s="39"/>
      <c r="J273" s="18"/>
      <c r="L273" s="44">
        <f>Table134567810111213141516171819202122232425262729[[#This Row],[الدولار]]+(Table134567810111213141516171819202122232425262729[[#This Row],[اللبناني]]/90)</f>
        <v>0</v>
      </c>
      <c r="M273" s="6"/>
    </row>
    <row r="274" spans="8:13" s="11" customFormat="1" x14ac:dyDescent="0.3">
      <c r="H274" s="5" t="s">
        <v>434</v>
      </c>
      <c r="I274" s="39"/>
      <c r="J274" s="18"/>
      <c r="L274" s="44">
        <f>Table134567810111213141516171819202122232425262729[[#This Row],[الدولار]]+(Table134567810111213141516171819202122232425262729[[#This Row],[اللبناني]]/90)</f>
        <v>0</v>
      </c>
      <c r="M274" s="6"/>
    </row>
    <row r="275" spans="8:13" s="11" customFormat="1" x14ac:dyDescent="0.3">
      <c r="H275" s="5" t="s">
        <v>434</v>
      </c>
      <c r="I275" s="39"/>
      <c r="J275" s="18"/>
      <c r="L275" s="44">
        <f>Table134567810111213141516171819202122232425262729[[#This Row],[الدولار]]+(Table134567810111213141516171819202122232425262729[[#This Row],[اللبناني]]/90)</f>
        <v>0</v>
      </c>
      <c r="M275" s="6"/>
    </row>
    <row r="276" spans="8:13" s="11" customFormat="1" x14ac:dyDescent="0.3">
      <c r="H276" s="5" t="s">
        <v>434</v>
      </c>
      <c r="I276" s="39"/>
      <c r="J276" s="18"/>
      <c r="L276" s="44">
        <f>Table134567810111213141516171819202122232425262729[[#This Row],[الدولار]]+(Table134567810111213141516171819202122232425262729[[#This Row],[اللبناني]]/90)</f>
        <v>0</v>
      </c>
      <c r="M276" s="6"/>
    </row>
    <row r="277" spans="8:13" s="11" customFormat="1" x14ac:dyDescent="0.3">
      <c r="H277" s="5" t="s">
        <v>434</v>
      </c>
      <c r="I277" s="39"/>
      <c r="J277" s="18"/>
      <c r="L277" s="44">
        <f>Table134567810111213141516171819202122232425262729[[#This Row],[الدولار]]+(Table134567810111213141516171819202122232425262729[[#This Row],[اللبناني]]/90)</f>
        <v>0</v>
      </c>
      <c r="M277" s="6"/>
    </row>
    <row r="278" spans="8:13" s="11" customFormat="1" x14ac:dyDescent="0.3">
      <c r="H278" s="5" t="s">
        <v>434</v>
      </c>
      <c r="I278" s="39"/>
      <c r="J278" s="18"/>
      <c r="L278" s="44">
        <f>Table134567810111213141516171819202122232425262729[[#This Row],[الدولار]]+(Table134567810111213141516171819202122232425262729[[#This Row],[اللبناني]]/90)</f>
        <v>0</v>
      </c>
      <c r="M278" s="6"/>
    </row>
    <row r="279" spans="8:13" s="11" customFormat="1" x14ac:dyDescent="0.3">
      <c r="H279" s="5" t="s">
        <v>434</v>
      </c>
      <c r="I279" s="39"/>
      <c r="J279" s="18"/>
      <c r="L279" s="44">
        <f>Table134567810111213141516171819202122232425262729[[#This Row],[الدولار]]+(Table134567810111213141516171819202122232425262729[[#This Row],[اللبناني]]/90)</f>
        <v>0</v>
      </c>
      <c r="M279" s="6"/>
    </row>
    <row r="280" spans="8:13" s="11" customFormat="1" x14ac:dyDescent="0.3">
      <c r="H280" s="5" t="s">
        <v>434</v>
      </c>
      <c r="I280" s="39"/>
      <c r="J280" s="18"/>
      <c r="L280" s="44">
        <f>Table134567810111213141516171819202122232425262729[[#This Row],[الدولار]]+(Table134567810111213141516171819202122232425262729[[#This Row],[اللبناني]]/90)</f>
        <v>0</v>
      </c>
      <c r="M280" s="6"/>
    </row>
    <row r="281" spans="8:13" s="11" customFormat="1" x14ac:dyDescent="0.3">
      <c r="H281" s="5" t="s">
        <v>434</v>
      </c>
      <c r="I281" s="39"/>
      <c r="J281" s="18"/>
      <c r="L281" s="44">
        <f>Table134567810111213141516171819202122232425262729[[#This Row],[الدولار]]+(Table134567810111213141516171819202122232425262729[[#This Row],[اللبناني]]/90)</f>
        <v>0</v>
      </c>
      <c r="M281" s="6"/>
    </row>
    <row r="282" spans="8:13" s="11" customFormat="1" x14ac:dyDescent="0.3">
      <c r="H282" s="5" t="s">
        <v>434</v>
      </c>
      <c r="I282" s="39"/>
      <c r="J282" s="18"/>
      <c r="L282" s="44">
        <f>Table134567810111213141516171819202122232425262729[[#This Row],[الدولار]]+(Table134567810111213141516171819202122232425262729[[#This Row],[اللبناني]]/90)</f>
        <v>0</v>
      </c>
      <c r="M282" s="6"/>
    </row>
    <row r="283" spans="8:13" s="11" customFormat="1" x14ac:dyDescent="0.3">
      <c r="H283" s="5" t="s">
        <v>434</v>
      </c>
      <c r="I283" s="39"/>
      <c r="J283" s="18"/>
      <c r="L283" s="44">
        <f>Table134567810111213141516171819202122232425262729[[#This Row],[الدولار]]+(Table134567810111213141516171819202122232425262729[[#This Row],[اللبناني]]/90)</f>
        <v>0</v>
      </c>
      <c r="M283" s="6"/>
    </row>
    <row r="284" spans="8:13" s="11" customFormat="1" x14ac:dyDescent="0.3">
      <c r="H284" s="5" t="s">
        <v>434</v>
      </c>
      <c r="I284" s="39"/>
      <c r="J284" s="18"/>
      <c r="L284" s="44">
        <f>Table134567810111213141516171819202122232425262729[[#This Row],[الدولار]]+(Table134567810111213141516171819202122232425262729[[#This Row],[اللبناني]]/90)</f>
        <v>0</v>
      </c>
      <c r="M284" s="6"/>
    </row>
    <row r="285" spans="8:13" s="11" customFormat="1" x14ac:dyDescent="0.3">
      <c r="H285" s="5" t="s">
        <v>434</v>
      </c>
      <c r="I285" s="39"/>
      <c r="J285" s="18"/>
      <c r="L285" s="44">
        <f>Table134567810111213141516171819202122232425262729[[#This Row],[الدولار]]+(Table134567810111213141516171819202122232425262729[[#This Row],[اللبناني]]/90)</f>
        <v>0</v>
      </c>
      <c r="M285" s="6"/>
    </row>
    <row r="286" spans="8:13" s="11" customFormat="1" x14ac:dyDescent="0.3">
      <c r="H286" s="5" t="s">
        <v>434</v>
      </c>
      <c r="I286" s="39"/>
      <c r="J286" s="18"/>
      <c r="L286" s="44">
        <f>Table134567810111213141516171819202122232425262729[[#This Row],[الدولار]]+(Table134567810111213141516171819202122232425262729[[#This Row],[اللبناني]]/90)</f>
        <v>0</v>
      </c>
      <c r="M286" s="6"/>
    </row>
    <row r="287" spans="8:13" s="11" customFormat="1" x14ac:dyDescent="0.3">
      <c r="H287" s="5" t="s">
        <v>434</v>
      </c>
      <c r="I287" s="39"/>
      <c r="J287" s="18"/>
      <c r="L287" s="44">
        <f>Table134567810111213141516171819202122232425262729[[#This Row],[الدولار]]+(Table134567810111213141516171819202122232425262729[[#This Row],[اللبناني]]/90)</f>
        <v>0</v>
      </c>
      <c r="M287" s="6"/>
    </row>
    <row r="288" spans="8:13" s="11" customFormat="1" x14ac:dyDescent="0.3">
      <c r="H288" s="5" t="s">
        <v>434</v>
      </c>
      <c r="I288" s="39"/>
      <c r="J288" s="18"/>
      <c r="L288" s="44">
        <f>Table134567810111213141516171819202122232425262729[[#This Row],[الدولار]]+(Table134567810111213141516171819202122232425262729[[#This Row],[اللبناني]]/90)</f>
        <v>0</v>
      </c>
      <c r="M288" s="6"/>
    </row>
    <row r="289" spans="8:13" s="11" customFormat="1" x14ac:dyDescent="0.3">
      <c r="H289" s="5" t="s">
        <v>434</v>
      </c>
      <c r="I289" s="39"/>
      <c r="J289" s="18"/>
      <c r="L289" s="44">
        <f>Table134567810111213141516171819202122232425262729[[#This Row],[الدولار]]+(Table134567810111213141516171819202122232425262729[[#This Row],[اللبناني]]/90)</f>
        <v>0</v>
      </c>
      <c r="M289" s="6"/>
    </row>
    <row r="290" spans="8:13" s="11" customFormat="1" x14ac:dyDescent="0.3">
      <c r="H290" s="5" t="s">
        <v>434</v>
      </c>
      <c r="I290" s="39"/>
      <c r="J290" s="18"/>
      <c r="L290" s="44">
        <f>Table134567810111213141516171819202122232425262729[[#This Row],[الدولار]]+(Table134567810111213141516171819202122232425262729[[#This Row],[اللبناني]]/90)</f>
        <v>0</v>
      </c>
      <c r="M290" s="6"/>
    </row>
    <row r="291" spans="8:13" s="11" customFormat="1" x14ac:dyDescent="0.3">
      <c r="H291" s="5" t="s">
        <v>434</v>
      </c>
      <c r="I291" s="39"/>
      <c r="J291" s="18"/>
      <c r="L291" s="44">
        <f>Table134567810111213141516171819202122232425262729[[#This Row],[الدولار]]+(Table134567810111213141516171819202122232425262729[[#This Row],[اللبناني]]/90)</f>
        <v>0</v>
      </c>
      <c r="M291" s="6"/>
    </row>
    <row r="292" spans="8:13" s="11" customFormat="1" x14ac:dyDescent="0.3">
      <c r="H292" s="5" t="s">
        <v>434</v>
      </c>
      <c r="I292" s="39"/>
      <c r="J292" s="18"/>
      <c r="L292" s="44">
        <f>Table134567810111213141516171819202122232425262729[[#This Row],[الدولار]]+(Table134567810111213141516171819202122232425262729[[#This Row],[اللبناني]]/90)</f>
        <v>0</v>
      </c>
      <c r="M292" s="6"/>
    </row>
    <row r="293" spans="8:13" s="11" customFormat="1" x14ac:dyDescent="0.3">
      <c r="H293" s="5" t="s">
        <v>434</v>
      </c>
      <c r="I293" s="39"/>
      <c r="J293" s="18"/>
      <c r="L293" s="44">
        <f>Table134567810111213141516171819202122232425262729[[#This Row],[الدولار]]+(Table134567810111213141516171819202122232425262729[[#This Row],[اللبناني]]/90)</f>
        <v>0</v>
      </c>
      <c r="M293" s="6"/>
    </row>
    <row r="294" spans="8:13" s="11" customFormat="1" x14ac:dyDescent="0.3">
      <c r="H294" s="5" t="s">
        <v>434</v>
      </c>
      <c r="I294" s="39"/>
      <c r="J294" s="18"/>
      <c r="L294" s="44">
        <f>Table134567810111213141516171819202122232425262729[[#This Row],[الدولار]]+(Table134567810111213141516171819202122232425262729[[#This Row],[اللبناني]]/90)</f>
        <v>0</v>
      </c>
      <c r="M294" s="6"/>
    </row>
    <row r="295" spans="8:13" s="11" customFormat="1" x14ac:dyDescent="0.3">
      <c r="H295" s="5" t="s">
        <v>434</v>
      </c>
      <c r="I295" s="39"/>
      <c r="J295" s="18"/>
      <c r="L295" s="44">
        <f>Table134567810111213141516171819202122232425262729[[#This Row],[الدولار]]+(Table134567810111213141516171819202122232425262729[[#This Row],[اللبناني]]/90)</f>
        <v>0</v>
      </c>
      <c r="M295" s="6"/>
    </row>
    <row r="296" spans="8:13" s="11" customFormat="1" x14ac:dyDescent="0.3">
      <c r="H296" s="5" t="s">
        <v>434</v>
      </c>
      <c r="I296" s="39"/>
      <c r="J296" s="18"/>
      <c r="L296" s="44">
        <f>Table134567810111213141516171819202122232425262729[[#This Row],[الدولار]]+(Table134567810111213141516171819202122232425262729[[#This Row],[اللبناني]]/90)</f>
        <v>0</v>
      </c>
      <c r="M296" s="6"/>
    </row>
    <row r="297" spans="8:13" s="11" customFormat="1" x14ac:dyDescent="0.3">
      <c r="H297" s="5" t="s">
        <v>434</v>
      </c>
      <c r="I297" s="39"/>
      <c r="J297" s="18"/>
      <c r="L297" s="44">
        <f>Table134567810111213141516171819202122232425262729[[#This Row],[الدولار]]+(Table134567810111213141516171819202122232425262729[[#This Row],[اللبناني]]/90)</f>
        <v>0</v>
      </c>
      <c r="M297" s="6"/>
    </row>
    <row r="298" spans="8:13" s="11" customFormat="1" x14ac:dyDescent="0.3">
      <c r="H298" s="5" t="s">
        <v>434</v>
      </c>
      <c r="I298" s="39"/>
      <c r="J298" s="18"/>
      <c r="L298" s="44">
        <f>Table134567810111213141516171819202122232425262729[[#This Row],[الدولار]]+(Table134567810111213141516171819202122232425262729[[#This Row],[اللبناني]]/90)</f>
        <v>0</v>
      </c>
      <c r="M298" s="6"/>
    </row>
    <row r="299" spans="8:13" s="11" customFormat="1" x14ac:dyDescent="0.3">
      <c r="H299" s="5" t="s">
        <v>434</v>
      </c>
      <c r="I299" s="39"/>
      <c r="J299" s="18"/>
      <c r="L299" s="44">
        <f>Table134567810111213141516171819202122232425262729[[#This Row],[الدولار]]+(Table134567810111213141516171819202122232425262729[[#This Row],[اللبناني]]/90)</f>
        <v>0</v>
      </c>
      <c r="M299" s="6"/>
    </row>
    <row r="300" spans="8:13" s="11" customFormat="1" x14ac:dyDescent="0.3">
      <c r="H300" s="5" t="s">
        <v>434</v>
      </c>
      <c r="I300" s="39"/>
      <c r="J300" s="18"/>
      <c r="L300" s="44">
        <f>Table134567810111213141516171819202122232425262729[[#This Row],[الدولار]]+(Table134567810111213141516171819202122232425262729[[#This Row],[اللبناني]]/90)</f>
        <v>0</v>
      </c>
      <c r="M300" s="6"/>
    </row>
    <row r="301" spans="8:13" s="11" customFormat="1" x14ac:dyDescent="0.3">
      <c r="H301" s="5" t="s">
        <v>434</v>
      </c>
      <c r="I301" s="39"/>
      <c r="J301" s="18"/>
      <c r="L301" s="44">
        <f>Table134567810111213141516171819202122232425262729[[#This Row],[الدولار]]+(Table134567810111213141516171819202122232425262729[[#This Row],[اللبناني]]/90)</f>
        <v>0</v>
      </c>
      <c r="M301" s="6"/>
    </row>
    <row r="302" spans="8:13" s="11" customFormat="1" x14ac:dyDescent="0.3">
      <c r="H302" s="5" t="s">
        <v>434</v>
      </c>
      <c r="I302" s="39"/>
      <c r="J302" s="18"/>
      <c r="L302" s="44">
        <f>Table134567810111213141516171819202122232425262729[[#This Row],[الدولار]]+(Table134567810111213141516171819202122232425262729[[#This Row],[اللبناني]]/90)</f>
        <v>0</v>
      </c>
      <c r="M302" s="6"/>
    </row>
    <row r="303" spans="8:13" s="11" customFormat="1" x14ac:dyDescent="0.3">
      <c r="H303" s="5" t="s">
        <v>434</v>
      </c>
      <c r="I303" s="39"/>
      <c r="J303" s="18"/>
      <c r="L303" s="44">
        <f>Table134567810111213141516171819202122232425262729[[#This Row],[الدولار]]+(Table134567810111213141516171819202122232425262729[[#This Row],[اللبناني]]/90)</f>
        <v>0</v>
      </c>
      <c r="M303" s="6"/>
    </row>
    <row r="304" spans="8:13" s="11" customFormat="1" x14ac:dyDescent="0.3">
      <c r="H304" s="5" t="s">
        <v>434</v>
      </c>
      <c r="I304" s="39"/>
      <c r="J304" s="18"/>
      <c r="L304" s="44">
        <f>Table134567810111213141516171819202122232425262729[[#This Row],[الدولار]]+(Table134567810111213141516171819202122232425262729[[#This Row],[اللبناني]]/90)</f>
        <v>0</v>
      </c>
      <c r="M304" s="6"/>
    </row>
    <row r="305" spans="8:13" s="11" customFormat="1" x14ac:dyDescent="0.3">
      <c r="H305" s="5" t="s">
        <v>434</v>
      </c>
      <c r="I305" s="39"/>
      <c r="J305" s="18"/>
      <c r="L305" s="44">
        <f>Table134567810111213141516171819202122232425262729[[#This Row],[الدولار]]+(Table134567810111213141516171819202122232425262729[[#This Row],[اللبناني]]/90)</f>
        <v>0</v>
      </c>
      <c r="M305" s="6"/>
    </row>
    <row r="306" spans="8:13" s="11" customFormat="1" x14ac:dyDescent="0.3">
      <c r="H306" s="5" t="s">
        <v>434</v>
      </c>
      <c r="I306" s="39"/>
      <c r="J306" s="18"/>
      <c r="L306" s="44">
        <f>Table134567810111213141516171819202122232425262729[[#This Row],[الدولار]]+(Table134567810111213141516171819202122232425262729[[#This Row],[اللبناني]]/90)</f>
        <v>0</v>
      </c>
      <c r="M306" s="6"/>
    </row>
    <row r="307" spans="8:13" s="11" customFormat="1" x14ac:dyDescent="0.3">
      <c r="H307" s="5" t="s">
        <v>434</v>
      </c>
      <c r="I307" s="39"/>
      <c r="J307" s="18"/>
      <c r="L307" s="44">
        <f>Table134567810111213141516171819202122232425262729[[#This Row],[الدولار]]+(Table134567810111213141516171819202122232425262729[[#This Row],[اللبناني]]/90)</f>
        <v>0</v>
      </c>
      <c r="M307" s="6"/>
    </row>
    <row r="308" spans="8:13" s="11" customFormat="1" x14ac:dyDescent="0.3">
      <c r="H308" s="5" t="s">
        <v>434</v>
      </c>
      <c r="I308" s="39"/>
      <c r="J308" s="18"/>
      <c r="L308" s="44">
        <f>Table134567810111213141516171819202122232425262729[[#This Row],[الدولار]]+(Table134567810111213141516171819202122232425262729[[#This Row],[اللبناني]]/90)</f>
        <v>0</v>
      </c>
      <c r="M308" s="6"/>
    </row>
    <row r="309" spans="8:13" s="11" customFormat="1" x14ac:dyDescent="0.3">
      <c r="H309" s="5" t="s">
        <v>434</v>
      </c>
      <c r="I309" s="39"/>
      <c r="J309" s="18"/>
      <c r="L309" s="44">
        <f>Table134567810111213141516171819202122232425262729[[#This Row],[الدولار]]+(Table134567810111213141516171819202122232425262729[[#This Row],[اللبناني]]/90)</f>
        <v>0</v>
      </c>
      <c r="M309" s="6"/>
    </row>
    <row r="310" spans="8:13" s="11" customFormat="1" x14ac:dyDescent="0.3">
      <c r="H310" s="5" t="s">
        <v>434</v>
      </c>
      <c r="I310" s="39"/>
      <c r="J310" s="18"/>
      <c r="L310" s="44">
        <f>Table134567810111213141516171819202122232425262729[[#This Row],[الدولار]]+(Table134567810111213141516171819202122232425262729[[#This Row],[اللبناني]]/90)</f>
        <v>0</v>
      </c>
      <c r="M310" s="6"/>
    </row>
    <row r="311" spans="8:13" s="11" customFormat="1" x14ac:dyDescent="0.3">
      <c r="H311" s="5" t="s">
        <v>434</v>
      </c>
      <c r="I311" s="39"/>
      <c r="J311" s="18"/>
      <c r="L311" s="44">
        <f>Table134567810111213141516171819202122232425262729[[#This Row],[الدولار]]+(Table134567810111213141516171819202122232425262729[[#This Row],[اللبناني]]/90)</f>
        <v>0</v>
      </c>
      <c r="M311" s="6"/>
    </row>
    <row r="312" spans="8:13" s="11" customFormat="1" x14ac:dyDescent="0.3">
      <c r="H312" s="5" t="s">
        <v>434</v>
      </c>
      <c r="I312" s="39"/>
      <c r="J312" s="18"/>
      <c r="L312" s="44">
        <f>Table134567810111213141516171819202122232425262729[[#This Row],[الدولار]]+(Table134567810111213141516171819202122232425262729[[#This Row],[اللبناني]]/90)</f>
        <v>0</v>
      </c>
      <c r="M312" s="6"/>
    </row>
    <row r="313" spans="8:13" s="11" customFormat="1" x14ac:dyDescent="0.3">
      <c r="H313" s="5" t="s">
        <v>434</v>
      </c>
      <c r="I313" s="39"/>
      <c r="J313" s="18"/>
      <c r="L313" s="44">
        <f>Table134567810111213141516171819202122232425262729[[#This Row],[الدولار]]+(Table134567810111213141516171819202122232425262729[[#This Row],[اللبناني]]/90)</f>
        <v>0</v>
      </c>
      <c r="M313" s="6"/>
    </row>
    <row r="314" spans="8:13" s="11" customFormat="1" x14ac:dyDescent="0.3">
      <c r="H314" s="5" t="s">
        <v>434</v>
      </c>
      <c r="I314" s="39"/>
      <c r="J314" s="18"/>
      <c r="L314" s="44">
        <f>Table134567810111213141516171819202122232425262729[[#This Row],[الدولار]]+(Table134567810111213141516171819202122232425262729[[#This Row],[اللبناني]]/90)</f>
        <v>0</v>
      </c>
      <c r="M314" s="6"/>
    </row>
    <row r="315" spans="8:13" s="11" customFormat="1" x14ac:dyDescent="0.3">
      <c r="H315" s="5" t="s">
        <v>434</v>
      </c>
      <c r="I315" s="39"/>
      <c r="J315" s="18"/>
      <c r="L315" s="44">
        <f>Table134567810111213141516171819202122232425262729[[#This Row],[الدولار]]+(Table134567810111213141516171819202122232425262729[[#This Row],[اللبناني]]/90)</f>
        <v>0</v>
      </c>
      <c r="M315" s="6"/>
    </row>
    <row r="316" spans="8:13" s="11" customFormat="1" x14ac:dyDescent="0.3">
      <c r="H316" s="5" t="s">
        <v>434</v>
      </c>
      <c r="I316" s="39"/>
      <c r="J316" s="18"/>
      <c r="L316" s="44">
        <f>Table134567810111213141516171819202122232425262729[[#This Row],[الدولار]]+(Table134567810111213141516171819202122232425262729[[#This Row],[اللبناني]]/90)</f>
        <v>0</v>
      </c>
      <c r="M316" s="6"/>
    </row>
    <row r="317" spans="8:13" s="11" customFormat="1" x14ac:dyDescent="0.3">
      <c r="H317" s="5" t="s">
        <v>434</v>
      </c>
      <c r="I317" s="39"/>
      <c r="J317" s="18"/>
      <c r="L317" s="44">
        <f>Table134567810111213141516171819202122232425262729[[#This Row],[الدولار]]+(Table134567810111213141516171819202122232425262729[[#This Row],[اللبناني]]/90)</f>
        <v>0</v>
      </c>
      <c r="M317" s="6"/>
    </row>
    <row r="318" spans="8:13" s="11" customFormat="1" x14ac:dyDescent="0.3">
      <c r="H318" s="5" t="s">
        <v>434</v>
      </c>
      <c r="I318" s="39"/>
      <c r="J318" s="18"/>
      <c r="L318" s="44">
        <f>Table134567810111213141516171819202122232425262729[[#This Row],[الدولار]]+(Table134567810111213141516171819202122232425262729[[#This Row],[اللبناني]]/90)</f>
        <v>0</v>
      </c>
      <c r="M318" s="6"/>
    </row>
    <row r="319" spans="8:13" s="11" customFormat="1" x14ac:dyDescent="0.3">
      <c r="H319" s="5" t="s">
        <v>434</v>
      </c>
      <c r="I319" s="39"/>
      <c r="J319" s="18"/>
      <c r="L319" s="44">
        <f>Table134567810111213141516171819202122232425262729[[#This Row],[الدولار]]+(Table134567810111213141516171819202122232425262729[[#This Row],[اللبناني]]/90)</f>
        <v>0</v>
      </c>
      <c r="M319" s="6"/>
    </row>
    <row r="320" spans="8:13" s="11" customFormat="1" x14ac:dyDescent="0.3">
      <c r="H320" s="5" t="s">
        <v>434</v>
      </c>
      <c r="I320" s="39"/>
      <c r="J320" s="18"/>
      <c r="L320" s="44">
        <f>Table134567810111213141516171819202122232425262729[[#This Row],[الدولار]]+(Table134567810111213141516171819202122232425262729[[#This Row],[اللبناني]]/90)</f>
        <v>0</v>
      </c>
      <c r="M320" s="6"/>
    </row>
    <row r="321" spans="8:13" s="11" customFormat="1" x14ac:dyDescent="0.3">
      <c r="H321" s="5" t="s">
        <v>434</v>
      </c>
      <c r="I321" s="39"/>
      <c r="J321" s="18"/>
      <c r="L321" s="44">
        <f>Table134567810111213141516171819202122232425262729[[#This Row],[الدولار]]+(Table134567810111213141516171819202122232425262729[[#This Row],[اللبناني]]/90)</f>
        <v>0</v>
      </c>
      <c r="M321" s="6"/>
    </row>
    <row r="322" spans="8:13" s="11" customFormat="1" x14ac:dyDescent="0.3">
      <c r="H322" s="5" t="s">
        <v>434</v>
      </c>
      <c r="I322" s="39"/>
      <c r="J322" s="18"/>
      <c r="L322" s="44">
        <f>Table134567810111213141516171819202122232425262729[[#This Row],[الدولار]]+(Table134567810111213141516171819202122232425262729[[#This Row],[اللبناني]]/90)</f>
        <v>0</v>
      </c>
      <c r="M322" s="6"/>
    </row>
    <row r="323" spans="8:13" s="11" customFormat="1" x14ac:dyDescent="0.3">
      <c r="H323" s="5" t="s">
        <v>434</v>
      </c>
      <c r="I323" s="39"/>
      <c r="J323" s="18"/>
      <c r="L323" s="44">
        <f>Table134567810111213141516171819202122232425262729[[#This Row],[الدولار]]+(Table134567810111213141516171819202122232425262729[[#This Row],[اللبناني]]/90)</f>
        <v>0</v>
      </c>
      <c r="M323" s="6"/>
    </row>
    <row r="324" spans="8:13" s="11" customFormat="1" x14ac:dyDescent="0.3">
      <c r="H324" s="5" t="s">
        <v>434</v>
      </c>
      <c r="I324" s="39"/>
      <c r="J324" s="18"/>
      <c r="L324" s="44">
        <f>Table134567810111213141516171819202122232425262729[[#This Row],[الدولار]]+(Table134567810111213141516171819202122232425262729[[#This Row],[اللبناني]]/90)</f>
        <v>0</v>
      </c>
      <c r="M324" s="6"/>
    </row>
    <row r="325" spans="8:13" s="11" customFormat="1" x14ac:dyDescent="0.3">
      <c r="H325" s="5" t="s">
        <v>434</v>
      </c>
      <c r="I325" s="39"/>
      <c r="J325" s="18"/>
      <c r="L325" s="44">
        <f>Table134567810111213141516171819202122232425262729[[#This Row],[الدولار]]+(Table134567810111213141516171819202122232425262729[[#This Row],[اللبناني]]/90)</f>
        <v>0</v>
      </c>
      <c r="M325" s="6"/>
    </row>
    <row r="326" spans="8:13" s="11" customFormat="1" x14ac:dyDescent="0.3">
      <c r="H326" s="5" t="s">
        <v>434</v>
      </c>
      <c r="I326" s="39"/>
      <c r="J326" s="18"/>
      <c r="L326" s="44">
        <f>Table134567810111213141516171819202122232425262729[[#This Row],[الدولار]]+(Table134567810111213141516171819202122232425262729[[#This Row],[اللبناني]]/90)</f>
        <v>0</v>
      </c>
      <c r="M326" s="6"/>
    </row>
    <row r="327" spans="8:13" s="11" customFormat="1" x14ac:dyDescent="0.3">
      <c r="H327" s="5" t="s">
        <v>434</v>
      </c>
      <c r="I327" s="39"/>
      <c r="J327" s="18"/>
      <c r="L327" s="44">
        <f>Table134567810111213141516171819202122232425262729[[#This Row],[الدولار]]+(Table134567810111213141516171819202122232425262729[[#This Row],[اللبناني]]/90)</f>
        <v>0</v>
      </c>
      <c r="M327" s="6"/>
    </row>
    <row r="328" spans="8:13" s="11" customFormat="1" x14ac:dyDescent="0.3">
      <c r="H328" s="5" t="s">
        <v>434</v>
      </c>
      <c r="I328" s="39"/>
      <c r="J328" s="18"/>
      <c r="L328" s="44">
        <f>Table134567810111213141516171819202122232425262729[[#This Row],[الدولار]]+(Table134567810111213141516171819202122232425262729[[#This Row],[اللبناني]]/90)</f>
        <v>0</v>
      </c>
      <c r="M328" s="6"/>
    </row>
    <row r="329" spans="8:13" s="11" customFormat="1" x14ac:dyDescent="0.3">
      <c r="H329" s="5" t="s">
        <v>434</v>
      </c>
      <c r="I329" s="39"/>
      <c r="J329" s="18"/>
      <c r="L329" s="44">
        <f>Table134567810111213141516171819202122232425262729[[#This Row],[الدولار]]+(Table134567810111213141516171819202122232425262729[[#This Row],[اللبناني]]/90)</f>
        <v>0</v>
      </c>
      <c r="M329" s="6"/>
    </row>
    <row r="330" spans="8:13" s="11" customFormat="1" x14ac:dyDescent="0.3">
      <c r="H330" s="5" t="s">
        <v>434</v>
      </c>
      <c r="I330" s="39"/>
      <c r="J330" s="18"/>
      <c r="L330" s="44">
        <f>Table134567810111213141516171819202122232425262729[[#This Row],[الدولار]]+(Table134567810111213141516171819202122232425262729[[#This Row],[اللبناني]]/90)</f>
        <v>0</v>
      </c>
      <c r="M330" s="6"/>
    </row>
    <row r="331" spans="8:13" s="11" customFormat="1" x14ac:dyDescent="0.3">
      <c r="H331" s="5" t="s">
        <v>434</v>
      </c>
      <c r="I331" s="39"/>
      <c r="J331" s="18"/>
      <c r="L331" s="44">
        <f>Table134567810111213141516171819202122232425262729[[#This Row],[الدولار]]+(Table134567810111213141516171819202122232425262729[[#This Row],[اللبناني]]/90)</f>
        <v>0</v>
      </c>
      <c r="M331" s="6"/>
    </row>
    <row r="332" spans="8:13" s="11" customFormat="1" x14ac:dyDescent="0.3">
      <c r="H332" s="5" t="s">
        <v>434</v>
      </c>
      <c r="I332" s="39"/>
      <c r="J332" s="18"/>
      <c r="L332" s="44">
        <f>Table134567810111213141516171819202122232425262729[[#This Row],[الدولار]]+(Table134567810111213141516171819202122232425262729[[#This Row],[اللبناني]]/90)</f>
        <v>0</v>
      </c>
      <c r="M332" s="6"/>
    </row>
    <row r="333" spans="8:13" s="11" customFormat="1" x14ac:dyDescent="0.3">
      <c r="H333" s="5" t="s">
        <v>434</v>
      </c>
      <c r="I333" s="39"/>
      <c r="J333" s="18"/>
      <c r="L333" s="44">
        <f>Table134567810111213141516171819202122232425262729[[#This Row],[الدولار]]+(Table134567810111213141516171819202122232425262729[[#This Row],[اللبناني]]/90)</f>
        <v>0</v>
      </c>
      <c r="M333" s="6"/>
    </row>
    <row r="334" spans="8:13" s="11" customFormat="1" x14ac:dyDescent="0.3">
      <c r="H334" s="5" t="s">
        <v>434</v>
      </c>
      <c r="I334" s="39"/>
      <c r="J334" s="18"/>
      <c r="L334" s="44">
        <f>Table134567810111213141516171819202122232425262729[[#This Row],[الدولار]]+(Table134567810111213141516171819202122232425262729[[#This Row],[اللبناني]]/90)</f>
        <v>0</v>
      </c>
      <c r="M334" s="6"/>
    </row>
    <row r="335" spans="8:13" s="11" customFormat="1" x14ac:dyDescent="0.3">
      <c r="H335" s="5" t="s">
        <v>434</v>
      </c>
      <c r="I335" s="39"/>
      <c r="J335" s="18"/>
      <c r="L335" s="44">
        <f>Table134567810111213141516171819202122232425262729[[#This Row],[الدولار]]+(Table134567810111213141516171819202122232425262729[[#This Row],[اللبناني]]/90)</f>
        <v>0</v>
      </c>
      <c r="M335" s="6"/>
    </row>
    <row r="336" spans="8:13" s="11" customFormat="1" x14ac:dyDescent="0.3">
      <c r="H336" s="5" t="s">
        <v>434</v>
      </c>
      <c r="I336" s="39"/>
      <c r="J336" s="18"/>
      <c r="L336" s="44">
        <f>Table134567810111213141516171819202122232425262729[[#This Row],[الدولار]]+(Table134567810111213141516171819202122232425262729[[#This Row],[اللبناني]]/90)</f>
        <v>0</v>
      </c>
      <c r="M336" s="6"/>
    </row>
    <row r="337" spans="8:13" s="11" customFormat="1" x14ac:dyDescent="0.3">
      <c r="H337" s="5" t="s">
        <v>434</v>
      </c>
      <c r="I337" s="39"/>
      <c r="J337" s="18"/>
      <c r="L337" s="44">
        <f>Table134567810111213141516171819202122232425262729[[#This Row],[الدولار]]+(Table134567810111213141516171819202122232425262729[[#This Row],[اللبناني]]/90)</f>
        <v>0</v>
      </c>
      <c r="M337" s="6"/>
    </row>
    <row r="338" spans="8:13" s="11" customFormat="1" x14ac:dyDescent="0.3">
      <c r="H338" s="5" t="s">
        <v>434</v>
      </c>
      <c r="I338" s="39"/>
      <c r="J338" s="18"/>
      <c r="L338" s="44">
        <f>Table134567810111213141516171819202122232425262729[[#This Row],[الدولار]]+(Table134567810111213141516171819202122232425262729[[#This Row],[اللبناني]]/90)</f>
        <v>0</v>
      </c>
      <c r="M338" s="6"/>
    </row>
    <row r="339" spans="8:13" s="11" customFormat="1" x14ac:dyDescent="0.3">
      <c r="H339" s="5" t="s">
        <v>434</v>
      </c>
      <c r="I339" s="39"/>
      <c r="J339" s="18"/>
      <c r="L339" s="44">
        <f>Table134567810111213141516171819202122232425262729[[#This Row],[الدولار]]+(Table134567810111213141516171819202122232425262729[[#This Row],[اللبناني]]/90)</f>
        <v>0</v>
      </c>
      <c r="M339" s="6"/>
    </row>
    <row r="340" spans="8:13" s="11" customFormat="1" x14ac:dyDescent="0.3">
      <c r="H340" s="5" t="s">
        <v>434</v>
      </c>
      <c r="I340" s="39"/>
      <c r="J340" s="18"/>
      <c r="L340" s="44">
        <f>Table134567810111213141516171819202122232425262729[[#This Row],[الدولار]]+(Table134567810111213141516171819202122232425262729[[#This Row],[اللبناني]]/90)</f>
        <v>0</v>
      </c>
      <c r="M340" s="6"/>
    </row>
    <row r="341" spans="8:13" s="11" customFormat="1" x14ac:dyDescent="0.3">
      <c r="H341" s="5" t="s">
        <v>434</v>
      </c>
      <c r="I341" s="39"/>
      <c r="J341" s="18"/>
      <c r="L341" s="44">
        <f>Table134567810111213141516171819202122232425262729[[#This Row],[الدولار]]+(Table134567810111213141516171819202122232425262729[[#This Row],[اللبناني]]/90)</f>
        <v>0</v>
      </c>
      <c r="M341" s="6"/>
    </row>
    <row r="342" spans="8:13" s="11" customFormat="1" x14ac:dyDescent="0.3">
      <c r="H342" s="5" t="s">
        <v>434</v>
      </c>
      <c r="I342" s="39"/>
      <c r="J342" s="18"/>
      <c r="L342" s="44">
        <f>Table134567810111213141516171819202122232425262729[[#This Row],[الدولار]]+(Table134567810111213141516171819202122232425262729[[#This Row],[اللبناني]]/90)</f>
        <v>0</v>
      </c>
      <c r="M342" s="6"/>
    </row>
    <row r="343" spans="8:13" s="11" customFormat="1" x14ac:dyDescent="0.3">
      <c r="H343" s="5" t="s">
        <v>434</v>
      </c>
      <c r="I343" s="39"/>
      <c r="J343" s="18"/>
      <c r="L343" s="44">
        <f>Table134567810111213141516171819202122232425262729[[#This Row],[الدولار]]+(Table134567810111213141516171819202122232425262729[[#This Row],[اللبناني]]/90)</f>
        <v>0</v>
      </c>
      <c r="M343" s="6"/>
    </row>
    <row r="344" spans="8:13" s="11" customFormat="1" x14ac:dyDescent="0.3">
      <c r="H344" s="5" t="s">
        <v>434</v>
      </c>
      <c r="I344" s="39"/>
      <c r="J344" s="18"/>
      <c r="L344" s="44">
        <f>Table134567810111213141516171819202122232425262729[[#This Row],[الدولار]]+(Table134567810111213141516171819202122232425262729[[#This Row],[اللبناني]]/90)</f>
        <v>0</v>
      </c>
      <c r="M344" s="6"/>
    </row>
    <row r="345" spans="8:13" s="11" customFormat="1" x14ac:dyDescent="0.3">
      <c r="H345" s="5" t="s">
        <v>434</v>
      </c>
      <c r="I345" s="39"/>
      <c r="J345" s="18"/>
      <c r="L345" s="44">
        <f>Table134567810111213141516171819202122232425262729[[#This Row],[الدولار]]+(Table134567810111213141516171819202122232425262729[[#This Row],[اللبناني]]/90)</f>
        <v>0</v>
      </c>
      <c r="M345" s="6"/>
    </row>
    <row r="346" spans="8:13" s="11" customFormat="1" x14ac:dyDescent="0.3">
      <c r="H346" s="5" t="s">
        <v>434</v>
      </c>
      <c r="I346" s="39"/>
      <c r="J346" s="18"/>
      <c r="L346" s="44">
        <f>Table134567810111213141516171819202122232425262729[[#This Row],[الدولار]]+(Table134567810111213141516171819202122232425262729[[#This Row],[اللبناني]]/90)</f>
        <v>0</v>
      </c>
      <c r="M346" s="6"/>
    </row>
    <row r="347" spans="8:13" s="11" customFormat="1" x14ac:dyDescent="0.3">
      <c r="H347" s="5" t="s">
        <v>434</v>
      </c>
      <c r="I347" s="39"/>
      <c r="J347" s="18"/>
      <c r="L347" s="44">
        <f>Table134567810111213141516171819202122232425262729[[#This Row],[الدولار]]+(Table134567810111213141516171819202122232425262729[[#This Row],[اللبناني]]/90)</f>
        <v>0</v>
      </c>
      <c r="M347" s="6"/>
    </row>
    <row r="348" spans="8:13" s="11" customFormat="1" x14ac:dyDescent="0.3">
      <c r="H348" s="5" t="s">
        <v>434</v>
      </c>
      <c r="I348" s="39"/>
      <c r="J348" s="18"/>
      <c r="L348" s="44">
        <f>Table134567810111213141516171819202122232425262729[[#This Row],[الدولار]]+(Table134567810111213141516171819202122232425262729[[#This Row],[اللبناني]]/90)</f>
        <v>0</v>
      </c>
      <c r="M348" s="6"/>
    </row>
    <row r="349" spans="8:13" s="11" customFormat="1" x14ac:dyDescent="0.3">
      <c r="H349" s="5" t="s">
        <v>434</v>
      </c>
      <c r="I349" s="39"/>
      <c r="J349" s="18"/>
      <c r="L349" s="44">
        <f>Table134567810111213141516171819202122232425262729[[#This Row],[الدولار]]+(Table134567810111213141516171819202122232425262729[[#This Row],[اللبناني]]/90)</f>
        <v>0</v>
      </c>
      <c r="M349" s="6"/>
    </row>
    <row r="350" spans="8:13" s="11" customFormat="1" x14ac:dyDescent="0.3">
      <c r="H350" s="5" t="s">
        <v>434</v>
      </c>
      <c r="I350" s="39"/>
      <c r="J350" s="18"/>
      <c r="L350" s="44">
        <f>Table134567810111213141516171819202122232425262729[[#This Row],[الدولار]]+(Table134567810111213141516171819202122232425262729[[#This Row],[اللبناني]]/90)</f>
        <v>0</v>
      </c>
      <c r="M350" s="6"/>
    </row>
    <row r="351" spans="8:13" s="11" customFormat="1" x14ac:dyDescent="0.3">
      <c r="H351" s="5" t="s">
        <v>434</v>
      </c>
      <c r="I351" s="39"/>
      <c r="J351" s="18"/>
      <c r="L351" s="44">
        <f>Table134567810111213141516171819202122232425262729[[#This Row],[الدولار]]+(Table134567810111213141516171819202122232425262729[[#This Row],[اللبناني]]/90)</f>
        <v>0</v>
      </c>
      <c r="M351" s="6"/>
    </row>
    <row r="352" spans="8:13" s="11" customFormat="1" x14ac:dyDescent="0.3">
      <c r="H352" s="5" t="s">
        <v>434</v>
      </c>
      <c r="I352" s="39"/>
      <c r="J352" s="18"/>
      <c r="L352" s="44">
        <f>Table134567810111213141516171819202122232425262729[[#This Row],[الدولار]]+(Table134567810111213141516171819202122232425262729[[#This Row],[اللبناني]]/90)</f>
        <v>0</v>
      </c>
      <c r="M352" s="6"/>
    </row>
    <row r="353" spans="8:13" s="11" customFormat="1" x14ac:dyDescent="0.3">
      <c r="H353" s="5" t="s">
        <v>434</v>
      </c>
      <c r="I353" s="39"/>
      <c r="J353" s="18"/>
      <c r="L353" s="44">
        <f>Table134567810111213141516171819202122232425262729[[#This Row],[الدولار]]+(Table134567810111213141516171819202122232425262729[[#This Row],[اللبناني]]/90)</f>
        <v>0</v>
      </c>
      <c r="M353" s="6"/>
    </row>
    <row r="354" spans="8:13" s="11" customFormat="1" x14ac:dyDescent="0.3">
      <c r="H354" s="5" t="s">
        <v>434</v>
      </c>
      <c r="I354" s="39"/>
      <c r="J354" s="18"/>
      <c r="L354" s="44">
        <f>Table134567810111213141516171819202122232425262729[[#This Row],[الدولار]]+(Table134567810111213141516171819202122232425262729[[#This Row],[اللبناني]]/90)</f>
        <v>0</v>
      </c>
      <c r="M354" s="6"/>
    </row>
  </sheetData>
  <mergeCells count="6">
    <mergeCell ref="A13:F13"/>
    <mergeCell ref="N13:S13"/>
    <mergeCell ref="D22:E22"/>
    <mergeCell ref="Q22:R22"/>
    <mergeCell ref="A23:B23"/>
    <mergeCell ref="N23:O23"/>
  </mergeCells>
  <pageMargins left="0.25" right="0.25" top="0.75" bottom="0.75" header="0.3" footer="0.3"/>
  <pageSetup paperSize="9" scale="65" fitToHeight="0" orientation="portrait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8D5D-D5DC-4FF3-92D4-304AE789F817}">
  <sheetPr>
    <pageSetUpPr fitToPage="1"/>
  </sheetPr>
  <dimension ref="A1:S358"/>
  <sheetViews>
    <sheetView rightToLeft="1" topLeftCell="A15" zoomScale="115" zoomScaleNormal="115" workbookViewId="0">
      <selection activeCell="O24" sqref="O24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8.44140625" style="2" bestFit="1" customWidth="1"/>
    <col min="4" max="4" width="10.44140625" style="2" customWidth="1"/>
    <col min="5" max="5" width="7" style="2" customWidth="1"/>
    <col min="6" max="6" width="10.88671875" style="2" bestFit="1" customWidth="1"/>
    <col min="7" max="7" width="2.44140625" style="2" customWidth="1"/>
    <col min="8" max="8" width="8.88671875" style="2" bestFit="1" customWidth="1"/>
    <col min="9" max="9" width="17.88671875" style="39" customWidth="1"/>
    <col min="10" max="10" width="12.109375" style="7" bestFit="1" customWidth="1"/>
    <col min="11" max="11" width="8.5546875" style="11" bestFit="1" customWidth="1"/>
    <col min="12" max="12" width="9" style="6" bestFit="1" customWidth="1"/>
    <col min="13" max="13" width="2.5546875" style="6" customWidth="1"/>
    <col min="14" max="14" width="9.44140625" style="2" bestFit="1" customWidth="1"/>
    <col min="15" max="15" width="5.109375" style="2" bestFit="1" customWidth="1"/>
    <col min="16" max="16" width="8.5546875" style="2" bestFit="1" customWidth="1"/>
    <col min="17" max="17" width="9.109375" style="2" bestFit="1" customWidth="1"/>
    <col min="18" max="18" width="5.109375" style="2" bestFit="1" customWidth="1"/>
    <col min="19" max="19" width="12.109375" style="2" bestFit="1" customWidth="1"/>
    <col min="20" max="16384" width="8.88671875" style="2"/>
  </cols>
  <sheetData>
    <row r="1" spans="1:12" x14ac:dyDescent="0.3">
      <c r="I1" s="39" t="s">
        <v>38</v>
      </c>
      <c r="J1" s="7">
        <f>SUM(J3:J15)</f>
        <v>1245</v>
      </c>
      <c r="K1" s="7">
        <f>SUM(K3:K15)</f>
        <v>141</v>
      </c>
      <c r="L1" s="7">
        <f>SUM(L3:L15)</f>
        <v>154.83333333333334</v>
      </c>
    </row>
    <row r="2" spans="1:12" x14ac:dyDescent="0.3">
      <c r="H2" s="2" t="s">
        <v>426</v>
      </c>
      <c r="I2" s="40" t="s">
        <v>6</v>
      </c>
      <c r="J2" s="3" t="s">
        <v>5</v>
      </c>
      <c r="K2" s="12" t="s">
        <v>4</v>
      </c>
      <c r="L2" s="12" t="s">
        <v>415</v>
      </c>
    </row>
    <row r="3" spans="1:12" x14ac:dyDescent="0.3">
      <c r="H3" s="5" t="s">
        <v>434</v>
      </c>
      <c r="I3" s="41"/>
      <c r="J3" s="20">
        <v>145</v>
      </c>
      <c r="L3" s="44">
        <f t="shared" ref="L3:L15" si="0">K3+(J3/90)</f>
        <v>1.6111111111111112</v>
      </c>
    </row>
    <row r="4" spans="1:12" x14ac:dyDescent="0.3">
      <c r="H4" s="5" t="s">
        <v>434</v>
      </c>
      <c r="I4" s="41"/>
      <c r="J4" s="20"/>
      <c r="K4" s="11">
        <v>10</v>
      </c>
      <c r="L4" s="44">
        <f t="shared" si="0"/>
        <v>10</v>
      </c>
    </row>
    <row r="5" spans="1:12" x14ac:dyDescent="0.3">
      <c r="H5" s="5" t="s">
        <v>434</v>
      </c>
      <c r="I5" s="41"/>
      <c r="J5" s="20">
        <v>180</v>
      </c>
      <c r="L5" s="44">
        <f t="shared" si="0"/>
        <v>2</v>
      </c>
    </row>
    <row r="6" spans="1:12" x14ac:dyDescent="0.3">
      <c r="H6" s="5" t="s">
        <v>434</v>
      </c>
      <c r="I6" s="41"/>
      <c r="J6" s="20">
        <v>100</v>
      </c>
      <c r="L6" s="44">
        <f t="shared" ref="L6:L9" si="1">K6+(J6/90)</f>
        <v>1.1111111111111112</v>
      </c>
    </row>
    <row r="7" spans="1:12" x14ac:dyDescent="0.3">
      <c r="H7" s="5" t="s">
        <v>434</v>
      </c>
      <c r="I7" s="41"/>
      <c r="J7" s="20"/>
      <c r="K7" s="11">
        <v>5</v>
      </c>
      <c r="L7" s="44">
        <f t="shared" si="1"/>
        <v>5</v>
      </c>
    </row>
    <row r="8" spans="1:12" x14ac:dyDescent="0.3">
      <c r="H8" s="5" t="s">
        <v>434</v>
      </c>
      <c r="I8" s="41"/>
      <c r="J8" s="20">
        <v>250</v>
      </c>
      <c r="L8" s="44">
        <f t="shared" si="1"/>
        <v>2.7777777777777777</v>
      </c>
    </row>
    <row r="9" spans="1:12" x14ac:dyDescent="0.3">
      <c r="H9" s="5" t="s">
        <v>434</v>
      </c>
      <c r="I9" s="41"/>
      <c r="J9" s="20">
        <v>400</v>
      </c>
      <c r="L9" s="44">
        <f t="shared" si="1"/>
        <v>4.4444444444444446</v>
      </c>
    </row>
    <row r="10" spans="1:12" x14ac:dyDescent="0.3">
      <c r="H10" s="5" t="s">
        <v>434</v>
      </c>
      <c r="I10" s="41"/>
      <c r="J10" s="20">
        <v>450</v>
      </c>
      <c r="K10" s="11">
        <v>20</v>
      </c>
      <c r="L10" s="44">
        <f t="shared" si="0"/>
        <v>25</v>
      </c>
    </row>
    <row r="11" spans="1:12" x14ac:dyDescent="0.3">
      <c r="H11" s="5" t="s">
        <v>434</v>
      </c>
      <c r="I11" s="42"/>
      <c r="J11" s="20"/>
      <c r="K11" s="11">
        <v>22</v>
      </c>
      <c r="L11" s="44">
        <f t="shared" si="0"/>
        <v>22</v>
      </c>
    </row>
    <row r="12" spans="1:12" x14ac:dyDescent="0.3">
      <c r="H12" s="5" t="s">
        <v>434</v>
      </c>
      <c r="I12" s="41"/>
      <c r="J12" s="20"/>
      <c r="K12" s="11">
        <v>84</v>
      </c>
      <c r="L12" s="44">
        <f t="shared" si="0"/>
        <v>84</v>
      </c>
    </row>
    <row r="13" spans="1:12" x14ac:dyDescent="0.3">
      <c r="H13" s="2" t="s">
        <v>434</v>
      </c>
      <c r="I13" s="41"/>
      <c r="J13" s="20">
        <v>80</v>
      </c>
      <c r="L13" s="44">
        <f t="shared" si="0"/>
        <v>0.88888888888888884</v>
      </c>
    </row>
    <row r="14" spans="1:12" x14ac:dyDescent="0.3">
      <c r="H14" s="2" t="s">
        <v>434</v>
      </c>
      <c r="I14" s="41" t="s">
        <v>220</v>
      </c>
      <c r="J14" s="20">
        <v>-360</v>
      </c>
      <c r="L14" s="44">
        <f t="shared" si="0"/>
        <v>-4</v>
      </c>
    </row>
    <row r="15" spans="1:12" x14ac:dyDescent="0.3">
      <c r="H15" s="2" t="s">
        <v>434</v>
      </c>
      <c r="I15" s="41"/>
      <c r="J15" s="20"/>
      <c r="L15" s="44">
        <f t="shared" si="0"/>
        <v>0</v>
      </c>
    </row>
    <row r="16" spans="1:12" x14ac:dyDescent="0.3">
      <c r="A16" s="49" t="s">
        <v>515</v>
      </c>
    </row>
    <row r="17" spans="1:19" x14ac:dyDescent="0.3">
      <c r="A17" s="65" t="s">
        <v>29</v>
      </c>
      <c r="B17" s="65"/>
      <c r="C17" s="65"/>
      <c r="D17" s="65"/>
      <c r="E17" s="65"/>
      <c r="F17" s="65"/>
      <c r="I17" s="39" t="s">
        <v>38</v>
      </c>
      <c r="J17" s="7">
        <f>SUM(Table134567810111213141516171819202122232425262728[اللبناني])</f>
        <v>10765</v>
      </c>
      <c r="K17" s="7">
        <f>SUM(Table134567810111213141516171819202122232425262728[الدولار])</f>
        <v>1413</v>
      </c>
      <c r="L17" s="7">
        <f>SUM(Table134567810111213141516171819202122232425262728[مبيع $])</f>
        <v>1532.6111111111109</v>
      </c>
      <c r="N17" s="65" t="s">
        <v>33</v>
      </c>
      <c r="O17" s="65"/>
      <c r="P17" s="65"/>
      <c r="Q17" s="65"/>
      <c r="R17" s="65"/>
      <c r="S17" s="65"/>
    </row>
    <row r="18" spans="1:19" x14ac:dyDescent="0.3">
      <c r="A18" s="1" t="s">
        <v>2</v>
      </c>
      <c r="B18" s="1" t="s">
        <v>0</v>
      </c>
      <c r="C18" s="1" t="s">
        <v>1</v>
      </c>
      <c r="D18" s="1" t="s">
        <v>3</v>
      </c>
      <c r="E18" s="1" t="s">
        <v>0</v>
      </c>
      <c r="F18" s="1" t="s">
        <v>1</v>
      </c>
      <c r="H18" s="2" t="s">
        <v>426</v>
      </c>
      <c r="I18" s="40" t="s">
        <v>6</v>
      </c>
      <c r="J18" s="3" t="s">
        <v>5</v>
      </c>
      <c r="K18" s="12" t="s">
        <v>4</v>
      </c>
      <c r="L18" s="12" t="s">
        <v>415</v>
      </c>
      <c r="M18" s="2"/>
      <c r="N18" s="1" t="s">
        <v>2</v>
      </c>
      <c r="O18" s="1" t="s">
        <v>0</v>
      </c>
      <c r="P18" s="1" t="s">
        <v>1</v>
      </c>
      <c r="Q18" s="1" t="s">
        <v>3</v>
      </c>
      <c r="R18" s="1" t="s">
        <v>0</v>
      </c>
      <c r="S18" s="1" t="s">
        <v>1</v>
      </c>
    </row>
    <row r="19" spans="1:19" x14ac:dyDescent="0.3">
      <c r="A19" s="15">
        <v>1</v>
      </c>
      <c r="B19" s="2">
        <v>1</v>
      </c>
      <c r="C19" s="21">
        <f>A19*B19</f>
        <v>1</v>
      </c>
      <c r="D19" s="17">
        <v>5</v>
      </c>
      <c r="E19" s="2">
        <v>28</v>
      </c>
      <c r="F19" s="23">
        <f>D19*E19</f>
        <v>140</v>
      </c>
      <c r="G19" s="5"/>
      <c r="H19" s="5" t="s">
        <v>434</v>
      </c>
      <c r="I19" s="41" t="s">
        <v>24</v>
      </c>
      <c r="J19" s="20">
        <v>-150</v>
      </c>
      <c r="K19" s="11">
        <v>5</v>
      </c>
      <c r="L19" s="44">
        <f>Table134567810111213141516171819202122232425262728[[#This Row],[الدولار]]+(Table134567810111213141516171819202122232425262728[[#This Row],[اللبناني]]/90)</f>
        <v>3.333333333333333</v>
      </c>
      <c r="N19" s="15">
        <v>1</v>
      </c>
      <c r="O19" s="2">
        <v>9</v>
      </c>
      <c r="P19" s="21">
        <f>N19*O19</f>
        <v>9</v>
      </c>
      <c r="Q19" s="17">
        <v>5</v>
      </c>
      <c r="S19" s="23">
        <f>Q19*R19</f>
        <v>0</v>
      </c>
    </row>
    <row r="20" spans="1:19" x14ac:dyDescent="0.3">
      <c r="A20" s="15">
        <v>5</v>
      </c>
      <c r="B20" s="2">
        <v>2</v>
      </c>
      <c r="C20" s="21">
        <f t="shared" ref="C20:C24" si="2">A20*B20</f>
        <v>10</v>
      </c>
      <c r="D20" s="17">
        <v>10</v>
      </c>
      <c r="E20" s="2">
        <v>13</v>
      </c>
      <c r="F20" s="23">
        <f t="shared" ref="F20:F23" si="3">D20*E20</f>
        <v>130</v>
      </c>
      <c r="G20" s="5"/>
      <c r="H20" s="5" t="s">
        <v>434</v>
      </c>
      <c r="I20" s="41" t="s">
        <v>491</v>
      </c>
      <c r="J20" s="20">
        <v>-180</v>
      </c>
      <c r="K20" s="11">
        <v>-25</v>
      </c>
      <c r="L20" s="44">
        <f>Table134567810111213141516171819202122232425262728[[#This Row],[الدولار]]+(Table134567810111213141516171819202122232425262728[[#This Row],[اللبناني]]/90)</f>
        <v>-27</v>
      </c>
      <c r="N20" s="15">
        <v>5</v>
      </c>
      <c r="O20" s="2">
        <v>1</v>
      </c>
      <c r="P20" s="21">
        <f t="shared" ref="P20:P24" si="4">N20*O20</f>
        <v>5</v>
      </c>
      <c r="Q20" s="17">
        <v>10</v>
      </c>
      <c r="S20" s="23">
        <f t="shared" ref="S20:S23" si="5">Q20*R20</f>
        <v>0</v>
      </c>
    </row>
    <row r="21" spans="1:19" x14ac:dyDescent="0.3">
      <c r="A21" s="15">
        <v>10</v>
      </c>
      <c r="B21" s="2">
        <v>53</v>
      </c>
      <c r="C21" s="21">
        <f t="shared" si="2"/>
        <v>530</v>
      </c>
      <c r="D21" s="17">
        <v>20</v>
      </c>
      <c r="E21" s="2">
        <v>0</v>
      </c>
      <c r="F21" s="23">
        <f t="shared" si="3"/>
        <v>0</v>
      </c>
      <c r="G21" s="5"/>
      <c r="H21" s="5" t="s">
        <v>436</v>
      </c>
      <c r="I21" s="41" t="s">
        <v>28</v>
      </c>
      <c r="J21" s="20"/>
      <c r="K21" s="11">
        <v>-40</v>
      </c>
      <c r="L21" s="44">
        <f>Table134567810111213141516171819202122232425262728[[#This Row],[الدولار]]+(Table134567810111213141516171819202122232425262728[[#This Row],[اللبناني]]/90)</f>
        <v>-40</v>
      </c>
      <c r="N21" s="15">
        <v>10</v>
      </c>
      <c r="O21" s="2">
        <v>28</v>
      </c>
      <c r="P21" s="21">
        <f t="shared" si="4"/>
        <v>280</v>
      </c>
      <c r="Q21" s="17">
        <v>20</v>
      </c>
      <c r="S21" s="23">
        <f t="shared" si="5"/>
        <v>0</v>
      </c>
    </row>
    <row r="22" spans="1:19" x14ac:dyDescent="0.3">
      <c r="A22" s="15">
        <v>20</v>
      </c>
      <c r="B22" s="2">
        <v>41</v>
      </c>
      <c r="C22" s="21">
        <f t="shared" si="2"/>
        <v>820</v>
      </c>
      <c r="D22" s="17">
        <v>50</v>
      </c>
      <c r="E22" s="2">
        <v>4</v>
      </c>
      <c r="F22" s="23">
        <f t="shared" si="3"/>
        <v>200</v>
      </c>
      <c r="G22" s="5"/>
      <c r="H22" s="5" t="s">
        <v>434</v>
      </c>
      <c r="I22" s="41" t="s">
        <v>28</v>
      </c>
      <c r="J22" s="20"/>
      <c r="K22" s="11">
        <v>31</v>
      </c>
      <c r="L22" s="44">
        <f>Table134567810111213141516171819202122232425262728[[#This Row],[الدولار]]+(Table134567810111213141516171819202122232425262728[[#This Row],[اللبناني]]/90)</f>
        <v>31</v>
      </c>
      <c r="N22" s="15">
        <v>20</v>
      </c>
      <c r="O22" s="2">
        <v>30</v>
      </c>
      <c r="P22" s="21">
        <f t="shared" si="4"/>
        <v>600</v>
      </c>
      <c r="Q22" s="17">
        <v>50</v>
      </c>
      <c r="R22" s="2">
        <v>1</v>
      </c>
      <c r="S22" s="23">
        <f t="shared" si="5"/>
        <v>50</v>
      </c>
    </row>
    <row r="23" spans="1:19" x14ac:dyDescent="0.3">
      <c r="A23" s="15">
        <v>50</v>
      </c>
      <c r="B23" s="2">
        <v>4</v>
      </c>
      <c r="C23" s="21">
        <f t="shared" si="2"/>
        <v>200</v>
      </c>
      <c r="D23" s="17">
        <v>100</v>
      </c>
      <c r="E23" s="2">
        <v>27</v>
      </c>
      <c r="F23" s="23">
        <f t="shared" si="3"/>
        <v>2700</v>
      </c>
      <c r="G23" s="5"/>
      <c r="H23" s="5" t="s">
        <v>435</v>
      </c>
      <c r="I23" s="42" t="s">
        <v>104</v>
      </c>
      <c r="J23" s="20">
        <v>-300</v>
      </c>
      <c r="L23" s="44">
        <f>Table134567810111213141516171819202122232425262728[[#This Row],[الدولار]]+(Table134567810111213141516171819202122232425262728[[#This Row],[اللبناني]]/90)</f>
        <v>-3.3333333333333335</v>
      </c>
      <c r="N23" s="15">
        <v>50</v>
      </c>
      <c r="O23" s="2">
        <v>1</v>
      </c>
      <c r="P23" s="21">
        <f t="shared" si="4"/>
        <v>50</v>
      </c>
      <c r="Q23" s="17">
        <v>100</v>
      </c>
      <c r="R23" s="2">
        <v>1</v>
      </c>
      <c r="S23" s="23">
        <f t="shared" si="5"/>
        <v>100</v>
      </c>
    </row>
    <row r="24" spans="1:19" x14ac:dyDescent="0.3">
      <c r="A24" s="15">
        <v>100</v>
      </c>
      <c r="B24" s="2">
        <v>7</v>
      </c>
      <c r="C24" s="21">
        <f t="shared" si="2"/>
        <v>700</v>
      </c>
      <c r="D24" s="1" t="s">
        <v>1</v>
      </c>
      <c r="E24" s="1"/>
      <c r="F24" s="19">
        <f>SUM(F19:F23)</f>
        <v>3170</v>
      </c>
      <c r="G24" s="5"/>
      <c r="H24" s="5" t="s">
        <v>434</v>
      </c>
      <c r="I24" s="41" t="s">
        <v>494</v>
      </c>
      <c r="J24" s="20"/>
      <c r="K24" s="11">
        <v>120</v>
      </c>
      <c r="L24" s="44">
        <f>Table134567810111213141516171819202122232425262728[[#This Row],[الدولار]]+(Table134567810111213141516171819202122232425262728[[#This Row],[اللبناني]]/90)</f>
        <v>120</v>
      </c>
      <c r="N24" s="15">
        <v>100</v>
      </c>
      <c r="O24" s="2">
        <v>1</v>
      </c>
      <c r="P24" s="21">
        <f t="shared" si="4"/>
        <v>100</v>
      </c>
      <c r="Q24" s="1" t="s">
        <v>1</v>
      </c>
      <c r="R24" s="1"/>
      <c r="S24" s="19">
        <f>SUM(S19:S23)</f>
        <v>150</v>
      </c>
    </row>
    <row r="25" spans="1:19" x14ac:dyDescent="0.3">
      <c r="A25" s="1" t="s">
        <v>1</v>
      </c>
      <c r="B25" s="1"/>
      <c r="C25" s="22">
        <f>SUM(C19:C24)</f>
        <v>2261</v>
      </c>
      <c r="H25" s="5" t="s">
        <v>434</v>
      </c>
      <c r="I25" s="41" t="s">
        <v>495</v>
      </c>
      <c r="J25" s="20">
        <v>300</v>
      </c>
      <c r="L25" s="44">
        <f>Table134567810111213141516171819202122232425262728[[#This Row],[الدولار]]+(Table134567810111213141516171819202122232425262728[[#This Row],[اللبناني]]/90)</f>
        <v>3.3333333333333335</v>
      </c>
      <c r="N25" s="1" t="s">
        <v>1</v>
      </c>
      <c r="O25" s="1"/>
      <c r="P25" s="22">
        <f>SUM(P19:P24)</f>
        <v>1044</v>
      </c>
      <c r="S25" s="20"/>
    </row>
    <row r="26" spans="1:19" x14ac:dyDescent="0.3">
      <c r="B26" s="2">
        <v>0</v>
      </c>
      <c r="C26" s="27"/>
      <c r="D26" s="66" t="s">
        <v>40</v>
      </c>
      <c r="E26" s="66"/>
      <c r="F26" s="24">
        <f ca="1">INDIRECT("'"&amp;$A$16&amp;"'!J13")+J1</f>
        <v>2180</v>
      </c>
      <c r="H26" s="5" t="s">
        <v>434</v>
      </c>
      <c r="I26" s="41" t="s">
        <v>496</v>
      </c>
      <c r="J26" s="20"/>
      <c r="K26" s="11">
        <v>50</v>
      </c>
      <c r="L26" s="44">
        <f>Table134567810111213141516171819202122232425262728[[#This Row],[الدولار]]+(Table134567810111213141516171819202122232425262728[[#This Row],[اللبناني]]/90)</f>
        <v>50</v>
      </c>
      <c r="P26" s="27"/>
      <c r="Q26" s="66" t="s">
        <v>40</v>
      </c>
      <c r="R26" s="66"/>
      <c r="S26" s="24">
        <f>SUM(Table134567810111213141516171819202122232425262728[اللبناني])</f>
        <v>10765</v>
      </c>
    </row>
    <row r="27" spans="1:19" x14ac:dyDescent="0.3">
      <c r="A27" s="66" t="s">
        <v>39</v>
      </c>
      <c r="B27" s="66"/>
      <c r="C27" s="12">
        <f ca="1">INDIRECT("'"&amp;$A$16&amp;"'!K13")+K1</f>
        <v>1188</v>
      </c>
      <c r="F27" s="20"/>
      <c r="H27" s="5" t="s">
        <v>434</v>
      </c>
      <c r="I27" s="41" t="s">
        <v>70</v>
      </c>
      <c r="J27" s="20">
        <v>-300</v>
      </c>
      <c r="L27" s="44">
        <f>Table134567810111213141516171819202122232425262728[[#This Row],[الدولار]]+(Table134567810111213141516171819202122232425262728[[#This Row],[اللبناني]]/90)</f>
        <v>-3.3333333333333335</v>
      </c>
      <c r="N27" s="66" t="s">
        <v>39</v>
      </c>
      <c r="O27" s="66"/>
      <c r="P27" s="12">
        <f>SUM(Table134567810111213141516171819202122232425262728[الدولار])</f>
        <v>1413</v>
      </c>
      <c r="S27" s="20"/>
    </row>
    <row r="28" spans="1:19" x14ac:dyDescent="0.3">
      <c r="C28" s="27"/>
      <c r="D28" s="1" t="s">
        <v>27</v>
      </c>
      <c r="E28" s="1"/>
      <c r="F28" s="24">
        <f ca="1">F24-F26-INDIRECT("'"&amp;$A$16&amp;"'!f20")</f>
        <v>0</v>
      </c>
      <c r="H28" s="5" t="s">
        <v>434</v>
      </c>
      <c r="I28" s="41" t="s">
        <v>28</v>
      </c>
      <c r="J28" s="20">
        <v>-100</v>
      </c>
      <c r="K28" s="11">
        <v>5</v>
      </c>
      <c r="L28" s="44">
        <f>Table134567810111213141516171819202122232425262728[[#This Row],[الدولار]]+(Table134567810111213141516171819202122232425262728[[#This Row],[اللبناني]]/90)</f>
        <v>3.8888888888888888</v>
      </c>
      <c r="P28" s="27"/>
      <c r="Q28" s="1" t="s">
        <v>27</v>
      </c>
      <c r="R28" s="1"/>
      <c r="S28" s="24">
        <f>S24-S26-F24</f>
        <v>-13785</v>
      </c>
    </row>
    <row r="29" spans="1:19" x14ac:dyDescent="0.3">
      <c r="A29" s="1" t="s">
        <v>27</v>
      </c>
      <c r="B29" s="1"/>
      <c r="C29" s="12">
        <f ca="1">C25-C27-INDIRECT("'"&amp;$A$16&amp;"'!c21")</f>
        <v>0</v>
      </c>
      <c r="H29" s="5" t="s">
        <v>434</v>
      </c>
      <c r="I29" s="41" t="s">
        <v>247</v>
      </c>
      <c r="J29" s="20"/>
      <c r="K29" s="11">
        <v>48</v>
      </c>
      <c r="L29" s="44">
        <f>Table134567810111213141516171819202122232425262728[[#This Row],[الدولار]]+(Table134567810111213141516171819202122232425262728[[#This Row],[اللبناني]]/90)</f>
        <v>48</v>
      </c>
      <c r="N29" s="1" t="s">
        <v>27</v>
      </c>
      <c r="O29" s="1"/>
      <c r="P29" s="12">
        <f>P25-P27-C25</f>
        <v>-2630</v>
      </c>
    </row>
    <row r="30" spans="1:19" x14ac:dyDescent="0.3">
      <c r="C30" s="14"/>
      <c r="D30" s="14"/>
      <c r="F30" s="14"/>
      <c r="H30" s="5" t="s">
        <v>434</v>
      </c>
      <c r="I30" s="43" t="s">
        <v>24</v>
      </c>
      <c r="J30" s="18">
        <v>100</v>
      </c>
      <c r="L30" s="44">
        <f>Table134567810111213141516171819202122232425262728[[#This Row],[الدولار]]+(Table134567810111213141516171819202122232425262728[[#This Row],[اللبناني]]/90)</f>
        <v>1.1111111111111112</v>
      </c>
    </row>
    <row r="31" spans="1:19" x14ac:dyDescent="0.3">
      <c r="C31" s="14"/>
      <c r="D31" s="14"/>
      <c r="F31" s="14"/>
      <c r="H31" s="5" t="s">
        <v>434</v>
      </c>
      <c r="I31" s="43" t="s">
        <v>356</v>
      </c>
      <c r="J31" s="18">
        <v>100</v>
      </c>
      <c r="L31" s="44">
        <f>Table134567810111213141516171819202122232425262728[[#This Row],[الدولار]]+(Table134567810111213141516171819202122232425262728[[#This Row],[اللبناني]]/90)</f>
        <v>1.1111111111111112</v>
      </c>
    </row>
    <row r="32" spans="1:19" x14ac:dyDescent="0.3">
      <c r="C32" s="14"/>
      <c r="D32" s="14"/>
      <c r="F32" s="14"/>
      <c r="H32" s="5" t="s">
        <v>434</v>
      </c>
      <c r="I32" s="41" t="s">
        <v>497</v>
      </c>
      <c r="J32" s="18">
        <v>270</v>
      </c>
      <c r="L32" s="44">
        <f>Table134567810111213141516171819202122232425262728[[#This Row],[الدولار]]+(Table134567810111213141516171819202122232425262728[[#This Row],[اللبناني]]/90)</f>
        <v>3</v>
      </c>
    </row>
    <row r="33" spans="3:13" s="11" customFormat="1" x14ac:dyDescent="0.3">
      <c r="C33" s="14"/>
      <c r="D33" s="14"/>
      <c r="E33" s="2"/>
      <c r="F33" s="14"/>
      <c r="G33" s="2"/>
      <c r="H33" s="5" t="s">
        <v>434</v>
      </c>
      <c r="I33" s="43" t="s">
        <v>498</v>
      </c>
      <c r="J33" s="20">
        <v>340</v>
      </c>
      <c r="L33" s="44">
        <f>Table134567810111213141516171819202122232425262728[[#This Row],[الدولار]]+(Table134567810111213141516171819202122232425262728[[#This Row],[اللبناني]]/90)</f>
        <v>3.7777777777777777</v>
      </c>
      <c r="M33" s="6"/>
    </row>
    <row r="34" spans="3:13" s="11" customFormat="1" x14ac:dyDescent="0.3">
      <c r="C34" s="14"/>
      <c r="D34" s="2"/>
      <c r="E34" s="2"/>
      <c r="F34" s="14"/>
      <c r="G34" s="2"/>
      <c r="H34" s="5" t="s">
        <v>434</v>
      </c>
      <c r="I34" s="43" t="s">
        <v>499</v>
      </c>
      <c r="J34" s="20">
        <v>360</v>
      </c>
      <c r="L34" s="44">
        <f>Table134567810111213141516171819202122232425262728[[#This Row],[الدولار]]+(Table134567810111213141516171819202122232425262728[[#This Row],[اللبناني]]/90)</f>
        <v>4</v>
      </c>
      <c r="M34" s="6"/>
    </row>
    <row r="35" spans="3:13" s="11" customFormat="1" x14ac:dyDescent="0.3">
      <c r="C35" s="14"/>
      <c r="D35" s="2"/>
      <c r="E35" s="2"/>
      <c r="F35" s="2"/>
      <c r="G35" s="2"/>
      <c r="H35" s="5" t="s">
        <v>434</v>
      </c>
      <c r="I35" s="43" t="s">
        <v>21</v>
      </c>
      <c r="J35" s="20"/>
      <c r="K35" s="11">
        <v>192</v>
      </c>
      <c r="L35" s="44">
        <f>Table134567810111213141516171819202122232425262728[[#This Row],[الدولار]]+(Table134567810111213141516171819202122232425262728[[#This Row],[اللبناني]]/90)</f>
        <v>192</v>
      </c>
      <c r="M35" s="6"/>
    </row>
    <row r="36" spans="3:13" s="11" customFormat="1" x14ac:dyDescent="0.3">
      <c r="C36" s="2"/>
      <c r="D36" s="2"/>
      <c r="E36" s="2"/>
      <c r="F36" s="6"/>
      <c r="G36" s="2"/>
      <c r="H36" s="5" t="s">
        <v>436</v>
      </c>
      <c r="I36" s="41" t="s">
        <v>21</v>
      </c>
      <c r="J36" s="20"/>
      <c r="K36" s="11">
        <v>-192</v>
      </c>
      <c r="L36" s="44">
        <f>Table134567810111213141516171819202122232425262728[[#This Row],[الدولار]]+(Table134567810111213141516171819202122232425262728[[#This Row],[اللبناني]]/90)</f>
        <v>-192</v>
      </c>
      <c r="M36" s="6"/>
    </row>
    <row r="37" spans="3:13" s="11" customFormat="1" x14ac:dyDescent="0.3">
      <c r="C37" s="6"/>
      <c r="D37" s="2"/>
      <c r="E37" s="2"/>
      <c r="F37" s="2"/>
      <c r="G37" s="2"/>
      <c r="H37" s="5" t="s">
        <v>434</v>
      </c>
      <c r="I37" s="41" t="s">
        <v>500</v>
      </c>
      <c r="J37" s="20">
        <v>-100</v>
      </c>
      <c r="K37" s="11">
        <v>65</v>
      </c>
      <c r="L37" s="44">
        <f>Table134567810111213141516171819202122232425262728[[#This Row],[الدولار]]+(Table134567810111213141516171819202122232425262728[[#This Row],[اللبناني]]/90)</f>
        <v>63.888888888888886</v>
      </c>
      <c r="M37" s="6"/>
    </row>
    <row r="38" spans="3:13" s="11" customFormat="1" x14ac:dyDescent="0.3">
      <c r="C38" s="2"/>
      <c r="D38" s="2"/>
      <c r="E38" s="2"/>
      <c r="F38" s="6"/>
      <c r="G38" s="2"/>
      <c r="H38" s="5" t="s">
        <v>434</v>
      </c>
      <c r="I38" s="41" t="s">
        <v>7</v>
      </c>
      <c r="J38" s="20"/>
      <c r="K38" s="11">
        <v>30</v>
      </c>
      <c r="L38" s="44">
        <f>Table134567810111213141516171819202122232425262728[[#This Row],[الدولار]]+(Table134567810111213141516171819202122232425262728[[#This Row],[اللبناني]]/90)</f>
        <v>30</v>
      </c>
      <c r="M38" s="6"/>
    </row>
    <row r="39" spans="3:13" s="11" customFormat="1" x14ac:dyDescent="0.3">
      <c r="C39" s="6"/>
      <c r="D39" s="2"/>
      <c r="E39" s="2"/>
      <c r="F39" s="2"/>
      <c r="G39" s="2"/>
      <c r="H39" s="5" t="s">
        <v>434</v>
      </c>
      <c r="I39" s="41" t="s">
        <v>501</v>
      </c>
      <c r="J39" s="20">
        <v>-270</v>
      </c>
      <c r="K39" s="11">
        <v>-20</v>
      </c>
      <c r="L39" s="44">
        <f>Table134567810111213141516171819202122232425262728[[#This Row],[الدولار]]+(Table134567810111213141516171819202122232425262728[[#This Row],[اللبناني]]/90)</f>
        <v>-23</v>
      </c>
      <c r="M39" s="6"/>
    </row>
    <row r="40" spans="3:13" s="11" customFormat="1" x14ac:dyDescent="0.3">
      <c r="C40" s="2"/>
      <c r="D40" s="2"/>
      <c r="E40" s="2"/>
      <c r="F40" s="2"/>
      <c r="G40" s="2"/>
      <c r="H40" s="5" t="s">
        <v>434</v>
      </c>
      <c r="I40" s="41" t="s">
        <v>31</v>
      </c>
      <c r="J40" s="20">
        <v>200</v>
      </c>
      <c r="L40" s="44">
        <f>Table134567810111213141516171819202122232425262728[[#This Row],[الدولار]]+(Table134567810111213141516171819202122232425262728[[#This Row],[اللبناني]]/90)</f>
        <v>2.2222222222222223</v>
      </c>
      <c r="M40" s="6"/>
    </row>
    <row r="41" spans="3:13" s="11" customFormat="1" x14ac:dyDescent="0.3">
      <c r="C41" s="2"/>
      <c r="D41" s="2"/>
      <c r="E41" s="2"/>
      <c r="F41" s="2"/>
      <c r="G41" s="2"/>
      <c r="H41" s="5" t="s">
        <v>434</v>
      </c>
      <c r="I41" s="41" t="s">
        <v>502</v>
      </c>
      <c r="J41" s="20"/>
      <c r="K41" s="11">
        <v>45</v>
      </c>
      <c r="L41" s="44">
        <f>Table134567810111213141516171819202122232425262728[[#This Row],[الدولار]]+(Table134567810111213141516171819202122232425262728[[#This Row],[اللبناني]]/90)</f>
        <v>45</v>
      </c>
      <c r="M41" s="6"/>
    </row>
    <row r="42" spans="3:13" s="11" customFormat="1" x14ac:dyDescent="0.3">
      <c r="C42" s="2"/>
      <c r="D42" s="2"/>
      <c r="E42" s="2"/>
      <c r="F42" s="2"/>
      <c r="G42" s="2"/>
      <c r="H42" s="5" t="s">
        <v>434</v>
      </c>
      <c r="I42" s="41" t="s">
        <v>31</v>
      </c>
      <c r="J42" s="20">
        <v>180</v>
      </c>
      <c r="L42" s="44">
        <f>Table134567810111213141516171819202122232425262728[[#This Row],[الدولار]]+(Table134567810111213141516171819202122232425262728[[#This Row],[اللبناني]]/90)</f>
        <v>2</v>
      </c>
      <c r="M42" s="6"/>
    </row>
    <row r="43" spans="3:13" s="11" customFormat="1" x14ac:dyDescent="0.3">
      <c r="C43" s="2"/>
      <c r="D43" s="2"/>
      <c r="E43" s="2"/>
      <c r="F43" s="2"/>
      <c r="G43" s="2"/>
      <c r="H43" s="5" t="s">
        <v>434</v>
      </c>
      <c r="I43" s="41" t="s">
        <v>503</v>
      </c>
      <c r="J43" s="18">
        <v>100</v>
      </c>
      <c r="K43" s="11">
        <v>10</v>
      </c>
      <c r="L43" s="44">
        <f>Table134567810111213141516171819202122232425262728[[#This Row],[الدولار]]+(Table134567810111213141516171819202122232425262728[[#This Row],[اللبناني]]/90)</f>
        <v>11.111111111111111</v>
      </c>
      <c r="M43" s="6"/>
    </row>
    <row r="44" spans="3:13" s="11" customFormat="1" x14ac:dyDescent="0.3">
      <c r="C44" s="2"/>
      <c r="D44" s="2"/>
      <c r="E44" s="2"/>
      <c r="F44" s="2"/>
      <c r="G44" s="2"/>
      <c r="H44" s="5" t="s">
        <v>434</v>
      </c>
      <c r="I44" s="39" t="s">
        <v>394</v>
      </c>
      <c r="J44" s="18">
        <v>30</v>
      </c>
      <c r="L44" s="44">
        <f>Table134567810111213141516171819202122232425262728[[#This Row],[الدولار]]+(Table134567810111213141516171819202122232425262728[[#This Row],[اللبناني]]/90)</f>
        <v>0.33333333333333331</v>
      </c>
      <c r="M44" s="6"/>
    </row>
    <row r="45" spans="3:13" s="11" customFormat="1" x14ac:dyDescent="0.3">
      <c r="C45" s="2"/>
      <c r="D45" s="2"/>
      <c r="E45" s="2"/>
      <c r="F45" s="2"/>
      <c r="G45" s="2"/>
      <c r="H45" s="5" t="s">
        <v>434</v>
      </c>
      <c r="I45" s="39" t="s">
        <v>370</v>
      </c>
      <c r="J45" s="18">
        <v>-270</v>
      </c>
      <c r="K45" s="11">
        <v>10</v>
      </c>
      <c r="L45" s="44">
        <f>Table134567810111213141516171819202122232425262728[[#This Row],[الدولار]]+(Table134567810111213141516171819202122232425262728[[#This Row],[اللبناني]]/90)</f>
        <v>7</v>
      </c>
      <c r="M45" s="6"/>
    </row>
    <row r="46" spans="3:13" s="11" customFormat="1" x14ac:dyDescent="0.3">
      <c r="C46" s="2"/>
      <c r="D46" s="2"/>
      <c r="E46" s="2"/>
      <c r="F46" s="2"/>
      <c r="G46" s="2"/>
      <c r="H46" s="5" t="s">
        <v>434</v>
      </c>
      <c r="I46" s="39" t="s">
        <v>28</v>
      </c>
      <c r="J46" s="18">
        <v>-200</v>
      </c>
      <c r="K46" s="11">
        <v>20</v>
      </c>
      <c r="L46" s="44">
        <f>Table134567810111213141516171819202122232425262728[[#This Row],[الدولار]]+(Table134567810111213141516171819202122232425262728[[#This Row],[اللبناني]]/90)</f>
        <v>17.777777777777779</v>
      </c>
      <c r="M46" s="6"/>
    </row>
    <row r="47" spans="3:13" s="11" customFormat="1" x14ac:dyDescent="0.3">
      <c r="C47" s="2"/>
      <c r="D47" s="2"/>
      <c r="E47" s="2"/>
      <c r="F47" s="2"/>
      <c r="G47" s="2"/>
      <c r="H47" s="5" t="s">
        <v>434</v>
      </c>
      <c r="I47" s="39" t="s">
        <v>23</v>
      </c>
      <c r="J47" s="18">
        <v>400</v>
      </c>
      <c r="L47" s="44">
        <f>Table134567810111213141516171819202122232425262728[[#This Row],[الدولار]]+(Table134567810111213141516171819202122232425262728[[#This Row],[اللبناني]]/90)</f>
        <v>4.4444444444444446</v>
      </c>
      <c r="M47" s="6"/>
    </row>
    <row r="48" spans="3:13" s="11" customFormat="1" x14ac:dyDescent="0.3">
      <c r="C48" s="2"/>
      <c r="D48" s="2"/>
      <c r="E48" s="2"/>
      <c r="F48" s="2"/>
      <c r="G48" s="2"/>
      <c r="H48" s="5" t="s">
        <v>434</v>
      </c>
      <c r="I48" s="39" t="s">
        <v>24</v>
      </c>
      <c r="J48" s="18"/>
      <c r="K48" s="11">
        <v>1</v>
      </c>
      <c r="L48" s="44">
        <f>Table134567810111213141516171819202122232425262728[[#This Row],[الدولار]]+(Table134567810111213141516171819202122232425262728[[#This Row],[اللبناني]]/90)</f>
        <v>1</v>
      </c>
      <c r="M48" s="6"/>
    </row>
    <row r="49" spans="4:19" s="11" customFormat="1" x14ac:dyDescent="0.3">
      <c r="H49" s="5" t="s">
        <v>434</v>
      </c>
      <c r="I49" s="39" t="s">
        <v>504</v>
      </c>
      <c r="J49" s="18"/>
      <c r="K49" s="11">
        <v>5</v>
      </c>
      <c r="L49" s="44">
        <f>Table134567810111213141516171819202122232425262728[[#This Row],[الدولار]]+(Table134567810111213141516171819202122232425262728[[#This Row],[اللبناني]]/90)</f>
        <v>5</v>
      </c>
      <c r="M49" s="6"/>
    </row>
    <row r="50" spans="4:19" s="11" customFormat="1" x14ac:dyDescent="0.3">
      <c r="H50" s="5" t="s">
        <v>434</v>
      </c>
      <c r="I50" s="39" t="s">
        <v>72</v>
      </c>
      <c r="J50" s="18"/>
      <c r="K50" s="11">
        <v>10</v>
      </c>
      <c r="L50" s="44">
        <f>Table134567810111213141516171819202122232425262728[[#This Row],[الدولار]]+(Table134567810111213141516171819202122232425262728[[#This Row],[اللبناني]]/90)</f>
        <v>10</v>
      </c>
      <c r="M50" s="6"/>
    </row>
    <row r="51" spans="4:19" s="11" customFormat="1" x14ac:dyDescent="0.3">
      <c r="H51" s="5" t="s">
        <v>434</v>
      </c>
      <c r="I51" s="39" t="s">
        <v>505</v>
      </c>
      <c r="J51" s="18">
        <v>210</v>
      </c>
      <c r="K51" s="11">
        <v>10</v>
      </c>
      <c r="L51" s="44">
        <f>Table134567810111213141516171819202122232425262728[[#This Row],[الدولار]]+(Table134567810111213141516171819202122232425262728[[#This Row],[اللبناني]]/90)</f>
        <v>12.333333333333334</v>
      </c>
      <c r="M51" s="6"/>
    </row>
    <row r="52" spans="4:19" s="11" customFormat="1" x14ac:dyDescent="0.3">
      <c r="H52" s="5" t="s">
        <v>434</v>
      </c>
      <c r="I52" s="39" t="s">
        <v>506</v>
      </c>
      <c r="J52" s="18">
        <v>30</v>
      </c>
      <c r="L52" s="44">
        <f>Table134567810111213141516171819202122232425262728[[#This Row],[الدولار]]+(Table134567810111213141516171819202122232425262728[[#This Row],[اللبناني]]/90)</f>
        <v>0.33333333333333331</v>
      </c>
      <c r="M52" s="6"/>
    </row>
    <row r="53" spans="4:19" s="11" customFormat="1" x14ac:dyDescent="0.3">
      <c r="H53" s="5" t="s">
        <v>434</v>
      </c>
      <c r="I53" s="39" t="s">
        <v>24</v>
      </c>
      <c r="J53" s="18">
        <v>100</v>
      </c>
      <c r="L53" s="44">
        <f>Table134567810111213141516171819202122232425262728[[#This Row],[الدولار]]+(Table134567810111213141516171819202122232425262728[[#This Row],[اللبناني]]/90)</f>
        <v>1.1111111111111112</v>
      </c>
      <c r="M53" s="6"/>
    </row>
    <row r="54" spans="4:19" s="11" customFormat="1" x14ac:dyDescent="0.3">
      <c r="H54" s="5" t="s">
        <v>434</v>
      </c>
      <c r="I54" s="39" t="s">
        <v>507</v>
      </c>
      <c r="J54" s="18">
        <v>100</v>
      </c>
      <c r="L54" s="44">
        <f>Table134567810111213141516171819202122232425262728[[#This Row],[الدولار]]+(Table134567810111213141516171819202122232425262728[[#This Row],[اللبناني]]/90)</f>
        <v>1.1111111111111112</v>
      </c>
      <c r="M54" s="6"/>
    </row>
    <row r="55" spans="4:19" s="11" customFormat="1" x14ac:dyDescent="0.3">
      <c r="H55" s="5" t="s">
        <v>434</v>
      </c>
      <c r="I55" s="39" t="s">
        <v>28</v>
      </c>
      <c r="J55" s="18">
        <v>220</v>
      </c>
      <c r="L55" s="44">
        <f>Table134567810111213141516171819202122232425262728[[#This Row],[الدولار]]+(Table134567810111213141516171819202122232425262728[[#This Row],[اللبناني]]/90)</f>
        <v>2.4444444444444446</v>
      </c>
      <c r="M55" s="6"/>
    </row>
    <row r="56" spans="4:19" s="11" customFormat="1" x14ac:dyDescent="0.3">
      <c r="H56" s="5" t="s">
        <v>434</v>
      </c>
      <c r="I56" s="39" t="s">
        <v>508</v>
      </c>
      <c r="J56" s="18">
        <v>100</v>
      </c>
      <c r="L56" s="44">
        <f>Table134567810111213141516171819202122232425262728[[#This Row],[الدولار]]+(Table134567810111213141516171819202122232425262728[[#This Row],[اللبناني]]/90)</f>
        <v>1.1111111111111112</v>
      </c>
      <c r="M56" s="6"/>
    </row>
    <row r="57" spans="4:19" s="11" customFormat="1" x14ac:dyDescent="0.3">
      <c r="H57" s="5" t="s">
        <v>436</v>
      </c>
      <c r="I57" s="39" t="s">
        <v>21</v>
      </c>
      <c r="J57" s="18"/>
      <c r="K57" s="11">
        <v>-20</v>
      </c>
      <c r="L57" s="44">
        <f>Table134567810111213141516171819202122232425262728[[#This Row],[الدولار]]+(Table134567810111213141516171819202122232425262728[[#This Row],[اللبناني]]/90)</f>
        <v>-20</v>
      </c>
      <c r="M57" s="6"/>
    </row>
    <row r="58" spans="4:19" s="11" customFormat="1" x14ac:dyDescent="0.3">
      <c r="H58" s="5" t="s">
        <v>434</v>
      </c>
      <c r="I58" s="39" t="s">
        <v>127</v>
      </c>
      <c r="J58" s="18"/>
      <c r="K58" s="11">
        <v>2</v>
      </c>
      <c r="L58" s="44">
        <f>Table134567810111213141516171819202122232425262728[[#This Row],[الدولار]]+(Table134567810111213141516171819202122232425262728[[#This Row],[اللبناني]]/90)</f>
        <v>2</v>
      </c>
      <c r="M58" s="6"/>
    </row>
    <row r="59" spans="4:19" s="11" customFormat="1" x14ac:dyDescent="0.3">
      <c r="H59" s="5" t="s">
        <v>434</v>
      </c>
      <c r="I59" s="39" t="s">
        <v>509</v>
      </c>
      <c r="J59" s="18"/>
      <c r="K59" s="11">
        <v>35</v>
      </c>
      <c r="L59" s="44">
        <f>Table134567810111213141516171819202122232425262728[[#This Row],[الدولار]]+(Table134567810111213141516171819202122232425262728[[#This Row],[اللبناني]]/90)</f>
        <v>35</v>
      </c>
      <c r="M59" s="6"/>
    </row>
    <row r="60" spans="4:19" s="11" customFormat="1" x14ac:dyDescent="0.3">
      <c r="H60" s="5" t="s">
        <v>434</v>
      </c>
      <c r="I60" s="39" t="s">
        <v>372</v>
      </c>
      <c r="J60" s="18"/>
      <c r="K60" s="11">
        <v>35</v>
      </c>
      <c r="L60" s="44">
        <f>Table134567810111213141516171819202122232425262728[[#This Row],[الدولار]]+(Table134567810111213141516171819202122232425262728[[#This Row],[اللبناني]]/90)</f>
        <v>35</v>
      </c>
      <c r="M60" s="6"/>
    </row>
    <row r="61" spans="4:19" s="11" customFormat="1" x14ac:dyDescent="0.3">
      <c r="H61" s="5" t="s">
        <v>434</v>
      </c>
      <c r="I61" s="39" t="s">
        <v>220</v>
      </c>
      <c r="J61" s="18">
        <v>100</v>
      </c>
      <c r="K61" s="11">
        <v>32</v>
      </c>
      <c r="L61" s="44">
        <f>Table134567810111213141516171819202122232425262728[[#This Row],[الدولار]]+(Table134567810111213141516171819202122232425262728[[#This Row],[اللبناني]]/90)</f>
        <v>33.111111111111114</v>
      </c>
      <c r="M61" s="6"/>
      <c r="N61" s="11" t="s">
        <v>510</v>
      </c>
      <c r="P61" s="22">
        <v>2725</v>
      </c>
      <c r="S61" s="19">
        <v>4540</v>
      </c>
    </row>
    <row r="62" spans="4:19" s="11" customFormat="1" x14ac:dyDescent="0.3">
      <c r="D62" s="54"/>
      <c r="H62" s="5" t="s">
        <v>434</v>
      </c>
      <c r="I62" s="39" t="s">
        <v>28</v>
      </c>
      <c r="J62" s="50">
        <v>100</v>
      </c>
      <c r="K62" s="51"/>
      <c r="L62" s="44">
        <f>Table134567810111213141516171819202122232425262728[[#This Row],[الدولار]]+(Table134567810111213141516171819202122232425262728[[#This Row],[اللبناني]]/90)</f>
        <v>1.1111111111111112</v>
      </c>
      <c r="M62" s="6"/>
    </row>
    <row r="63" spans="4:19" s="11" customFormat="1" x14ac:dyDescent="0.3">
      <c r="D63" s="54"/>
      <c r="H63" s="5" t="s">
        <v>434</v>
      </c>
      <c r="I63" s="39" t="s">
        <v>511</v>
      </c>
      <c r="J63" s="52"/>
      <c r="K63" s="53">
        <v>18</v>
      </c>
      <c r="L63" s="44">
        <f>Table134567810111213141516171819202122232425262728[[#This Row],[الدولار]]+(Table134567810111213141516171819202122232425262728[[#This Row],[اللبناني]]/90)</f>
        <v>18</v>
      </c>
      <c r="M63" s="6"/>
    </row>
    <row r="64" spans="4:19" s="11" customFormat="1" x14ac:dyDescent="0.3">
      <c r="D64" s="54"/>
      <c r="H64" s="5" t="s">
        <v>434</v>
      </c>
      <c r="I64" s="39" t="s">
        <v>512</v>
      </c>
      <c r="J64" s="50"/>
      <c r="K64" s="51">
        <v>40</v>
      </c>
      <c r="L64" s="44">
        <f>Table134567810111213141516171819202122232425262728[[#This Row],[الدولار]]+(Table134567810111213141516171819202122232425262728[[#This Row],[اللبناني]]/90)</f>
        <v>40</v>
      </c>
      <c r="M64" s="6"/>
    </row>
    <row r="65" spans="4:13" s="11" customFormat="1" x14ac:dyDescent="0.3">
      <c r="D65" s="54"/>
      <c r="H65" s="5" t="s">
        <v>434</v>
      </c>
      <c r="I65" s="39" t="s">
        <v>140</v>
      </c>
      <c r="J65" s="52">
        <v>180</v>
      </c>
      <c r="K65" s="53">
        <v>100</v>
      </c>
      <c r="L65" s="44">
        <f>Table134567810111213141516171819202122232425262728[[#This Row],[الدولار]]+(Table134567810111213141516171819202122232425262728[[#This Row],[اللبناني]]/90)</f>
        <v>102</v>
      </c>
      <c r="M65" s="6"/>
    </row>
    <row r="66" spans="4:13" s="11" customFormat="1" x14ac:dyDescent="0.3">
      <c r="D66" s="54"/>
      <c r="H66" s="5" t="s">
        <v>434</v>
      </c>
      <c r="I66" s="39" t="s">
        <v>140</v>
      </c>
      <c r="J66" s="50">
        <v>-720</v>
      </c>
      <c r="K66" s="51">
        <v>10</v>
      </c>
      <c r="L66" s="44">
        <f>Table134567810111213141516171819202122232425262728[[#This Row],[الدولار]]+(Table134567810111213141516171819202122232425262728[[#This Row],[اللبناني]]/90)</f>
        <v>2</v>
      </c>
      <c r="M66" s="6"/>
    </row>
    <row r="67" spans="4:13" s="11" customFormat="1" x14ac:dyDescent="0.3">
      <c r="H67" s="5" t="s">
        <v>434</v>
      </c>
      <c r="I67" s="39" t="s">
        <v>368</v>
      </c>
      <c r="J67" s="18">
        <v>175</v>
      </c>
      <c r="K67" s="11">
        <v>10</v>
      </c>
      <c r="L67" s="44">
        <f>Table134567810111213141516171819202122232425262728[[#This Row],[الدولار]]+(Table134567810111213141516171819202122232425262728[[#This Row],[اللبناني]]/90)</f>
        <v>11.944444444444445</v>
      </c>
      <c r="M67" s="6"/>
    </row>
    <row r="68" spans="4:13" s="11" customFormat="1" x14ac:dyDescent="0.3">
      <c r="H68" s="5" t="s">
        <v>434</v>
      </c>
      <c r="I68" s="39"/>
      <c r="J68" s="18">
        <v>-800</v>
      </c>
      <c r="K68" s="11">
        <v>10</v>
      </c>
      <c r="L68" s="44">
        <f>Table134567810111213141516171819202122232425262728[[#This Row],[الدولار]]+(Table134567810111213141516171819202122232425262728[[#This Row],[اللبناني]]/90)</f>
        <v>1.1111111111111107</v>
      </c>
      <c r="M68" s="6"/>
    </row>
    <row r="69" spans="4:13" s="11" customFormat="1" x14ac:dyDescent="0.3">
      <c r="H69" s="5" t="s">
        <v>434</v>
      </c>
      <c r="I69" s="39" t="s">
        <v>216</v>
      </c>
      <c r="J69" s="18">
        <v>295</v>
      </c>
      <c r="K69" s="11">
        <v>70</v>
      </c>
      <c r="L69" s="44">
        <f>Table134567810111213141516171819202122232425262728[[#This Row],[الدولار]]+(Table134567810111213141516171819202122232425262728[[#This Row],[اللبناني]]/90)</f>
        <v>73.277777777777771</v>
      </c>
      <c r="M69" s="6"/>
    </row>
    <row r="70" spans="4:13" s="11" customFormat="1" x14ac:dyDescent="0.3">
      <c r="H70" s="5" t="s">
        <v>434</v>
      </c>
      <c r="I70" s="39" t="s">
        <v>514</v>
      </c>
      <c r="J70" s="18">
        <v>-315</v>
      </c>
      <c r="K70" s="11">
        <v>30</v>
      </c>
      <c r="L70" s="44">
        <f>Table134567810111213141516171819202122232425262728[[#This Row],[الدولار]]+(Table134567810111213141516171819202122232425262728[[#This Row],[اللبناني]]/90)</f>
        <v>26.5</v>
      </c>
      <c r="M70" s="6"/>
    </row>
    <row r="71" spans="4:13" s="11" customFormat="1" x14ac:dyDescent="0.3">
      <c r="H71" s="5" t="s">
        <v>434</v>
      </c>
      <c r="I71" s="39"/>
      <c r="J71" s="18">
        <v>350</v>
      </c>
      <c r="L71" s="44">
        <f>Table134567810111213141516171819202122232425262728[[#This Row],[الدولار]]+(Table134567810111213141516171819202122232425262728[[#This Row],[اللبناني]]/90)</f>
        <v>3.8888888888888888</v>
      </c>
      <c r="M71" s="6"/>
    </row>
    <row r="72" spans="4:13" s="11" customFormat="1" x14ac:dyDescent="0.3">
      <c r="H72" s="5" t="s">
        <v>434</v>
      </c>
      <c r="I72" s="39"/>
      <c r="J72" s="18">
        <v>330</v>
      </c>
      <c r="L72" s="44">
        <f>Table134567810111213141516171819202122232425262728[[#This Row],[الدولار]]+(Table134567810111213141516171819202122232425262728[[#This Row],[اللبناني]]/90)</f>
        <v>3.6666666666666665</v>
      </c>
      <c r="M72" s="6"/>
    </row>
    <row r="73" spans="4:13" s="11" customFormat="1" x14ac:dyDescent="0.3">
      <c r="H73" s="5" t="s">
        <v>434</v>
      </c>
      <c r="I73" s="39"/>
      <c r="J73" s="18">
        <v>285</v>
      </c>
      <c r="K73" s="11">
        <v>50</v>
      </c>
      <c r="L73" s="44">
        <f>Table134567810111213141516171819202122232425262728[[#This Row],[الدولار]]+(Table134567810111213141516171819202122232425262728[[#This Row],[اللبناني]]/90)</f>
        <v>53.166666666666664</v>
      </c>
      <c r="M73" s="6"/>
    </row>
    <row r="74" spans="4:13" s="11" customFormat="1" x14ac:dyDescent="0.3">
      <c r="H74" s="5" t="s">
        <v>434</v>
      </c>
      <c r="I74" s="39"/>
      <c r="J74" s="18"/>
      <c r="K74" s="11">
        <v>15</v>
      </c>
      <c r="L74" s="44">
        <f>Table134567810111213141516171819202122232425262728[[#This Row],[الدولار]]+(Table134567810111213141516171819202122232425262728[[#This Row],[اللبناني]]/90)</f>
        <v>15</v>
      </c>
      <c r="M74" s="6"/>
    </row>
    <row r="75" spans="4:13" s="11" customFormat="1" x14ac:dyDescent="0.3">
      <c r="H75" s="5" t="s">
        <v>434</v>
      </c>
      <c r="I75" s="39"/>
      <c r="J75" s="18"/>
      <c r="K75" s="11">
        <v>100</v>
      </c>
      <c r="L75" s="44">
        <f>Table134567810111213141516171819202122232425262728[[#This Row],[الدولار]]+(Table134567810111213141516171819202122232425262728[[#This Row],[اللبناني]]/90)</f>
        <v>100</v>
      </c>
      <c r="M75" s="6"/>
    </row>
    <row r="76" spans="4:13" s="11" customFormat="1" x14ac:dyDescent="0.3">
      <c r="H76" s="5" t="s">
        <v>434</v>
      </c>
      <c r="I76" s="39"/>
      <c r="J76" s="18">
        <v>-270</v>
      </c>
      <c r="K76" s="11">
        <v>100</v>
      </c>
      <c r="L76" s="44">
        <f>Table134567810111213141516171819202122232425262728[[#This Row],[الدولار]]+(Table134567810111213141516171819202122232425262728[[#This Row],[اللبناني]]/90)</f>
        <v>97</v>
      </c>
      <c r="M76" s="6"/>
    </row>
    <row r="77" spans="4:13" s="11" customFormat="1" x14ac:dyDescent="0.3">
      <c r="H77" s="5" t="s">
        <v>434</v>
      </c>
      <c r="I77" s="39"/>
      <c r="J77" s="18"/>
      <c r="K77" s="11">
        <v>35</v>
      </c>
      <c r="L77" s="44">
        <f>Table134567810111213141516171819202122232425262728[[#This Row],[الدولار]]+(Table134567810111213141516171819202122232425262728[[#This Row],[اللبناني]]/90)</f>
        <v>35</v>
      </c>
      <c r="M77" s="6"/>
    </row>
    <row r="78" spans="4:13" s="11" customFormat="1" x14ac:dyDescent="0.3">
      <c r="H78" s="5" t="s">
        <v>434</v>
      </c>
      <c r="I78" s="39"/>
      <c r="J78" s="18">
        <v>300</v>
      </c>
      <c r="L78" s="44">
        <f>Table134567810111213141516171819202122232425262728[[#This Row],[الدولار]]+(Table134567810111213141516171819202122232425262728[[#This Row],[اللبناني]]/90)</f>
        <v>3.3333333333333335</v>
      </c>
      <c r="M78" s="6"/>
    </row>
    <row r="79" spans="4:13" s="11" customFormat="1" x14ac:dyDescent="0.3">
      <c r="H79" s="5" t="s">
        <v>434</v>
      </c>
      <c r="I79" s="39"/>
      <c r="J79" s="18">
        <v>20</v>
      </c>
      <c r="L79" s="44">
        <f>Table134567810111213141516171819202122232425262728[[#This Row],[الدولار]]+(Table134567810111213141516171819202122232425262728[[#This Row],[اللبناني]]/90)</f>
        <v>0.22222222222222221</v>
      </c>
      <c r="M79" s="6"/>
    </row>
    <row r="80" spans="4:13" s="11" customFormat="1" x14ac:dyDescent="0.3">
      <c r="H80" s="5" t="s">
        <v>434</v>
      </c>
      <c r="I80" s="39"/>
      <c r="J80" s="18"/>
      <c r="K80" s="11">
        <v>15</v>
      </c>
      <c r="L80" s="44">
        <f>Table134567810111213141516171819202122232425262728[[#This Row],[الدولار]]+(Table134567810111213141516171819202122232425262728[[#This Row],[اللبناني]]/90)</f>
        <v>15</v>
      </c>
      <c r="M80" s="6"/>
    </row>
    <row r="81" spans="8:13" s="11" customFormat="1" x14ac:dyDescent="0.3">
      <c r="H81" s="5" t="s">
        <v>434</v>
      </c>
      <c r="I81" s="39"/>
      <c r="J81" s="18">
        <v>1930</v>
      </c>
      <c r="L81" s="44">
        <f>Table134567810111213141516171819202122232425262728[[#This Row],[الدولار]]+(Table134567810111213141516171819202122232425262728[[#This Row],[اللبناني]]/90)</f>
        <v>21.444444444444443</v>
      </c>
      <c r="M81" s="6"/>
    </row>
    <row r="82" spans="8:13" s="11" customFormat="1" x14ac:dyDescent="0.3">
      <c r="H82" s="5" t="s">
        <v>434</v>
      </c>
      <c r="I82" s="39"/>
      <c r="J82" s="18"/>
      <c r="K82" s="11">
        <v>5</v>
      </c>
      <c r="L82" s="44">
        <f>Table134567810111213141516171819202122232425262728[[#This Row],[الدولار]]+(Table134567810111213141516171819202122232425262728[[#This Row],[اللبناني]]/90)</f>
        <v>5</v>
      </c>
      <c r="M82" s="6"/>
    </row>
    <row r="83" spans="8:13" s="11" customFormat="1" x14ac:dyDescent="0.3">
      <c r="H83" s="5" t="s">
        <v>434</v>
      </c>
      <c r="I83" s="39"/>
      <c r="J83" s="18">
        <v>200</v>
      </c>
      <c r="L83" s="44">
        <f>Table134567810111213141516171819202122232425262728[[#This Row],[الدولار]]+(Table134567810111213141516171819202122232425262728[[#This Row],[اللبناني]]/90)</f>
        <v>2.2222222222222223</v>
      </c>
      <c r="M83" s="6"/>
    </row>
    <row r="84" spans="8:13" s="11" customFormat="1" x14ac:dyDescent="0.3">
      <c r="H84" s="5" t="s">
        <v>434</v>
      </c>
      <c r="I84" s="39"/>
      <c r="J84" s="18">
        <v>160</v>
      </c>
      <c r="L84" s="44">
        <f>Table134567810111213141516171819202122232425262728[[#This Row],[الدولار]]+(Table134567810111213141516171819202122232425262728[[#This Row],[اللبناني]]/90)</f>
        <v>1.7777777777777777</v>
      </c>
      <c r="M84" s="6"/>
    </row>
    <row r="85" spans="8:13" s="11" customFormat="1" x14ac:dyDescent="0.3">
      <c r="H85" s="5" t="s">
        <v>434</v>
      </c>
      <c r="I85" s="39"/>
      <c r="J85" s="18">
        <v>2300</v>
      </c>
      <c r="L85" s="44">
        <f>Table134567810111213141516171819202122232425262728[[#This Row],[الدولار]]+(Table134567810111213141516171819202122232425262728[[#This Row],[اللبناني]]/90)</f>
        <v>25.555555555555557</v>
      </c>
      <c r="M85" s="6"/>
    </row>
    <row r="86" spans="8:13" s="11" customFormat="1" x14ac:dyDescent="0.3">
      <c r="H86" s="5" t="s">
        <v>434</v>
      </c>
      <c r="I86" s="39"/>
      <c r="J86" s="18">
        <v>200</v>
      </c>
      <c r="L86" s="44">
        <f>Table134567810111213141516171819202122232425262728[[#This Row],[الدولار]]+(Table134567810111213141516171819202122232425262728[[#This Row],[اللبناني]]/90)</f>
        <v>2.2222222222222223</v>
      </c>
      <c r="M86" s="6"/>
    </row>
    <row r="87" spans="8:13" s="11" customFormat="1" x14ac:dyDescent="0.3">
      <c r="H87" s="5" t="s">
        <v>434</v>
      </c>
      <c r="I87" s="39"/>
      <c r="J87" s="18">
        <v>-225</v>
      </c>
      <c r="K87" s="11">
        <v>10</v>
      </c>
      <c r="L87" s="44">
        <f>Table134567810111213141516171819202122232425262728[[#This Row],[الدولار]]+(Table134567810111213141516171819202122232425262728[[#This Row],[اللبناني]]/90)</f>
        <v>7.5</v>
      </c>
      <c r="M87" s="6"/>
    </row>
    <row r="88" spans="8:13" s="11" customFormat="1" x14ac:dyDescent="0.3">
      <c r="H88" s="5" t="s">
        <v>434</v>
      </c>
      <c r="I88" s="39"/>
      <c r="J88" s="18">
        <v>70</v>
      </c>
      <c r="L88" s="44">
        <f>Table134567810111213141516171819202122232425262728[[#This Row],[الدولار]]+(Table134567810111213141516171819202122232425262728[[#This Row],[اللبناني]]/90)</f>
        <v>0.77777777777777779</v>
      </c>
      <c r="M88" s="6"/>
    </row>
    <row r="89" spans="8:13" s="11" customFormat="1" x14ac:dyDescent="0.3">
      <c r="H89" s="5" t="s">
        <v>434</v>
      </c>
      <c r="I89" s="39"/>
      <c r="J89" s="18">
        <v>50</v>
      </c>
      <c r="L89" s="44">
        <f>Table134567810111213141516171819202122232425262728[[#This Row],[الدولار]]+(Table134567810111213141516171819202122232425262728[[#This Row],[اللبناني]]/90)</f>
        <v>0.55555555555555558</v>
      </c>
      <c r="M89" s="6"/>
    </row>
    <row r="90" spans="8:13" s="11" customFormat="1" x14ac:dyDescent="0.3">
      <c r="H90" s="5" t="s">
        <v>434</v>
      </c>
      <c r="I90" s="39"/>
      <c r="J90" s="18">
        <v>30</v>
      </c>
      <c r="K90" s="11">
        <v>2</v>
      </c>
      <c r="L90" s="44">
        <f>Table134567810111213141516171819202122232425262728[[#This Row],[الدولار]]+(Table134567810111213141516171819202122232425262728[[#This Row],[اللبناني]]/90)</f>
        <v>2.3333333333333335</v>
      </c>
      <c r="M90" s="6"/>
    </row>
    <row r="91" spans="8:13" s="11" customFormat="1" x14ac:dyDescent="0.3">
      <c r="H91" s="5" t="s">
        <v>434</v>
      </c>
      <c r="I91" s="39"/>
      <c r="J91" s="18"/>
      <c r="K91" s="11">
        <v>10</v>
      </c>
      <c r="L91" s="44">
        <f>Table134567810111213141516171819202122232425262728[[#This Row],[الدولار]]+(Table134567810111213141516171819202122232425262728[[#This Row],[اللبناني]]/90)</f>
        <v>10</v>
      </c>
      <c r="M91" s="6"/>
    </row>
    <row r="92" spans="8:13" s="11" customFormat="1" x14ac:dyDescent="0.3">
      <c r="H92" s="5" t="s">
        <v>434</v>
      </c>
      <c r="I92" s="39"/>
      <c r="J92" s="18">
        <v>1400</v>
      </c>
      <c r="K92" s="11">
        <v>5</v>
      </c>
      <c r="L92" s="44">
        <f>Table134567810111213141516171819202122232425262728[[#This Row],[الدولار]]+(Table134567810111213141516171819202122232425262728[[#This Row],[اللبناني]]/90)</f>
        <v>20.555555555555557</v>
      </c>
      <c r="M92" s="6"/>
    </row>
    <row r="93" spans="8:13" s="11" customFormat="1" x14ac:dyDescent="0.3">
      <c r="H93" s="5" t="s">
        <v>434</v>
      </c>
      <c r="I93" s="39"/>
      <c r="J93" s="18"/>
      <c r="K93" s="11">
        <v>307</v>
      </c>
      <c r="L93" s="44">
        <f>Table134567810111213141516171819202122232425262728[[#This Row],[الدولار]]+(Table134567810111213141516171819202122232425262728[[#This Row],[اللبناني]]/90)</f>
        <v>307</v>
      </c>
      <c r="M93" s="6"/>
    </row>
    <row r="94" spans="8:13" s="11" customFormat="1" x14ac:dyDescent="0.3">
      <c r="H94" s="5" t="s">
        <v>434</v>
      </c>
      <c r="I94" s="39"/>
      <c r="J94" s="18"/>
      <c r="K94" s="11">
        <v>-307</v>
      </c>
      <c r="L94" s="44">
        <f>Table134567810111213141516171819202122232425262728[[#This Row],[الدولار]]+(Table134567810111213141516171819202122232425262728[[#This Row],[اللبناني]]/90)</f>
        <v>-307</v>
      </c>
      <c r="M94" s="6"/>
    </row>
    <row r="95" spans="8:13" s="11" customFormat="1" x14ac:dyDescent="0.3">
      <c r="H95" s="5" t="s">
        <v>434</v>
      </c>
      <c r="I95" s="39"/>
      <c r="J95" s="18"/>
      <c r="K95" s="11">
        <v>15</v>
      </c>
      <c r="L95" s="44">
        <f>Table134567810111213141516171819202122232425262728[[#This Row],[الدولار]]+(Table134567810111213141516171819202122232425262728[[#This Row],[اللبناني]]/90)</f>
        <v>15</v>
      </c>
      <c r="M95" s="6"/>
    </row>
    <row r="96" spans="8:13" s="11" customFormat="1" x14ac:dyDescent="0.3">
      <c r="H96" s="5" t="s">
        <v>434</v>
      </c>
      <c r="I96" s="39"/>
      <c r="J96" s="18">
        <v>60</v>
      </c>
      <c r="L96" s="44">
        <f>Table134567810111213141516171819202122232425262728[[#This Row],[الدولار]]+(Table134567810111213141516171819202122232425262728[[#This Row],[اللبناني]]/90)</f>
        <v>0.66666666666666663</v>
      </c>
      <c r="M96" s="6"/>
    </row>
    <row r="97" spans="8:13" s="11" customFormat="1" x14ac:dyDescent="0.3">
      <c r="H97" s="5" t="s">
        <v>434</v>
      </c>
      <c r="I97" s="39"/>
      <c r="J97" s="18"/>
      <c r="K97" s="11">
        <v>5</v>
      </c>
      <c r="L97" s="44">
        <f>Table134567810111213141516171819202122232425262728[[#This Row],[الدولار]]+(Table134567810111213141516171819202122232425262728[[#This Row],[اللبناني]]/90)</f>
        <v>5</v>
      </c>
      <c r="M97" s="6"/>
    </row>
    <row r="98" spans="8:13" s="11" customFormat="1" x14ac:dyDescent="0.3">
      <c r="H98" s="5" t="s">
        <v>434</v>
      </c>
      <c r="I98" s="39"/>
      <c r="J98" s="18"/>
      <c r="K98" s="11">
        <v>40</v>
      </c>
      <c r="L98" s="44">
        <f>Table134567810111213141516171819202122232425262728[[#This Row],[الدولار]]+(Table134567810111213141516171819202122232425262728[[#This Row],[اللبناني]]/90)</f>
        <v>40</v>
      </c>
      <c r="M98" s="6"/>
    </row>
    <row r="99" spans="8:13" s="11" customFormat="1" x14ac:dyDescent="0.3">
      <c r="H99" s="5" t="s">
        <v>434</v>
      </c>
      <c r="I99" s="39"/>
      <c r="J99" s="18">
        <v>150</v>
      </c>
      <c r="L99" s="44">
        <f>Table134567810111213141516171819202122232425262728[[#This Row],[الدولار]]+(Table134567810111213141516171819202122232425262728[[#This Row],[اللبناني]]/90)</f>
        <v>1.6666666666666667</v>
      </c>
      <c r="M99" s="6"/>
    </row>
    <row r="100" spans="8:13" s="11" customFormat="1" x14ac:dyDescent="0.3">
      <c r="H100" s="5" t="s">
        <v>435</v>
      </c>
      <c r="I100" s="39"/>
      <c r="J100" s="18">
        <v>-50</v>
      </c>
      <c r="L100" s="44">
        <f>Table134567810111213141516171819202122232425262728[[#This Row],[الدولار]]+(Table134567810111213141516171819202122232425262728[[#This Row],[اللبناني]]/90)</f>
        <v>-0.55555555555555558</v>
      </c>
      <c r="M100" s="6"/>
    </row>
    <row r="101" spans="8:13" s="11" customFormat="1" x14ac:dyDescent="0.3">
      <c r="H101" s="5" t="s">
        <v>434</v>
      </c>
      <c r="I101" s="39"/>
      <c r="J101" s="18">
        <v>400</v>
      </c>
      <c r="L101" s="44">
        <f>Table134567810111213141516171819202122232425262728[[#This Row],[الدولار]]+(Table134567810111213141516171819202122232425262728[[#This Row],[اللبناني]]/90)</f>
        <v>4.4444444444444446</v>
      </c>
      <c r="M101" s="6"/>
    </row>
    <row r="102" spans="8:13" s="11" customFormat="1" x14ac:dyDescent="0.3">
      <c r="H102" s="5" t="s">
        <v>434</v>
      </c>
      <c r="I102" s="39"/>
      <c r="J102" s="18">
        <v>960</v>
      </c>
      <c r="L102" s="44">
        <f>Table134567810111213141516171819202122232425262728[[#This Row],[الدولار]]+(Table134567810111213141516171819202122232425262728[[#This Row],[اللبناني]]/90)</f>
        <v>10.666666666666666</v>
      </c>
      <c r="M102" s="6"/>
    </row>
    <row r="103" spans="8:13" s="11" customFormat="1" x14ac:dyDescent="0.3">
      <c r="H103" s="5" t="s">
        <v>434</v>
      </c>
      <c r="I103" s="39"/>
      <c r="J103" s="18">
        <v>400</v>
      </c>
      <c r="L103" s="44">
        <f>Table134567810111213141516171819202122232425262728[[#This Row],[الدولار]]+(Table134567810111213141516171819202122232425262728[[#This Row],[اللبناني]]/90)</f>
        <v>4.4444444444444446</v>
      </c>
      <c r="M103" s="6"/>
    </row>
    <row r="104" spans="8:13" s="11" customFormat="1" x14ac:dyDescent="0.3">
      <c r="H104" s="5" t="s">
        <v>434</v>
      </c>
      <c r="I104" s="39"/>
      <c r="J104" s="18"/>
      <c r="K104" s="11">
        <v>34</v>
      </c>
      <c r="L104" s="44">
        <f>Table134567810111213141516171819202122232425262728[[#This Row],[الدولار]]+(Table134567810111213141516171819202122232425262728[[#This Row],[اللبناني]]/90)</f>
        <v>34</v>
      </c>
      <c r="M104" s="6"/>
    </row>
    <row r="105" spans="8:13" s="11" customFormat="1" x14ac:dyDescent="0.3">
      <c r="H105" s="5" t="s">
        <v>434</v>
      </c>
      <c r="I105" s="39"/>
      <c r="J105" s="18"/>
      <c r="K105" s="11">
        <v>40</v>
      </c>
      <c r="L105" s="44">
        <f>Table134567810111213141516171819202122232425262728[[#This Row],[الدولار]]+(Table134567810111213141516171819202122232425262728[[#This Row],[اللبناني]]/90)</f>
        <v>40</v>
      </c>
      <c r="M105" s="6"/>
    </row>
    <row r="106" spans="8:13" s="11" customFormat="1" x14ac:dyDescent="0.3">
      <c r="H106" s="5" t="s">
        <v>434</v>
      </c>
      <c r="I106" s="39"/>
      <c r="J106" s="18">
        <v>-360</v>
      </c>
      <c r="L106" s="44">
        <f>Table134567810111213141516171819202122232425262728[[#This Row],[الدولار]]+(Table134567810111213141516171819202122232425262728[[#This Row],[اللبناني]]/90)</f>
        <v>-4</v>
      </c>
      <c r="M106" s="6"/>
    </row>
    <row r="107" spans="8:13" s="11" customFormat="1" x14ac:dyDescent="0.3">
      <c r="H107" s="5" t="s">
        <v>434</v>
      </c>
      <c r="I107" s="39"/>
      <c r="J107" s="18"/>
      <c r="K107" s="11">
        <v>127</v>
      </c>
      <c r="L107" s="44">
        <f>Table134567810111213141516171819202122232425262728[[#This Row],[الدولار]]+(Table134567810111213141516171819202122232425262728[[#This Row],[اللبناني]]/90)</f>
        <v>127</v>
      </c>
      <c r="M107" s="6"/>
    </row>
    <row r="108" spans="8:13" s="11" customFormat="1" x14ac:dyDescent="0.3">
      <c r="H108" s="5" t="s">
        <v>434</v>
      </c>
      <c r="I108" s="39"/>
      <c r="J108" s="18">
        <v>-100</v>
      </c>
      <c r="K108" s="11">
        <v>2</v>
      </c>
      <c r="L108" s="44">
        <f>Table134567810111213141516171819202122232425262728[[#This Row],[الدولار]]+(Table134567810111213141516171819202122232425262728[[#This Row],[اللبناني]]/90)</f>
        <v>0.88888888888888884</v>
      </c>
      <c r="M108" s="6"/>
    </row>
    <row r="109" spans="8:13" s="11" customFormat="1" x14ac:dyDescent="0.3">
      <c r="H109" s="5" t="s">
        <v>434</v>
      </c>
      <c r="I109" s="39"/>
      <c r="J109" s="18">
        <v>100</v>
      </c>
      <c r="L109" s="44">
        <f>Table134567810111213141516171819202122232425262728[[#This Row],[الدولار]]+(Table134567810111213141516171819202122232425262728[[#This Row],[اللبناني]]/90)</f>
        <v>1.1111111111111112</v>
      </c>
      <c r="M109" s="6"/>
    </row>
    <row r="110" spans="8:13" s="11" customFormat="1" x14ac:dyDescent="0.3">
      <c r="H110" s="5" t="s">
        <v>434</v>
      </c>
      <c r="I110" s="39"/>
      <c r="J110" s="18">
        <v>150</v>
      </c>
      <c r="L110" s="44">
        <f>Table134567810111213141516171819202122232425262728[[#This Row],[الدولار]]+(Table134567810111213141516171819202122232425262728[[#This Row],[اللبناني]]/90)</f>
        <v>1.6666666666666667</v>
      </c>
      <c r="M110" s="6"/>
    </row>
    <row r="111" spans="8:13" s="11" customFormat="1" x14ac:dyDescent="0.3">
      <c r="H111" s="5" t="s">
        <v>434</v>
      </c>
      <c r="I111" s="39"/>
      <c r="J111" s="18">
        <v>320</v>
      </c>
      <c r="L111" s="44">
        <f>Table134567810111213141516171819202122232425262728[[#This Row],[الدولار]]+(Table134567810111213141516171819202122232425262728[[#This Row],[اللبناني]]/90)</f>
        <v>3.5555555555555554</v>
      </c>
      <c r="M111" s="6"/>
    </row>
    <row r="112" spans="8:13" s="11" customFormat="1" x14ac:dyDescent="0.3">
      <c r="H112" s="5" t="s">
        <v>434</v>
      </c>
      <c r="I112" s="39"/>
      <c r="J112" s="18">
        <v>100</v>
      </c>
      <c r="K112" s="11">
        <v>13</v>
      </c>
      <c r="L112" s="44">
        <f>Table134567810111213141516171819202122232425262728[[#This Row],[الدولار]]+(Table134567810111213141516171819202122232425262728[[#This Row],[اللبناني]]/90)</f>
        <v>14.111111111111111</v>
      </c>
      <c r="M112" s="6"/>
    </row>
    <row r="113" spans="8:13" s="11" customFormat="1" x14ac:dyDescent="0.3">
      <c r="H113" s="5" t="s">
        <v>434</v>
      </c>
      <c r="I113" s="39"/>
      <c r="J113" s="18">
        <v>100</v>
      </c>
      <c r="L113" s="44">
        <f>Table134567810111213141516171819202122232425262728[[#This Row],[الدولار]]+(Table134567810111213141516171819202122232425262728[[#This Row],[اللبناني]]/90)</f>
        <v>1.1111111111111112</v>
      </c>
      <c r="M113" s="6"/>
    </row>
    <row r="114" spans="8:13" s="11" customFormat="1" x14ac:dyDescent="0.3">
      <c r="H114" s="5" t="s">
        <v>434</v>
      </c>
      <c r="I114" s="39"/>
      <c r="J114" s="18">
        <v>120</v>
      </c>
      <c r="L114" s="44">
        <f>Table134567810111213141516171819202122232425262728[[#This Row],[الدولار]]+(Table134567810111213141516171819202122232425262728[[#This Row],[اللبناني]]/90)</f>
        <v>1.3333333333333333</v>
      </c>
      <c r="M114" s="6"/>
    </row>
    <row r="115" spans="8:13" s="11" customFormat="1" x14ac:dyDescent="0.3">
      <c r="H115" s="5" t="s">
        <v>434</v>
      </c>
      <c r="I115" s="39"/>
      <c r="J115" s="18"/>
      <c r="K115" s="11">
        <v>2</v>
      </c>
      <c r="L115" s="44">
        <f>Table134567810111213141516171819202122232425262728[[#This Row],[الدولار]]+(Table134567810111213141516171819202122232425262728[[#This Row],[اللبناني]]/90)</f>
        <v>2</v>
      </c>
      <c r="M115" s="6"/>
    </row>
    <row r="116" spans="8:13" s="11" customFormat="1" x14ac:dyDescent="0.3">
      <c r="H116" s="5" t="s">
        <v>434</v>
      </c>
      <c r="I116" s="39"/>
      <c r="J116" s="18">
        <v>450</v>
      </c>
      <c r="K116" s="11">
        <v>5</v>
      </c>
      <c r="L116" s="44">
        <f>Table134567810111213141516171819202122232425262728[[#This Row],[الدولار]]+(Table134567810111213141516171819202122232425262728[[#This Row],[اللبناني]]/90)</f>
        <v>10</v>
      </c>
      <c r="M116" s="6"/>
    </row>
    <row r="117" spans="8:13" s="11" customFormat="1" x14ac:dyDescent="0.3">
      <c r="H117" s="5" t="s">
        <v>434</v>
      </c>
      <c r="I117" s="39"/>
      <c r="J117" s="18">
        <v>50</v>
      </c>
      <c r="K117" s="11">
        <v>3</v>
      </c>
      <c r="L117" s="44">
        <f>Table134567810111213141516171819202122232425262728[[#This Row],[الدولار]]+(Table134567810111213141516171819202122232425262728[[#This Row],[اللبناني]]/90)</f>
        <v>3.5555555555555554</v>
      </c>
      <c r="M117" s="6"/>
    </row>
    <row r="118" spans="8:13" s="11" customFormat="1" x14ac:dyDescent="0.3">
      <c r="H118" s="5" t="s">
        <v>434</v>
      </c>
      <c r="I118" s="39"/>
      <c r="J118" s="18"/>
      <c r="K118" s="11">
        <v>10</v>
      </c>
      <c r="L118" s="44">
        <f>Table134567810111213141516171819202122232425262728[[#This Row],[الدولار]]+(Table134567810111213141516171819202122232425262728[[#This Row],[اللبناني]]/90)</f>
        <v>10</v>
      </c>
      <c r="M118" s="6"/>
    </row>
    <row r="119" spans="8:13" s="11" customFormat="1" x14ac:dyDescent="0.3">
      <c r="H119" s="5" t="s">
        <v>434</v>
      </c>
      <c r="I119" s="39"/>
      <c r="J119" s="18">
        <v>400</v>
      </c>
      <c r="L119" s="44">
        <f>Table134567810111213141516171819202122232425262728[[#This Row],[الدولار]]+(Table134567810111213141516171819202122232425262728[[#This Row],[اللبناني]]/90)</f>
        <v>4.4444444444444446</v>
      </c>
      <c r="M119" s="6"/>
    </row>
    <row r="120" spans="8:13" s="11" customFormat="1" x14ac:dyDescent="0.3">
      <c r="H120" s="5" t="s">
        <v>434</v>
      </c>
      <c r="I120" s="39"/>
      <c r="J120" s="18"/>
      <c r="K120" s="11">
        <v>18</v>
      </c>
      <c r="L120" s="44">
        <f>Table134567810111213141516171819202122232425262728[[#This Row],[الدولار]]+(Table134567810111213141516171819202122232425262728[[#This Row],[اللبناني]]/90)</f>
        <v>18</v>
      </c>
      <c r="M120" s="6"/>
    </row>
    <row r="121" spans="8:13" s="11" customFormat="1" x14ac:dyDescent="0.3">
      <c r="H121" s="5" t="s">
        <v>435</v>
      </c>
      <c r="I121" s="39"/>
      <c r="J121" s="18">
        <v>-300</v>
      </c>
      <c r="L121" s="44">
        <f>Table134567810111213141516171819202122232425262728[[#This Row],[الدولار]]+(Table134567810111213141516171819202122232425262728[[#This Row],[اللبناني]]/90)</f>
        <v>-3.3333333333333335</v>
      </c>
      <c r="M121" s="6"/>
    </row>
    <row r="122" spans="8:13" s="11" customFormat="1" x14ac:dyDescent="0.3">
      <c r="H122" s="5" t="s">
        <v>434</v>
      </c>
      <c r="I122" s="39"/>
      <c r="J122" s="18">
        <v>400</v>
      </c>
      <c r="L122" s="44">
        <f>Table134567810111213141516171819202122232425262728[[#This Row],[الدولار]]+(Table134567810111213141516171819202122232425262728[[#This Row],[اللبناني]]/90)</f>
        <v>4.4444444444444446</v>
      </c>
      <c r="M122" s="6"/>
    </row>
    <row r="123" spans="8:13" s="11" customFormat="1" x14ac:dyDescent="0.3">
      <c r="H123" s="5" t="s">
        <v>434</v>
      </c>
      <c r="I123" s="39"/>
      <c r="J123" s="18"/>
      <c r="L123" s="44">
        <f>Table134567810111213141516171819202122232425262728[[#This Row],[الدولار]]+(Table134567810111213141516171819202122232425262728[[#This Row],[اللبناني]]/90)</f>
        <v>0</v>
      </c>
      <c r="M123" s="6"/>
    </row>
    <row r="124" spans="8:13" s="11" customFormat="1" x14ac:dyDescent="0.3">
      <c r="H124" s="5" t="s">
        <v>434</v>
      </c>
      <c r="I124" s="39"/>
      <c r="J124" s="18"/>
      <c r="L124" s="44">
        <f>Table134567810111213141516171819202122232425262728[[#This Row],[الدولار]]+(Table134567810111213141516171819202122232425262728[[#This Row],[اللبناني]]/90)</f>
        <v>0</v>
      </c>
      <c r="M124" s="6"/>
    </row>
    <row r="125" spans="8:13" s="11" customFormat="1" x14ac:dyDescent="0.3">
      <c r="H125" s="5" t="s">
        <v>434</v>
      </c>
      <c r="I125" s="39"/>
      <c r="J125" s="18"/>
      <c r="L125" s="44">
        <f>Table134567810111213141516171819202122232425262728[[#This Row],[الدولار]]+(Table134567810111213141516171819202122232425262728[[#This Row],[اللبناني]]/90)</f>
        <v>0</v>
      </c>
      <c r="M125" s="6"/>
    </row>
    <row r="126" spans="8:13" s="11" customFormat="1" x14ac:dyDescent="0.3">
      <c r="H126" s="5" t="s">
        <v>434</v>
      </c>
      <c r="I126" s="39"/>
      <c r="J126" s="18"/>
      <c r="L126" s="44">
        <f>Table134567810111213141516171819202122232425262728[[#This Row],[الدولار]]+(Table134567810111213141516171819202122232425262728[[#This Row],[اللبناني]]/90)</f>
        <v>0</v>
      </c>
      <c r="M126" s="6"/>
    </row>
    <row r="127" spans="8:13" s="11" customFormat="1" x14ac:dyDescent="0.3">
      <c r="H127" s="5" t="s">
        <v>434</v>
      </c>
      <c r="I127" s="39"/>
      <c r="J127" s="18"/>
      <c r="L127" s="44">
        <f>Table134567810111213141516171819202122232425262728[[#This Row],[الدولار]]+(Table134567810111213141516171819202122232425262728[[#This Row],[اللبناني]]/90)</f>
        <v>0</v>
      </c>
      <c r="M127" s="6"/>
    </row>
    <row r="128" spans="8:13" s="11" customFormat="1" x14ac:dyDescent="0.3">
      <c r="H128" s="5" t="s">
        <v>434</v>
      </c>
      <c r="I128" s="39"/>
      <c r="J128" s="18"/>
      <c r="L128" s="44">
        <f>Table134567810111213141516171819202122232425262728[[#This Row],[الدولار]]+(Table134567810111213141516171819202122232425262728[[#This Row],[اللبناني]]/90)</f>
        <v>0</v>
      </c>
      <c r="M128" s="6"/>
    </row>
    <row r="129" spans="8:13" s="11" customFormat="1" x14ac:dyDescent="0.3">
      <c r="H129" s="5" t="s">
        <v>434</v>
      </c>
      <c r="I129" s="39"/>
      <c r="J129" s="18"/>
      <c r="L129" s="44">
        <f>Table134567810111213141516171819202122232425262728[[#This Row],[الدولار]]+(Table134567810111213141516171819202122232425262728[[#This Row],[اللبناني]]/90)</f>
        <v>0</v>
      </c>
      <c r="M129" s="6"/>
    </row>
    <row r="130" spans="8:13" s="11" customFormat="1" x14ac:dyDescent="0.3">
      <c r="H130" s="5" t="s">
        <v>434</v>
      </c>
      <c r="I130" s="39"/>
      <c r="J130" s="18"/>
      <c r="L130" s="44">
        <f>Table134567810111213141516171819202122232425262728[[#This Row],[الدولار]]+(Table134567810111213141516171819202122232425262728[[#This Row],[اللبناني]]/90)</f>
        <v>0</v>
      </c>
      <c r="M130" s="6"/>
    </row>
    <row r="131" spans="8:13" s="11" customFormat="1" x14ac:dyDescent="0.3">
      <c r="H131" s="5" t="s">
        <v>434</v>
      </c>
      <c r="I131" s="39"/>
      <c r="J131" s="18"/>
      <c r="L131" s="44">
        <f>Table134567810111213141516171819202122232425262728[[#This Row],[الدولار]]+(Table134567810111213141516171819202122232425262728[[#This Row],[اللبناني]]/90)</f>
        <v>0</v>
      </c>
      <c r="M131" s="6"/>
    </row>
    <row r="132" spans="8:13" s="11" customFormat="1" x14ac:dyDescent="0.3">
      <c r="H132" s="5" t="s">
        <v>434</v>
      </c>
      <c r="I132" s="39"/>
      <c r="J132" s="18"/>
      <c r="L132" s="44">
        <f>Table134567810111213141516171819202122232425262728[[#This Row],[الدولار]]+(Table134567810111213141516171819202122232425262728[[#This Row],[اللبناني]]/90)</f>
        <v>0</v>
      </c>
      <c r="M132" s="6"/>
    </row>
    <row r="133" spans="8:13" s="11" customFormat="1" x14ac:dyDescent="0.3">
      <c r="H133" s="5" t="s">
        <v>434</v>
      </c>
      <c r="I133" s="39"/>
      <c r="J133" s="18"/>
      <c r="L133" s="44">
        <f>Table134567810111213141516171819202122232425262728[[#This Row],[الدولار]]+(Table134567810111213141516171819202122232425262728[[#This Row],[اللبناني]]/90)</f>
        <v>0</v>
      </c>
      <c r="M133" s="6"/>
    </row>
    <row r="134" spans="8:13" s="11" customFormat="1" x14ac:dyDescent="0.3">
      <c r="H134" s="5" t="s">
        <v>434</v>
      </c>
      <c r="I134" s="39"/>
      <c r="J134" s="18"/>
      <c r="L134" s="44">
        <f>Table134567810111213141516171819202122232425262728[[#This Row],[الدولار]]+(Table134567810111213141516171819202122232425262728[[#This Row],[اللبناني]]/90)</f>
        <v>0</v>
      </c>
      <c r="M134" s="6"/>
    </row>
    <row r="135" spans="8:13" s="11" customFormat="1" x14ac:dyDescent="0.3">
      <c r="H135" s="5" t="s">
        <v>434</v>
      </c>
      <c r="I135" s="39"/>
      <c r="J135" s="18"/>
      <c r="L135" s="44">
        <f>Table134567810111213141516171819202122232425262728[[#This Row],[الدولار]]+(Table134567810111213141516171819202122232425262728[[#This Row],[اللبناني]]/90)</f>
        <v>0</v>
      </c>
      <c r="M135" s="6"/>
    </row>
    <row r="136" spans="8:13" s="11" customFormat="1" x14ac:dyDescent="0.3">
      <c r="H136" s="5" t="s">
        <v>434</v>
      </c>
      <c r="I136" s="39"/>
      <c r="J136" s="18"/>
      <c r="L136" s="44">
        <f>Table134567810111213141516171819202122232425262728[[#This Row],[الدولار]]+(Table134567810111213141516171819202122232425262728[[#This Row],[اللبناني]]/90)</f>
        <v>0</v>
      </c>
      <c r="M136" s="6"/>
    </row>
    <row r="137" spans="8:13" s="11" customFormat="1" x14ac:dyDescent="0.3">
      <c r="H137" s="5" t="s">
        <v>434</v>
      </c>
      <c r="I137" s="39"/>
      <c r="J137" s="18"/>
      <c r="L137" s="44">
        <f>Table134567810111213141516171819202122232425262728[[#This Row],[الدولار]]+(Table134567810111213141516171819202122232425262728[[#This Row],[اللبناني]]/90)</f>
        <v>0</v>
      </c>
      <c r="M137" s="6"/>
    </row>
    <row r="138" spans="8:13" s="11" customFormat="1" x14ac:dyDescent="0.3">
      <c r="H138" s="5" t="s">
        <v>434</v>
      </c>
      <c r="I138" s="39"/>
      <c r="J138" s="18"/>
      <c r="L138" s="44">
        <f>Table134567810111213141516171819202122232425262728[[#This Row],[الدولار]]+(Table134567810111213141516171819202122232425262728[[#This Row],[اللبناني]]/90)</f>
        <v>0</v>
      </c>
      <c r="M138" s="6"/>
    </row>
    <row r="139" spans="8:13" s="11" customFormat="1" x14ac:dyDescent="0.3">
      <c r="H139" s="5" t="s">
        <v>434</v>
      </c>
      <c r="I139" s="39"/>
      <c r="J139" s="18"/>
      <c r="L139" s="44">
        <f>Table134567810111213141516171819202122232425262728[[#This Row],[الدولار]]+(Table134567810111213141516171819202122232425262728[[#This Row],[اللبناني]]/90)</f>
        <v>0</v>
      </c>
      <c r="M139" s="6"/>
    </row>
    <row r="140" spans="8:13" s="11" customFormat="1" x14ac:dyDescent="0.3">
      <c r="H140" s="5" t="s">
        <v>434</v>
      </c>
      <c r="I140" s="39"/>
      <c r="J140" s="18"/>
      <c r="L140" s="44">
        <f>Table134567810111213141516171819202122232425262728[[#This Row],[الدولار]]+(Table134567810111213141516171819202122232425262728[[#This Row],[اللبناني]]/90)</f>
        <v>0</v>
      </c>
      <c r="M140" s="6"/>
    </row>
    <row r="141" spans="8:13" s="11" customFormat="1" x14ac:dyDescent="0.3">
      <c r="H141" s="5" t="s">
        <v>434</v>
      </c>
      <c r="I141" s="39"/>
      <c r="J141" s="18"/>
      <c r="L141" s="44">
        <f>Table134567810111213141516171819202122232425262728[[#This Row],[الدولار]]+(Table134567810111213141516171819202122232425262728[[#This Row],[اللبناني]]/90)</f>
        <v>0</v>
      </c>
      <c r="M141" s="6"/>
    </row>
    <row r="142" spans="8:13" s="11" customFormat="1" x14ac:dyDescent="0.3">
      <c r="H142" s="5" t="s">
        <v>434</v>
      </c>
      <c r="I142" s="39"/>
      <c r="J142" s="18"/>
      <c r="L142" s="44">
        <f>Table134567810111213141516171819202122232425262728[[#This Row],[الدولار]]+(Table134567810111213141516171819202122232425262728[[#This Row],[اللبناني]]/90)</f>
        <v>0</v>
      </c>
      <c r="M142" s="6"/>
    </row>
    <row r="143" spans="8:13" s="11" customFormat="1" x14ac:dyDescent="0.3">
      <c r="H143" s="5" t="s">
        <v>434</v>
      </c>
      <c r="I143" s="39"/>
      <c r="J143" s="18"/>
      <c r="L143" s="44">
        <f>Table134567810111213141516171819202122232425262728[[#This Row],[الدولار]]+(Table134567810111213141516171819202122232425262728[[#This Row],[اللبناني]]/90)</f>
        <v>0</v>
      </c>
      <c r="M143" s="6"/>
    </row>
    <row r="144" spans="8:13" s="11" customFormat="1" x14ac:dyDescent="0.3">
      <c r="H144" s="5" t="s">
        <v>434</v>
      </c>
      <c r="I144" s="39"/>
      <c r="J144" s="18"/>
      <c r="L144" s="44">
        <f>Table134567810111213141516171819202122232425262728[[#This Row],[الدولار]]+(Table134567810111213141516171819202122232425262728[[#This Row],[اللبناني]]/90)</f>
        <v>0</v>
      </c>
      <c r="M144" s="6"/>
    </row>
    <row r="145" spans="8:13" s="11" customFormat="1" x14ac:dyDescent="0.3">
      <c r="H145" s="5" t="s">
        <v>434</v>
      </c>
      <c r="I145" s="39"/>
      <c r="J145" s="18"/>
      <c r="L145" s="44">
        <f>Table134567810111213141516171819202122232425262728[[#This Row],[الدولار]]+(Table134567810111213141516171819202122232425262728[[#This Row],[اللبناني]]/90)</f>
        <v>0</v>
      </c>
      <c r="M145" s="6"/>
    </row>
    <row r="146" spans="8:13" s="11" customFormat="1" x14ac:dyDescent="0.3">
      <c r="H146" s="5" t="s">
        <v>434</v>
      </c>
      <c r="I146" s="39"/>
      <c r="J146" s="18"/>
      <c r="L146" s="44">
        <f>Table134567810111213141516171819202122232425262728[[#This Row],[الدولار]]+(Table134567810111213141516171819202122232425262728[[#This Row],[اللبناني]]/90)</f>
        <v>0</v>
      </c>
      <c r="M146" s="6"/>
    </row>
    <row r="147" spans="8:13" s="11" customFormat="1" x14ac:dyDescent="0.3">
      <c r="H147" s="5" t="s">
        <v>434</v>
      </c>
      <c r="I147" s="39"/>
      <c r="J147" s="18"/>
      <c r="L147" s="44">
        <f>Table134567810111213141516171819202122232425262728[[#This Row],[الدولار]]+(Table134567810111213141516171819202122232425262728[[#This Row],[اللبناني]]/90)</f>
        <v>0</v>
      </c>
      <c r="M147" s="6"/>
    </row>
    <row r="148" spans="8:13" s="11" customFormat="1" x14ac:dyDescent="0.3">
      <c r="H148" s="5" t="s">
        <v>434</v>
      </c>
      <c r="I148" s="39"/>
      <c r="J148" s="18"/>
      <c r="L148" s="44">
        <f>Table134567810111213141516171819202122232425262728[[#This Row],[الدولار]]+(Table134567810111213141516171819202122232425262728[[#This Row],[اللبناني]]/90)</f>
        <v>0</v>
      </c>
      <c r="M148" s="6"/>
    </row>
    <row r="149" spans="8:13" s="11" customFormat="1" x14ac:dyDescent="0.3">
      <c r="H149" s="5" t="s">
        <v>434</v>
      </c>
      <c r="I149" s="39"/>
      <c r="J149" s="18"/>
      <c r="L149" s="44">
        <f>Table134567810111213141516171819202122232425262728[[#This Row],[الدولار]]+(Table134567810111213141516171819202122232425262728[[#This Row],[اللبناني]]/90)</f>
        <v>0</v>
      </c>
      <c r="M149" s="6"/>
    </row>
    <row r="150" spans="8:13" s="11" customFormat="1" x14ac:dyDescent="0.3">
      <c r="H150" s="5" t="s">
        <v>434</v>
      </c>
      <c r="I150" s="39"/>
      <c r="J150" s="18"/>
      <c r="L150" s="44">
        <f>Table134567810111213141516171819202122232425262728[[#This Row],[الدولار]]+(Table134567810111213141516171819202122232425262728[[#This Row],[اللبناني]]/90)</f>
        <v>0</v>
      </c>
      <c r="M150" s="6"/>
    </row>
    <row r="151" spans="8:13" s="11" customFormat="1" x14ac:dyDescent="0.3">
      <c r="H151" s="5" t="s">
        <v>434</v>
      </c>
      <c r="I151" s="39"/>
      <c r="J151" s="18"/>
      <c r="L151" s="44">
        <f>Table134567810111213141516171819202122232425262728[[#This Row],[الدولار]]+(Table134567810111213141516171819202122232425262728[[#This Row],[اللبناني]]/90)</f>
        <v>0</v>
      </c>
      <c r="M151" s="6"/>
    </row>
    <row r="152" spans="8:13" s="11" customFormat="1" x14ac:dyDescent="0.3">
      <c r="H152" s="5" t="s">
        <v>434</v>
      </c>
      <c r="I152" s="39"/>
      <c r="J152" s="18"/>
      <c r="L152" s="44">
        <f>Table134567810111213141516171819202122232425262728[[#This Row],[الدولار]]+(Table134567810111213141516171819202122232425262728[[#This Row],[اللبناني]]/90)</f>
        <v>0</v>
      </c>
      <c r="M152" s="6"/>
    </row>
    <row r="153" spans="8:13" s="11" customFormat="1" x14ac:dyDescent="0.3">
      <c r="H153" s="5" t="s">
        <v>434</v>
      </c>
      <c r="I153" s="39"/>
      <c r="J153" s="18"/>
      <c r="L153" s="44">
        <f>Table134567810111213141516171819202122232425262728[[#This Row],[الدولار]]+(Table134567810111213141516171819202122232425262728[[#This Row],[اللبناني]]/90)</f>
        <v>0</v>
      </c>
      <c r="M153" s="6"/>
    </row>
    <row r="154" spans="8:13" s="11" customFormat="1" x14ac:dyDescent="0.3">
      <c r="H154" s="5" t="s">
        <v>434</v>
      </c>
      <c r="I154" s="39"/>
      <c r="J154" s="18"/>
      <c r="L154" s="44">
        <f>Table134567810111213141516171819202122232425262728[[#This Row],[الدولار]]+(Table134567810111213141516171819202122232425262728[[#This Row],[اللبناني]]/90)</f>
        <v>0</v>
      </c>
      <c r="M154" s="6"/>
    </row>
    <row r="155" spans="8:13" s="11" customFormat="1" x14ac:dyDescent="0.3">
      <c r="H155" s="5" t="s">
        <v>434</v>
      </c>
      <c r="I155" s="39"/>
      <c r="J155" s="18"/>
      <c r="L155" s="44">
        <f>Table134567810111213141516171819202122232425262728[[#This Row],[الدولار]]+(Table134567810111213141516171819202122232425262728[[#This Row],[اللبناني]]/90)</f>
        <v>0</v>
      </c>
      <c r="M155" s="6"/>
    </row>
    <row r="156" spans="8:13" s="11" customFormat="1" x14ac:dyDescent="0.3">
      <c r="H156" s="5" t="s">
        <v>434</v>
      </c>
      <c r="I156" s="39"/>
      <c r="J156" s="18"/>
      <c r="L156" s="44">
        <f>Table134567810111213141516171819202122232425262728[[#This Row],[الدولار]]+(Table134567810111213141516171819202122232425262728[[#This Row],[اللبناني]]/90)</f>
        <v>0</v>
      </c>
      <c r="M156" s="6"/>
    </row>
    <row r="157" spans="8:13" s="11" customFormat="1" x14ac:dyDescent="0.3">
      <c r="H157" s="5" t="s">
        <v>434</v>
      </c>
      <c r="I157" s="39"/>
      <c r="J157" s="18"/>
      <c r="L157" s="44">
        <f>Table134567810111213141516171819202122232425262728[[#This Row],[الدولار]]+(Table134567810111213141516171819202122232425262728[[#This Row],[اللبناني]]/90)</f>
        <v>0</v>
      </c>
      <c r="M157" s="6"/>
    </row>
    <row r="158" spans="8:13" s="11" customFormat="1" x14ac:dyDescent="0.3">
      <c r="H158" s="5" t="s">
        <v>434</v>
      </c>
      <c r="I158" s="39"/>
      <c r="J158" s="18"/>
      <c r="L158" s="44">
        <f>Table134567810111213141516171819202122232425262728[[#This Row],[الدولار]]+(Table134567810111213141516171819202122232425262728[[#This Row],[اللبناني]]/90)</f>
        <v>0</v>
      </c>
      <c r="M158" s="6"/>
    </row>
    <row r="159" spans="8:13" s="11" customFormat="1" x14ac:dyDescent="0.3">
      <c r="H159" s="5" t="s">
        <v>434</v>
      </c>
      <c r="I159" s="39"/>
      <c r="J159" s="18"/>
      <c r="L159" s="44">
        <f>Table134567810111213141516171819202122232425262728[[#This Row],[الدولار]]+(Table134567810111213141516171819202122232425262728[[#This Row],[اللبناني]]/90)</f>
        <v>0</v>
      </c>
      <c r="M159" s="6"/>
    </row>
    <row r="160" spans="8:13" s="11" customFormat="1" x14ac:dyDescent="0.3">
      <c r="H160" s="5" t="s">
        <v>434</v>
      </c>
      <c r="I160" s="39"/>
      <c r="J160" s="18"/>
      <c r="L160" s="44">
        <f>Table134567810111213141516171819202122232425262728[[#This Row],[الدولار]]+(Table134567810111213141516171819202122232425262728[[#This Row],[اللبناني]]/90)</f>
        <v>0</v>
      </c>
      <c r="M160" s="6"/>
    </row>
    <row r="161" spans="8:13" s="11" customFormat="1" x14ac:dyDescent="0.3">
      <c r="H161" s="5" t="s">
        <v>434</v>
      </c>
      <c r="I161" s="39"/>
      <c r="J161" s="18"/>
      <c r="L161" s="44">
        <f>Table134567810111213141516171819202122232425262728[[#This Row],[الدولار]]+(Table134567810111213141516171819202122232425262728[[#This Row],[اللبناني]]/90)</f>
        <v>0</v>
      </c>
      <c r="M161" s="6"/>
    </row>
    <row r="162" spans="8:13" s="11" customFormat="1" x14ac:dyDescent="0.3">
      <c r="H162" s="5" t="s">
        <v>434</v>
      </c>
      <c r="I162" s="39"/>
      <c r="J162" s="18"/>
      <c r="L162" s="44">
        <f>Table134567810111213141516171819202122232425262728[[#This Row],[الدولار]]+(Table134567810111213141516171819202122232425262728[[#This Row],[اللبناني]]/90)</f>
        <v>0</v>
      </c>
      <c r="M162" s="6"/>
    </row>
    <row r="163" spans="8:13" s="11" customFormat="1" x14ac:dyDescent="0.3">
      <c r="H163" s="5" t="s">
        <v>434</v>
      </c>
      <c r="I163" s="39"/>
      <c r="J163" s="18"/>
      <c r="L163" s="44">
        <f>Table134567810111213141516171819202122232425262728[[#This Row],[الدولار]]+(Table134567810111213141516171819202122232425262728[[#This Row],[اللبناني]]/90)</f>
        <v>0</v>
      </c>
      <c r="M163" s="6"/>
    </row>
    <row r="164" spans="8:13" s="11" customFormat="1" x14ac:dyDescent="0.3">
      <c r="H164" s="5" t="s">
        <v>434</v>
      </c>
      <c r="I164" s="39"/>
      <c r="J164" s="18"/>
      <c r="L164" s="44">
        <f>Table134567810111213141516171819202122232425262728[[#This Row],[الدولار]]+(Table134567810111213141516171819202122232425262728[[#This Row],[اللبناني]]/90)</f>
        <v>0</v>
      </c>
      <c r="M164" s="6"/>
    </row>
    <row r="165" spans="8:13" s="11" customFormat="1" x14ac:dyDescent="0.3">
      <c r="H165" s="5" t="s">
        <v>434</v>
      </c>
      <c r="I165" s="39"/>
      <c r="J165" s="18"/>
      <c r="L165" s="44">
        <f>Table134567810111213141516171819202122232425262728[[#This Row],[الدولار]]+(Table134567810111213141516171819202122232425262728[[#This Row],[اللبناني]]/90)</f>
        <v>0</v>
      </c>
      <c r="M165" s="6"/>
    </row>
    <row r="166" spans="8:13" s="11" customFormat="1" x14ac:dyDescent="0.3">
      <c r="H166" s="5" t="s">
        <v>434</v>
      </c>
      <c r="I166" s="39"/>
      <c r="J166" s="18"/>
      <c r="L166" s="44">
        <f>Table134567810111213141516171819202122232425262728[[#This Row],[الدولار]]+(Table134567810111213141516171819202122232425262728[[#This Row],[اللبناني]]/90)</f>
        <v>0</v>
      </c>
      <c r="M166" s="6"/>
    </row>
    <row r="167" spans="8:13" s="11" customFormat="1" x14ac:dyDescent="0.3">
      <c r="H167" s="5" t="s">
        <v>434</v>
      </c>
      <c r="I167" s="39"/>
      <c r="J167" s="18"/>
      <c r="L167" s="44">
        <f>Table134567810111213141516171819202122232425262728[[#This Row],[الدولار]]+(Table134567810111213141516171819202122232425262728[[#This Row],[اللبناني]]/90)</f>
        <v>0</v>
      </c>
      <c r="M167" s="6"/>
    </row>
    <row r="168" spans="8:13" s="11" customFormat="1" x14ac:dyDescent="0.3">
      <c r="H168" s="5" t="s">
        <v>434</v>
      </c>
      <c r="I168" s="39"/>
      <c r="J168" s="18"/>
      <c r="L168" s="44">
        <f>Table134567810111213141516171819202122232425262728[[#This Row],[الدولار]]+(Table134567810111213141516171819202122232425262728[[#This Row],[اللبناني]]/90)</f>
        <v>0</v>
      </c>
      <c r="M168" s="6"/>
    </row>
    <row r="169" spans="8:13" s="11" customFormat="1" x14ac:dyDescent="0.3">
      <c r="H169" s="5" t="s">
        <v>434</v>
      </c>
      <c r="I169" s="39"/>
      <c r="J169" s="18"/>
      <c r="L169" s="44">
        <f>Table134567810111213141516171819202122232425262728[[#This Row],[الدولار]]+(Table134567810111213141516171819202122232425262728[[#This Row],[اللبناني]]/90)</f>
        <v>0</v>
      </c>
      <c r="M169" s="6"/>
    </row>
    <row r="170" spans="8:13" s="11" customFormat="1" x14ac:dyDescent="0.3">
      <c r="H170" s="5" t="s">
        <v>434</v>
      </c>
      <c r="I170" s="39"/>
      <c r="J170" s="18"/>
      <c r="L170" s="44">
        <f>Table134567810111213141516171819202122232425262728[[#This Row],[الدولار]]+(Table134567810111213141516171819202122232425262728[[#This Row],[اللبناني]]/90)</f>
        <v>0</v>
      </c>
      <c r="M170" s="6"/>
    </row>
    <row r="171" spans="8:13" s="11" customFormat="1" x14ac:dyDescent="0.3">
      <c r="H171" s="5" t="s">
        <v>434</v>
      </c>
      <c r="I171" s="39"/>
      <c r="J171" s="18"/>
      <c r="L171" s="44">
        <f>Table134567810111213141516171819202122232425262728[[#This Row],[الدولار]]+(Table134567810111213141516171819202122232425262728[[#This Row],[اللبناني]]/90)</f>
        <v>0</v>
      </c>
      <c r="M171" s="6"/>
    </row>
    <row r="172" spans="8:13" s="11" customFormat="1" x14ac:dyDescent="0.3">
      <c r="H172" s="5" t="s">
        <v>434</v>
      </c>
      <c r="I172" s="39"/>
      <c r="J172" s="18"/>
      <c r="L172" s="44">
        <f>Table134567810111213141516171819202122232425262728[[#This Row],[الدولار]]+(Table134567810111213141516171819202122232425262728[[#This Row],[اللبناني]]/90)</f>
        <v>0</v>
      </c>
      <c r="M172" s="6"/>
    </row>
    <row r="173" spans="8:13" s="11" customFormat="1" x14ac:dyDescent="0.3">
      <c r="H173" s="5" t="s">
        <v>434</v>
      </c>
      <c r="I173" s="39"/>
      <c r="J173" s="18"/>
      <c r="L173" s="44">
        <f>Table134567810111213141516171819202122232425262728[[#This Row],[الدولار]]+(Table134567810111213141516171819202122232425262728[[#This Row],[اللبناني]]/90)</f>
        <v>0</v>
      </c>
      <c r="M173" s="6"/>
    </row>
    <row r="174" spans="8:13" s="11" customFormat="1" x14ac:dyDescent="0.3">
      <c r="H174" s="5" t="s">
        <v>434</v>
      </c>
      <c r="I174" s="39"/>
      <c r="J174" s="18"/>
      <c r="L174" s="44">
        <f>Table134567810111213141516171819202122232425262728[[#This Row],[الدولار]]+(Table134567810111213141516171819202122232425262728[[#This Row],[اللبناني]]/90)</f>
        <v>0</v>
      </c>
      <c r="M174" s="6"/>
    </row>
    <row r="175" spans="8:13" s="11" customFormat="1" x14ac:dyDescent="0.3">
      <c r="H175" s="5" t="s">
        <v>434</v>
      </c>
      <c r="I175" s="39"/>
      <c r="J175" s="18"/>
      <c r="L175" s="44">
        <f>Table134567810111213141516171819202122232425262728[[#This Row],[الدولار]]+(Table134567810111213141516171819202122232425262728[[#This Row],[اللبناني]]/90)</f>
        <v>0</v>
      </c>
      <c r="M175" s="6"/>
    </row>
    <row r="176" spans="8:13" s="11" customFormat="1" x14ac:dyDescent="0.3">
      <c r="H176" s="5" t="s">
        <v>434</v>
      </c>
      <c r="I176" s="39"/>
      <c r="J176" s="18"/>
      <c r="L176" s="44">
        <f>Table134567810111213141516171819202122232425262728[[#This Row],[الدولار]]+(Table134567810111213141516171819202122232425262728[[#This Row],[اللبناني]]/90)</f>
        <v>0</v>
      </c>
      <c r="M176" s="6"/>
    </row>
    <row r="177" spans="8:13" s="11" customFormat="1" x14ac:dyDescent="0.3">
      <c r="H177" s="5" t="s">
        <v>434</v>
      </c>
      <c r="I177" s="39"/>
      <c r="J177" s="18"/>
      <c r="L177" s="44">
        <f>Table134567810111213141516171819202122232425262728[[#This Row],[الدولار]]+(Table134567810111213141516171819202122232425262728[[#This Row],[اللبناني]]/90)</f>
        <v>0</v>
      </c>
      <c r="M177" s="6"/>
    </row>
    <row r="178" spans="8:13" s="11" customFormat="1" x14ac:dyDescent="0.3">
      <c r="H178" s="5" t="s">
        <v>434</v>
      </c>
      <c r="I178" s="39"/>
      <c r="J178" s="18"/>
      <c r="L178" s="44">
        <f>Table134567810111213141516171819202122232425262728[[#This Row],[الدولار]]+(Table134567810111213141516171819202122232425262728[[#This Row],[اللبناني]]/90)</f>
        <v>0</v>
      </c>
      <c r="M178" s="6"/>
    </row>
    <row r="179" spans="8:13" s="11" customFormat="1" x14ac:dyDescent="0.3">
      <c r="H179" s="5" t="s">
        <v>434</v>
      </c>
      <c r="I179" s="39"/>
      <c r="J179" s="18"/>
      <c r="L179" s="44">
        <f>Table134567810111213141516171819202122232425262728[[#This Row],[الدولار]]+(Table134567810111213141516171819202122232425262728[[#This Row],[اللبناني]]/90)</f>
        <v>0</v>
      </c>
      <c r="M179" s="6"/>
    </row>
    <row r="180" spans="8:13" s="11" customFormat="1" x14ac:dyDescent="0.3">
      <c r="H180" s="5" t="s">
        <v>434</v>
      </c>
      <c r="I180" s="39"/>
      <c r="J180" s="18"/>
      <c r="L180" s="44">
        <f>Table134567810111213141516171819202122232425262728[[#This Row],[الدولار]]+(Table134567810111213141516171819202122232425262728[[#This Row],[اللبناني]]/90)</f>
        <v>0</v>
      </c>
      <c r="M180" s="6"/>
    </row>
    <row r="181" spans="8:13" s="11" customFormat="1" x14ac:dyDescent="0.3">
      <c r="H181" s="5" t="s">
        <v>434</v>
      </c>
      <c r="I181" s="39"/>
      <c r="J181" s="18"/>
      <c r="L181" s="44">
        <f>Table134567810111213141516171819202122232425262728[[#This Row],[الدولار]]+(Table134567810111213141516171819202122232425262728[[#This Row],[اللبناني]]/90)</f>
        <v>0</v>
      </c>
      <c r="M181" s="6"/>
    </row>
    <row r="182" spans="8:13" s="11" customFormat="1" x14ac:dyDescent="0.3">
      <c r="H182" s="5" t="s">
        <v>434</v>
      </c>
      <c r="I182" s="39"/>
      <c r="J182" s="18"/>
      <c r="L182" s="44">
        <f>Table134567810111213141516171819202122232425262728[[#This Row],[الدولار]]+(Table134567810111213141516171819202122232425262728[[#This Row],[اللبناني]]/90)</f>
        <v>0</v>
      </c>
      <c r="M182" s="6"/>
    </row>
    <row r="183" spans="8:13" s="11" customFormat="1" x14ac:dyDescent="0.3">
      <c r="H183" s="5" t="s">
        <v>434</v>
      </c>
      <c r="I183" s="39"/>
      <c r="J183" s="18"/>
      <c r="L183" s="44">
        <f>Table134567810111213141516171819202122232425262728[[#This Row],[الدولار]]+(Table134567810111213141516171819202122232425262728[[#This Row],[اللبناني]]/90)</f>
        <v>0</v>
      </c>
      <c r="M183" s="6"/>
    </row>
    <row r="184" spans="8:13" s="11" customFormat="1" x14ac:dyDescent="0.3">
      <c r="H184" s="5" t="s">
        <v>434</v>
      </c>
      <c r="I184" s="39"/>
      <c r="J184" s="18"/>
      <c r="L184" s="44">
        <f>Table134567810111213141516171819202122232425262728[[#This Row],[الدولار]]+(Table134567810111213141516171819202122232425262728[[#This Row],[اللبناني]]/90)</f>
        <v>0</v>
      </c>
      <c r="M184" s="6"/>
    </row>
    <row r="185" spans="8:13" s="11" customFormat="1" x14ac:dyDescent="0.3">
      <c r="H185" s="5" t="s">
        <v>434</v>
      </c>
      <c r="I185" s="39"/>
      <c r="J185" s="18"/>
      <c r="L185" s="44">
        <f>Table134567810111213141516171819202122232425262728[[#This Row],[الدولار]]+(Table134567810111213141516171819202122232425262728[[#This Row],[اللبناني]]/90)</f>
        <v>0</v>
      </c>
      <c r="M185" s="6"/>
    </row>
    <row r="186" spans="8:13" s="11" customFormat="1" x14ac:dyDescent="0.3">
      <c r="H186" s="5" t="s">
        <v>434</v>
      </c>
      <c r="I186" s="39"/>
      <c r="J186" s="18"/>
      <c r="L186" s="44">
        <f>Table134567810111213141516171819202122232425262728[[#This Row],[الدولار]]+(Table134567810111213141516171819202122232425262728[[#This Row],[اللبناني]]/90)</f>
        <v>0</v>
      </c>
      <c r="M186" s="6"/>
    </row>
    <row r="187" spans="8:13" s="11" customFormat="1" x14ac:dyDescent="0.3">
      <c r="H187" s="5" t="s">
        <v>434</v>
      </c>
      <c r="I187" s="39"/>
      <c r="J187" s="18"/>
      <c r="L187" s="44">
        <f>Table134567810111213141516171819202122232425262728[[#This Row],[الدولار]]+(Table134567810111213141516171819202122232425262728[[#This Row],[اللبناني]]/90)</f>
        <v>0</v>
      </c>
      <c r="M187" s="6"/>
    </row>
    <row r="188" spans="8:13" s="11" customFormat="1" x14ac:dyDescent="0.3">
      <c r="H188" s="5" t="s">
        <v>434</v>
      </c>
      <c r="I188" s="39"/>
      <c r="J188" s="18"/>
      <c r="L188" s="44">
        <f>Table134567810111213141516171819202122232425262728[[#This Row],[الدولار]]+(Table134567810111213141516171819202122232425262728[[#This Row],[اللبناني]]/90)</f>
        <v>0</v>
      </c>
      <c r="M188" s="6"/>
    </row>
    <row r="189" spans="8:13" s="11" customFormat="1" x14ac:dyDescent="0.3">
      <c r="H189" s="5" t="s">
        <v>434</v>
      </c>
      <c r="I189" s="39"/>
      <c r="J189" s="18"/>
      <c r="L189" s="44">
        <f>Table134567810111213141516171819202122232425262728[[#This Row],[الدولار]]+(Table134567810111213141516171819202122232425262728[[#This Row],[اللبناني]]/90)</f>
        <v>0</v>
      </c>
      <c r="M189" s="6"/>
    </row>
    <row r="190" spans="8:13" s="11" customFormat="1" x14ac:dyDescent="0.3">
      <c r="H190" s="5" t="s">
        <v>434</v>
      </c>
      <c r="I190" s="39"/>
      <c r="J190" s="18"/>
      <c r="L190" s="44">
        <f>Table134567810111213141516171819202122232425262728[[#This Row],[الدولار]]+(Table134567810111213141516171819202122232425262728[[#This Row],[اللبناني]]/90)</f>
        <v>0</v>
      </c>
      <c r="M190" s="6"/>
    </row>
    <row r="191" spans="8:13" s="11" customFormat="1" x14ac:dyDescent="0.3">
      <c r="H191" s="5" t="s">
        <v>434</v>
      </c>
      <c r="I191" s="39"/>
      <c r="J191" s="18"/>
      <c r="L191" s="44">
        <f>Table134567810111213141516171819202122232425262728[[#This Row],[الدولار]]+(Table134567810111213141516171819202122232425262728[[#This Row],[اللبناني]]/90)</f>
        <v>0</v>
      </c>
      <c r="M191" s="6"/>
    </row>
    <row r="192" spans="8:13" s="11" customFormat="1" x14ac:dyDescent="0.3">
      <c r="H192" s="5" t="s">
        <v>434</v>
      </c>
      <c r="I192" s="39"/>
      <c r="J192" s="18"/>
      <c r="L192" s="44">
        <f>Table134567810111213141516171819202122232425262728[[#This Row],[الدولار]]+(Table134567810111213141516171819202122232425262728[[#This Row],[اللبناني]]/90)</f>
        <v>0</v>
      </c>
      <c r="M192" s="6"/>
    </row>
    <row r="193" spans="8:13" s="11" customFormat="1" x14ac:dyDescent="0.3">
      <c r="H193" s="5" t="s">
        <v>434</v>
      </c>
      <c r="I193" s="39"/>
      <c r="J193" s="18"/>
      <c r="L193" s="44">
        <f>Table134567810111213141516171819202122232425262728[[#This Row],[الدولار]]+(Table134567810111213141516171819202122232425262728[[#This Row],[اللبناني]]/90)</f>
        <v>0</v>
      </c>
      <c r="M193" s="6"/>
    </row>
    <row r="194" spans="8:13" s="11" customFormat="1" x14ac:dyDescent="0.3">
      <c r="H194" s="5" t="s">
        <v>434</v>
      </c>
      <c r="I194" s="39"/>
      <c r="J194" s="18"/>
      <c r="L194" s="44">
        <f>Table134567810111213141516171819202122232425262728[[#This Row],[الدولار]]+(Table134567810111213141516171819202122232425262728[[#This Row],[اللبناني]]/90)</f>
        <v>0</v>
      </c>
      <c r="M194" s="6"/>
    </row>
    <row r="195" spans="8:13" s="11" customFormat="1" x14ac:dyDescent="0.3">
      <c r="H195" s="5" t="s">
        <v>434</v>
      </c>
      <c r="I195" s="39"/>
      <c r="J195" s="18"/>
      <c r="L195" s="44">
        <f>Table134567810111213141516171819202122232425262728[[#This Row],[الدولار]]+(Table134567810111213141516171819202122232425262728[[#This Row],[اللبناني]]/90)</f>
        <v>0</v>
      </c>
      <c r="M195" s="6"/>
    </row>
    <row r="196" spans="8:13" s="11" customFormat="1" x14ac:dyDescent="0.3">
      <c r="H196" s="5" t="s">
        <v>434</v>
      </c>
      <c r="I196" s="39"/>
      <c r="J196" s="18"/>
      <c r="L196" s="44">
        <f>Table134567810111213141516171819202122232425262728[[#This Row],[الدولار]]+(Table134567810111213141516171819202122232425262728[[#This Row],[اللبناني]]/90)</f>
        <v>0</v>
      </c>
      <c r="M196" s="6"/>
    </row>
    <row r="197" spans="8:13" s="11" customFormat="1" x14ac:dyDescent="0.3">
      <c r="H197" s="5" t="s">
        <v>434</v>
      </c>
      <c r="I197" s="39"/>
      <c r="J197" s="18"/>
      <c r="L197" s="44">
        <f>Table134567810111213141516171819202122232425262728[[#This Row],[الدولار]]+(Table134567810111213141516171819202122232425262728[[#This Row],[اللبناني]]/90)</f>
        <v>0</v>
      </c>
      <c r="M197" s="6"/>
    </row>
    <row r="198" spans="8:13" s="11" customFormat="1" x14ac:dyDescent="0.3">
      <c r="H198" s="5" t="s">
        <v>434</v>
      </c>
      <c r="I198" s="39"/>
      <c r="J198" s="18"/>
      <c r="L198" s="44">
        <f>Table134567810111213141516171819202122232425262728[[#This Row],[الدولار]]+(Table134567810111213141516171819202122232425262728[[#This Row],[اللبناني]]/90)</f>
        <v>0</v>
      </c>
      <c r="M198" s="6"/>
    </row>
    <row r="199" spans="8:13" s="11" customFormat="1" x14ac:dyDescent="0.3">
      <c r="H199" s="5" t="s">
        <v>434</v>
      </c>
      <c r="I199" s="39"/>
      <c r="J199" s="18"/>
      <c r="L199" s="44">
        <f>Table134567810111213141516171819202122232425262728[[#This Row],[الدولار]]+(Table134567810111213141516171819202122232425262728[[#This Row],[اللبناني]]/90)</f>
        <v>0</v>
      </c>
      <c r="M199" s="6"/>
    </row>
    <row r="200" spans="8:13" s="11" customFormat="1" x14ac:dyDescent="0.3">
      <c r="H200" s="5" t="s">
        <v>434</v>
      </c>
      <c r="I200" s="39"/>
      <c r="J200" s="18"/>
      <c r="L200" s="44">
        <f>Table134567810111213141516171819202122232425262728[[#This Row],[الدولار]]+(Table134567810111213141516171819202122232425262728[[#This Row],[اللبناني]]/90)</f>
        <v>0</v>
      </c>
      <c r="M200" s="6"/>
    </row>
    <row r="201" spans="8:13" s="11" customFormat="1" x14ac:dyDescent="0.3">
      <c r="H201" s="5" t="s">
        <v>434</v>
      </c>
      <c r="I201" s="39"/>
      <c r="J201" s="18"/>
      <c r="L201" s="44">
        <f>Table134567810111213141516171819202122232425262728[[#This Row],[الدولار]]+(Table134567810111213141516171819202122232425262728[[#This Row],[اللبناني]]/90)</f>
        <v>0</v>
      </c>
      <c r="M201" s="6"/>
    </row>
    <row r="202" spans="8:13" s="11" customFormat="1" x14ac:dyDescent="0.3">
      <c r="H202" s="5" t="s">
        <v>434</v>
      </c>
      <c r="I202" s="39"/>
      <c r="J202" s="18"/>
      <c r="L202" s="44">
        <f>Table134567810111213141516171819202122232425262728[[#This Row],[الدولار]]+(Table134567810111213141516171819202122232425262728[[#This Row],[اللبناني]]/90)</f>
        <v>0</v>
      </c>
      <c r="M202" s="6"/>
    </row>
    <row r="203" spans="8:13" s="11" customFormat="1" x14ac:dyDescent="0.3">
      <c r="H203" s="5" t="s">
        <v>434</v>
      </c>
      <c r="I203" s="39"/>
      <c r="J203" s="18"/>
      <c r="L203" s="44">
        <f>Table134567810111213141516171819202122232425262728[[#This Row],[الدولار]]+(Table134567810111213141516171819202122232425262728[[#This Row],[اللبناني]]/90)</f>
        <v>0</v>
      </c>
      <c r="M203" s="6"/>
    </row>
    <row r="204" spans="8:13" s="11" customFormat="1" x14ac:dyDescent="0.3">
      <c r="H204" s="5" t="s">
        <v>434</v>
      </c>
      <c r="I204" s="39"/>
      <c r="J204" s="18"/>
      <c r="L204" s="44">
        <f>Table134567810111213141516171819202122232425262728[[#This Row],[الدولار]]+(Table134567810111213141516171819202122232425262728[[#This Row],[اللبناني]]/90)</f>
        <v>0</v>
      </c>
      <c r="M204" s="6"/>
    </row>
    <row r="205" spans="8:13" s="11" customFormat="1" x14ac:dyDescent="0.3">
      <c r="H205" s="5" t="s">
        <v>434</v>
      </c>
      <c r="I205" s="39"/>
      <c r="J205" s="18"/>
      <c r="L205" s="44">
        <f>Table134567810111213141516171819202122232425262728[[#This Row],[الدولار]]+(Table134567810111213141516171819202122232425262728[[#This Row],[اللبناني]]/90)</f>
        <v>0</v>
      </c>
      <c r="M205" s="6"/>
    </row>
    <row r="206" spans="8:13" s="11" customFormat="1" x14ac:dyDescent="0.3">
      <c r="H206" s="5" t="s">
        <v>434</v>
      </c>
      <c r="I206" s="39"/>
      <c r="J206" s="18"/>
      <c r="L206" s="44">
        <f>Table134567810111213141516171819202122232425262728[[#This Row],[الدولار]]+(Table134567810111213141516171819202122232425262728[[#This Row],[اللبناني]]/90)</f>
        <v>0</v>
      </c>
      <c r="M206" s="6"/>
    </row>
    <row r="207" spans="8:13" s="11" customFormat="1" x14ac:dyDescent="0.3">
      <c r="H207" s="5" t="s">
        <v>434</v>
      </c>
      <c r="I207" s="39"/>
      <c r="J207" s="18"/>
      <c r="L207" s="44">
        <f>Table134567810111213141516171819202122232425262728[[#This Row],[الدولار]]+(Table134567810111213141516171819202122232425262728[[#This Row],[اللبناني]]/90)</f>
        <v>0</v>
      </c>
      <c r="M207" s="6"/>
    </row>
    <row r="208" spans="8:13" s="11" customFormat="1" x14ac:dyDescent="0.3">
      <c r="H208" s="5" t="s">
        <v>434</v>
      </c>
      <c r="I208" s="39"/>
      <c r="J208" s="18"/>
      <c r="L208" s="44">
        <f>Table134567810111213141516171819202122232425262728[[#This Row],[الدولار]]+(Table134567810111213141516171819202122232425262728[[#This Row],[اللبناني]]/90)</f>
        <v>0</v>
      </c>
      <c r="M208" s="6"/>
    </row>
    <row r="209" spans="8:13" s="11" customFormat="1" x14ac:dyDescent="0.3">
      <c r="H209" s="5" t="s">
        <v>434</v>
      </c>
      <c r="I209" s="39"/>
      <c r="J209" s="18"/>
      <c r="L209" s="44">
        <f>Table134567810111213141516171819202122232425262728[[#This Row],[الدولار]]+(Table134567810111213141516171819202122232425262728[[#This Row],[اللبناني]]/90)</f>
        <v>0</v>
      </c>
      <c r="M209" s="6"/>
    </row>
    <row r="210" spans="8:13" s="11" customFormat="1" x14ac:dyDescent="0.3">
      <c r="H210" s="5" t="s">
        <v>434</v>
      </c>
      <c r="I210" s="39"/>
      <c r="J210" s="18"/>
      <c r="L210" s="44">
        <f>Table134567810111213141516171819202122232425262728[[#This Row],[الدولار]]+(Table134567810111213141516171819202122232425262728[[#This Row],[اللبناني]]/90)</f>
        <v>0</v>
      </c>
      <c r="M210" s="6"/>
    </row>
    <row r="211" spans="8:13" s="11" customFormat="1" x14ac:dyDescent="0.3">
      <c r="H211" s="5" t="s">
        <v>434</v>
      </c>
      <c r="I211" s="39"/>
      <c r="J211" s="18"/>
      <c r="L211" s="44">
        <f>Table134567810111213141516171819202122232425262728[[#This Row],[الدولار]]+(Table134567810111213141516171819202122232425262728[[#This Row],[اللبناني]]/90)</f>
        <v>0</v>
      </c>
      <c r="M211" s="6"/>
    </row>
    <row r="212" spans="8:13" s="11" customFormat="1" x14ac:dyDescent="0.3">
      <c r="H212" s="5" t="s">
        <v>434</v>
      </c>
      <c r="I212" s="39"/>
      <c r="J212" s="18"/>
      <c r="L212" s="44">
        <f>Table134567810111213141516171819202122232425262728[[#This Row],[الدولار]]+(Table134567810111213141516171819202122232425262728[[#This Row],[اللبناني]]/90)</f>
        <v>0</v>
      </c>
      <c r="M212" s="6"/>
    </row>
    <row r="213" spans="8:13" s="11" customFormat="1" x14ac:dyDescent="0.3">
      <c r="H213" s="5" t="s">
        <v>434</v>
      </c>
      <c r="I213" s="39"/>
      <c r="J213" s="18"/>
      <c r="L213" s="44">
        <f>Table134567810111213141516171819202122232425262728[[#This Row],[الدولار]]+(Table134567810111213141516171819202122232425262728[[#This Row],[اللبناني]]/90)</f>
        <v>0</v>
      </c>
      <c r="M213" s="6"/>
    </row>
    <row r="214" spans="8:13" s="11" customFormat="1" x14ac:dyDescent="0.3">
      <c r="H214" s="5" t="s">
        <v>434</v>
      </c>
      <c r="I214" s="39"/>
      <c r="J214" s="18"/>
      <c r="L214" s="44">
        <f>Table134567810111213141516171819202122232425262728[[#This Row],[الدولار]]+(Table134567810111213141516171819202122232425262728[[#This Row],[اللبناني]]/90)</f>
        <v>0</v>
      </c>
      <c r="M214" s="6"/>
    </row>
    <row r="215" spans="8:13" s="11" customFormat="1" x14ac:dyDescent="0.3">
      <c r="H215" s="5" t="s">
        <v>434</v>
      </c>
      <c r="I215" s="39"/>
      <c r="J215" s="18"/>
      <c r="L215" s="44">
        <f>Table134567810111213141516171819202122232425262728[[#This Row],[الدولار]]+(Table134567810111213141516171819202122232425262728[[#This Row],[اللبناني]]/90)</f>
        <v>0</v>
      </c>
      <c r="M215" s="6"/>
    </row>
    <row r="216" spans="8:13" s="11" customFormat="1" x14ac:dyDescent="0.3">
      <c r="H216" s="5" t="s">
        <v>434</v>
      </c>
      <c r="I216" s="39"/>
      <c r="J216" s="18"/>
      <c r="L216" s="44">
        <f>Table134567810111213141516171819202122232425262728[[#This Row],[الدولار]]+(Table134567810111213141516171819202122232425262728[[#This Row],[اللبناني]]/90)</f>
        <v>0</v>
      </c>
      <c r="M216" s="6"/>
    </row>
    <row r="217" spans="8:13" s="11" customFormat="1" x14ac:dyDescent="0.3">
      <c r="H217" s="5" t="s">
        <v>434</v>
      </c>
      <c r="I217" s="39"/>
      <c r="J217" s="18"/>
      <c r="L217" s="44">
        <f>Table134567810111213141516171819202122232425262728[[#This Row],[الدولار]]+(Table134567810111213141516171819202122232425262728[[#This Row],[اللبناني]]/90)</f>
        <v>0</v>
      </c>
      <c r="M217" s="6"/>
    </row>
    <row r="218" spans="8:13" s="11" customFormat="1" x14ac:dyDescent="0.3">
      <c r="H218" s="5" t="s">
        <v>434</v>
      </c>
      <c r="I218" s="39"/>
      <c r="J218" s="18"/>
      <c r="L218" s="44">
        <f>Table134567810111213141516171819202122232425262728[[#This Row],[الدولار]]+(Table134567810111213141516171819202122232425262728[[#This Row],[اللبناني]]/90)</f>
        <v>0</v>
      </c>
      <c r="M218" s="6"/>
    </row>
    <row r="219" spans="8:13" s="11" customFormat="1" x14ac:dyDescent="0.3">
      <c r="H219" s="5" t="s">
        <v>434</v>
      </c>
      <c r="I219" s="39"/>
      <c r="J219" s="18"/>
      <c r="L219" s="44">
        <f>Table134567810111213141516171819202122232425262728[[#This Row],[الدولار]]+(Table134567810111213141516171819202122232425262728[[#This Row],[اللبناني]]/90)</f>
        <v>0</v>
      </c>
      <c r="M219" s="6"/>
    </row>
    <row r="220" spans="8:13" s="11" customFormat="1" x14ac:dyDescent="0.3">
      <c r="H220" s="5" t="s">
        <v>434</v>
      </c>
      <c r="I220" s="39"/>
      <c r="J220" s="18"/>
      <c r="L220" s="44">
        <f>Table134567810111213141516171819202122232425262728[[#This Row],[الدولار]]+(Table134567810111213141516171819202122232425262728[[#This Row],[اللبناني]]/90)</f>
        <v>0</v>
      </c>
      <c r="M220" s="6"/>
    </row>
    <row r="221" spans="8:13" s="11" customFormat="1" x14ac:dyDescent="0.3">
      <c r="H221" s="5" t="s">
        <v>434</v>
      </c>
      <c r="I221" s="39"/>
      <c r="J221" s="18"/>
      <c r="L221" s="44">
        <f>Table134567810111213141516171819202122232425262728[[#This Row],[الدولار]]+(Table134567810111213141516171819202122232425262728[[#This Row],[اللبناني]]/90)</f>
        <v>0</v>
      </c>
      <c r="M221" s="6"/>
    </row>
    <row r="222" spans="8:13" s="11" customFormat="1" x14ac:dyDescent="0.3">
      <c r="H222" s="5" t="s">
        <v>434</v>
      </c>
      <c r="I222" s="39"/>
      <c r="J222" s="18"/>
      <c r="L222" s="44">
        <f>Table134567810111213141516171819202122232425262728[[#This Row],[الدولار]]+(Table134567810111213141516171819202122232425262728[[#This Row],[اللبناني]]/90)</f>
        <v>0</v>
      </c>
      <c r="M222" s="6"/>
    </row>
    <row r="223" spans="8:13" s="11" customFormat="1" x14ac:dyDescent="0.3">
      <c r="H223" s="5" t="s">
        <v>434</v>
      </c>
      <c r="I223" s="39"/>
      <c r="J223" s="18"/>
      <c r="L223" s="44">
        <f>Table134567810111213141516171819202122232425262728[[#This Row],[الدولار]]+(Table134567810111213141516171819202122232425262728[[#This Row],[اللبناني]]/90)</f>
        <v>0</v>
      </c>
      <c r="M223" s="6"/>
    </row>
    <row r="224" spans="8:13" s="11" customFormat="1" x14ac:dyDescent="0.3">
      <c r="H224" s="5" t="s">
        <v>434</v>
      </c>
      <c r="I224" s="39"/>
      <c r="J224" s="18"/>
      <c r="L224" s="44">
        <f>Table134567810111213141516171819202122232425262728[[#This Row],[الدولار]]+(Table134567810111213141516171819202122232425262728[[#This Row],[اللبناني]]/90)</f>
        <v>0</v>
      </c>
      <c r="M224" s="6"/>
    </row>
    <row r="225" spans="8:13" s="11" customFormat="1" x14ac:dyDescent="0.3">
      <c r="H225" s="5" t="s">
        <v>434</v>
      </c>
      <c r="I225" s="39"/>
      <c r="J225" s="18"/>
      <c r="L225" s="44">
        <f>Table134567810111213141516171819202122232425262728[[#This Row],[الدولار]]+(Table134567810111213141516171819202122232425262728[[#This Row],[اللبناني]]/90)</f>
        <v>0</v>
      </c>
      <c r="M225" s="6"/>
    </row>
    <row r="226" spans="8:13" s="11" customFormat="1" x14ac:dyDescent="0.3">
      <c r="H226" s="5" t="s">
        <v>434</v>
      </c>
      <c r="I226" s="39"/>
      <c r="J226" s="18"/>
      <c r="L226" s="44">
        <f>Table134567810111213141516171819202122232425262728[[#This Row],[الدولار]]+(Table134567810111213141516171819202122232425262728[[#This Row],[اللبناني]]/90)</f>
        <v>0</v>
      </c>
      <c r="M226" s="6"/>
    </row>
    <row r="227" spans="8:13" s="11" customFormat="1" x14ac:dyDescent="0.3">
      <c r="H227" s="5" t="s">
        <v>434</v>
      </c>
      <c r="I227" s="39"/>
      <c r="J227" s="18"/>
      <c r="L227" s="44">
        <f>Table134567810111213141516171819202122232425262728[[#This Row],[الدولار]]+(Table134567810111213141516171819202122232425262728[[#This Row],[اللبناني]]/90)</f>
        <v>0</v>
      </c>
      <c r="M227" s="6"/>
    </row>
    <row r="228" spans="8:13" s="11" customFormat="1" x14ac:dyDescent="0.3">
      <c r="H228" s="5" t="s">
        <v>434</v>
      </c>
      <c r="I228" s="39"/>
      <c r="J228" s="18"/>
      <c r="L228" s="44">
        <f>Table134567810111213141516171819202122232425262728[[#This Row],[الدولار]]+(Table134567810111213141516171819202122232425262728[[#This Row],[اللبناني]]/90)</f>
        <v>0</v>
      </c>
      <c r="M228" s="6"/>
    </row>
    <row r="229" spans="8:13" s="11" customFormat="1" x14ac:dyDescent="0.3">
      <c r="H229" s="5" t="s">
        <v>434</v>
      </c>
      <c r="I229" s="39"/>
      <c r="J229" s="18"/>
      <c r="L229" s="44">
        <f>Table134567810111213141516171819202122232425262728[[#This Row],[الدولار]]+(Table134567810111213141516171819202122232425262728[[#This Row],[اللبناني]]/90)</f>
        <v>0</v>
      </c>
      <c r="M229" s="6"/>
    </row>
    <row r="230" spans="8:13" s="11" customFormat="1" x14ac:dyDescent="0.3">
      <c r="H230" s="5" t="s">
        <v>434</v>
      </c>
      <c r="I230" s="39"/>
      <c r="J230" s="18"/>
      <c r="L230" s="44">
        <f>Table134567810111213141516171819202122232425262728[[#This Row],[الدولار]]+(Table134567810111213141516171819202122232425262728[[#This Row],[اللبناني]]/90)</f>
        <v>0</v>
      </c>
      <c r="M230" s="6"/>
    </row>
    <row r="231" spans="8:13" s="11" customFormat="1" x14ac:dyDescent="0.3">
      <c r="H231" s="5" t="s">
        <v>434</v>
      </c>
      <c r="I231" s="39"/>
      <c r="J231" s="18"/>
      <c r="L231" s="44">
        <f>Table134567810111213141516171819202122232425262728[[#This Row],[الدولار]]+(Table134567810111213141516171819202122232425262728[[#This Row],[اللبناني]]/90)</f>
        <v>0</v>
      </c>
      <c r="M231" s="6"/>
    </row>
    <row r="232" spans="8:13" s="11" customFormat="1" x14ac:dyDescent="0.3">
      <c r="H232" s="5" t="s">
        <v>434</v>
      </c>
      <c r="I232" s="39"/>
      <c r="J232" s="18"/>
      <c r="L232" s="44">
        <f>Table134567810111213141516171819202122232425262728[[#This Row],[الدولار]]+(Table134567810111213141516171819202122232425262728[[#This Row],[اللبناني]]/90)</f>
        <v>0</v>
      </c>
      <c r="M232" s="6"/>
    </row>
    <row r="233" spans="8:13" s="11" customFormat="1" x14ac:dyDescent="0.3">
      <c r="H233" s="5" t="s">
        <v>434</v>
      </c>
      <c r="I233" s="39"/>
      <c r="J233" s="18"/>
      <c r="L233" s="44">
        <f>Table134567810111213141516171819202122232425262728[[#This Row],[الدولار]]+(Table134567810111213141516171819202122232425262728[[#This Row],[اللبناني]]/90)</f>
        <v>0</v>
      </c>
      <c r="M233" s="6"/>
    </row>
    <row r="234" spans="8:13" s="11" customFormat="1" x14ac:dyDescent="0.3">
      <c r="H234" s="5" t="s">
        <v>434</v>
      </c>
      <c r="I234" s="39"/>
      <c r="J234" s="18"/>
      <c r="L234" s="44">
        <f>Table134567810111213141516171819202122232425262728[[#This Row],[الدولار]]+(Table134567810111213141516171819202122232425262728[[#This Row],[اللبناني]]/90)</f>
        <v>0</v>
      </c>
      <c r="M234" s="6"/>
    </row>
    <row r="235" spans="8:13" s="11" customFormat="1" x14ac:dyDescent="0.3">
      <c r="H235" s="5" t="s">
        <v>434</v>
      </c>
      <c r="I235" s="39"/>
      <c r="J235" s="18"/>
      <c r="L235" s="44">
        <f>Table134567810111213141516171819202122232425262728[[#This Row],[الدولار]]+(Table134567810111213141516171819202122232425262728[[#This Row],[اللبناني]]/90)</f>
        <v>0</v>
      </c>
      <c r="M235" s="6"/>
    </row>
    <row r="236" spans="8:13" s="11" customFormat="1" x14ac:dyDescent="0.3">
      <c r="H236" s="5" t="s">
        <v>434</v>
      </c>
      <c r="I236" s="39"/>
      <c r="J236" s="18"/>
      <c r="L236" s="44">
        <f>Table134567810111213141516171819202122232425262728[[#This Row],[الدولار]]+(Table134567810111213141516171819202122232425262728[[#This Row],[اللبناني]]/90)</f>
        <v>0</v>
      </c>
      <c r="M236" s="6"/>
    </row>
    <row r="237" spans="8:13" s="11" customFormat="1" x14ac:dyDescent="0.3">
      <c r="H237" s="5" t="s">
        <v>434</v>
      </c>
      <c r="I237" s="39"/>
      <c r="J237" s="18"/>
      <c r="L237" s="44">
        <f>Table134567810111213141516171819202122232425262728[[#This Row],[الدولار]]+(Table134567810111213141516171819202122232425262728[[#This Row],[اللبناني]]/90)</f>
        <v>0</v>
      </c>
      <c r="M237" s="6"/>
    </row>
    <row r="238" spans="8:13" s="11" customFormat="1" x14ac:dyDescent="0.3">
      <c r="H238" s="5" t="s">
        <v>434</v>
      </c>
      <c r="I238" s="39"/>
      <c r="J238" s="18"/>
      <c r="L238" s="44">
        <f>Table134567810111213141516171819202122232425262728[[#This Row],[الدولار]]+(Table134567810111213141516171819202122232425262728[[#This Row],[اللبناني]]/90)</f>
        <v>0</v>
      </c>
      <c r="M238" s="6"/>
    </row>
    <row r="239" spans="8:13" s="11" customFormat="1" x14ac:dyDescent="0.3">
      <c r="H239" s="5" t="s">
        <v>434</v>
      </c>
      <c r="I239" s="39"/>
      <c r="J239" s="18"/>
      <c r="L239" s="44">
        <f>Table134567810111213141516171819202122232425262728[[#This Row],[الدولار]]+(Table134567810111213141516171819202122232425262728[[#This Row],[اللبناني]]/90)</f>
        <v>0</v>
      </c>
      <c r="M239" s="6"/>
    </row>
    <row r="240" spans="8:13" s="11" customFormat="1" x14ac:dyDescent="0.3">
      <c r="H240" s="5" t="s">
        <v>434</v>
      </c>
      <c r="I240" s="39"/>
      <c r="J240" s="18"/>
      <c r="L240" s="44">
        <f>Table134567810111213141516171819202122232425262728[[#This Row],[الدولار]]+(Table134567810111213141516171819202122232425262728[[#This Row],[اللبناني]]/90)</f>
        <v>0</v>
      </c>
      <c r="M240" s="6"/>
    </row>
    <row r="241" spans="8:13" s="11" customFormat="1" x14ac:dyDescent="0.3">
      <c r="H241" s="5" t="s">
        <v>434</v>
      </c>
      <c r="I241" s="39"/>
      <c r="J241" s="18"/>
      <c r="L241" s="44">
        <f>Table134567810111213141516171819202122232425262728[[#This Row],[الدولار]]+(Table134567810111213141516171819202122232425262728[[#This Row],[اللبناني]]/90)</f>
        <v>0</v>
      </c>
      <c r="M241" s="6"/>
    </row>
    <row r="242" spans="8:13" s="11" customFormat="1" x14ac:dyDescent="0.3">
      <c r="H242" s="5" t="s">
        <v>434</v>
      </c>
      <c r="I242" s="39"/>
      <c r="J242" s="18"/>
      <c r="L242" s="44">
        <f>Table134567810111213141516171819202122232425262728[[#This Row],[الدولار]]+(Table134567810111213141516171819202122232425262728[[#This Row],[اللبناني]]/90)</f>
        <v>0</v>
      </c>
      <c r="M242" s="6"/>
    </row>
    <row r="243" spans="8:13" s="11" customFormat="1" x14ac:dyDescent="0.3">
      <c r="H243" s="5" t="s">
        <v>434</v>
      </c>
      <c r="I243" s="39"/>
      <c r="J243" s="18"/>
      <c r="L243" s="44">
        <f>Table134567810111213141516171819202122232425262728[[#This Row],[الدولار]]+(Table134567810111213141516171819202122232425262728[[#This Row],[اللبناني]]/90)</f>
        <v>0</v>
      </c>
      <c r="M243" s="6"/>
    </row>
    <row r="244" spans="8:13" s="11" customFormat="1" x14ac:dyDescent="0.3">
      <c r="H244" s="5" t="s">
        <v>434</v>
      </c>
      <c r="I244" s="39"/>
      <c r="J244" s="18"/>
      <c r="L244" s="44">
        <f>Table134567810111213141516171819202122232425262728[[#This Row],[الدولار]]+(Table134567810111213141516171819202122232425262728[[#This Row],[اللبناني]]/90)</f>
        <v>0</v>
      </c>
      <c r="M244" s="6"/>
    </row>
    <row r="245" spans="8:13" s="11" customFormat="1" x14ac:dyDescent="0.3">
      <c r="H245" s="5" t="s">
        <v>434</v>
      </c>
      <c r="I245" s="39"/>
      <c r="J245" s="18"/>
      <c r="L245" s="44">
        <f>Table134567810111213141516171819202122232425262728[[#This Row],[الدولار]]+(Table134567810111213141516171819202122232425262728[[#This Row],[اللبناني]]/90)</f>
        <v>0</v>
      </c>
      <c r="M245" s="6"/>
    </row>
    <row r="246" spans="8:13" s="11" customFormat="1" x14ac:dyDescent="0.3">
      <c r="H246" s="5" t="s">
        <v>434</v>
      </c>
      <c r="I246" s="39"/>
      <c r="J246" s="18"/>
      <c r="L246" s="44">
        <f>Table134567810111213141516171819202122232425262728[[#This Row],[الدولار]]+(Table134567810111213141516171819202122232425262728[[#This Row],[اللبناني]]/90)</f>
        <v>0</v>
      </c>
      <c r="M246" s="6"/>
    </row>
    <row r="247" spans="8:13" s="11" customFormat="1" x14ac:dyDescent="0.3">
      <c r="H247" s="5" t="s">
        <v>434</v>
      </c>
      <c r="I247" s="39"/>
      <c r="J247" s="18"/>
      <c r="L247" s="44">
        <f>Table134567810111213141516171819202122232425262728[[#This Row],[الدولار]]+(Table134567810111213141516171819202122232425262728[[#This Row],[اللبناني]]/90)</f>
        <v>0</v>
      </c>
      <c r="M247" s="6"/>
    </row>
    <row r="248" spans="8:13" s="11" customFormat="1" x14ac:dyDescent="0.3">
      <c r="H248" s="5" t="s">
        <v>434</v>
      </c>
      <c r="I248" s="39"/>
      <c r="J248" s="18"/>
      <c r="L248" s="44">
        <f>Table134567810111213141516171819202122232425262728[[#This Row],[الدولار]]+(Table134567810111213141516171819202122232425262728[[#This Row],[اللبناني]]/90)</f>
        <v>0</v>
      </c>
      <c r="M248" s="6"/>
    </row>
    <row r="249" spans="8:13" s="11" customFormat="1" x14ac:dyDescent="0.3">
      <c r="H249" s="5" t="s">
        <v>434</v>
      </c>
      <c r="I249" s="39"/>
      <c r="J249" s="18"/>
      <c r="L249" s="44">
        <f>Table134567810111213141516171819202122232425262728[[#This Row],[الدولار]]+(Table134567810111213141516171819202122232425262728[[#This Row],[اللبناني]]/90)</f>
        <v>0</v>
      </c>
      <c r="M249" s="6"/>
    </row>
    <row r="250" spans="8:13" s="11" customFormat="1" x14ac:dyDescent="0.3">
      <c r="H250" s="5" t="s">
        <v>434</v>
      </c>
      <c r="I250" s="39"/>
      <c r="J250" s="18"/>
      <c r="L250" s="44">
        <f>Table134567810111213141516171819202122232425262728[[#This Row],[الدولار]]+(Table134567810111213141516171819202122232425262728[[#This Row],[اللبناني]]/90)</f>
        <v>0</v>
      </c>
      <c r="M250" s="6"/>
    </row>
    <row r="251" spans="8:13" s="11" customFormat="1" x14ac:dyDescent="0.3">
      <c r="H251" s="5" t="s">
        <v>434</v>
      </c>
      <c r="I251" s="39"/>
      <c r="J251" s="18"/>
      <c r="L251" s="44">
        <f>Table134567810111213141516171819202122232425262728[[#This Row],[الدولار]]+(Table134567810111213141516171819202122232425262728[[#This Row],[اللبناني]]/90)</f>
        <v>0</v>
      </c>
      <c r="M251" s="6"/>
    </row>
    <row r="252" spans="8:13" s="11" customFormat="1" x14ac:dyDescent="0.3">
      <c r="H252" s="5" t="s">
        <v>434</v>
      </c>
      <c r="I252" s="39"/>
      <c r="J252" s="18"/>
      <c r="L252" s="44">
        <f>Table134567810111213141516171819202122232425262728[[#This Row],[الدولار]]+(Table134567810111213141516171819202122232425262728[[#This Row],[اللبناني]]/90)</f>
        <v>0</v>
      </c>
      <c r="M252" s="6"/>
    </row>
    <row r="253" spans="8:13" s="11" customFormat="1" x14ac:dyDescent="0.3">
      <c r="H253" s="5" t="s">
        <v>434</v>
      </c>
      <c r="I253" s="39"/>
      <c r="J253" s="18"/>
      <c r="L253" s="44">
        <f>Table134567810111213141516171819202122232425262728[[#This Row],[الدولار]]+(Table134567810111213141516171819202122232425262728[[#This Row],[اللبناني]]/90)</f>
        <v>0</v>
      </c>
      <c r="M253" s="6"/>
    </row>
    <row r="254" spans="8:13" s="11" customFormat="1" x14ac:dyDescent="0.3">
      <c r="H254" s="5" t="s">
        <v>434</v>
      </c>
      <c r="I254" s="39"/>
      <c r="J254" s="18"/>
      <c r="L254" s="44">
        <f>Table134567810111213141516171819202122232425262728[[#This Row],[الدولار]]+(Table134567810111213141516171819202122232425262728[[#This Row],[اللبناني]]/90)</f>
        <v>0</v>
      </c>
      <c r="M254" s="6"/>
    </row>
    <row r="255" spans="8:13" s="11" customFormat="1" x14ac:dyDescent="0.3">
      <c r="H255" s="5" t="s">
        <v>434</v>
      </c>
      <c r="I255" s="39"/>
      <c r="J255" s="18"/>
      <c r="L255" s="44">
        <f>Table134567810111213141516171819202122232425262728[[#This Row],[الدولار]]+(Table134567810111213141516171819202122232425262728[[#This Row],[اللبناني]]/90)</f>
        <v>0</v>
      </c>
      <c r="M255" s="6"/>
    </row>
    <row r="256" spans="8:13" s="11" customFormat="1" x14ac:dyDescent="0.3">
      <c r="H256" s="5" t="s">
        <v>434</v>
      </c>
      <c r="I256" s="39"/>
      <c r="J256" s="18"/>
      <c r="L256" s="44">
        <f>Table134567810111213141516171819202122232425262728[[#This Row],[الدولار]]+(Table134567810111213141516171819202122232425262728[[#This Row],[اللبناني]]/90)</f>
        <v>0</v>
      </c>
      <c r="M256" s="6"/>
    </row>
    <row r="257" spans="8:13" s="11" customFormat="1" x14ac:dyDescent="0.3">
      <c r="H257" s="5" t="s">
        <v>434</v>
      </c>
      <c r="I257" s="39"/>
      <c r="J257" s="18"/>
      <c r="L257" s="44">
        <f>Table134567810111213141516171819202122232425262728[[#This Row],[الدولار]]+(Table134567810111213141516171819202122232425262728[[#This Row],[اللبناني]]/90)</f>
        <v>0</v>
      </c>
      <c r="M257" s="6"/>
    </row>
    <row r="258" spans="8:13" s="11" customFormat="1" x14ac:dyDescent="0.3">
      <c r="H258" s="5" t="s">
        <v>434</v>
      </c>
      <c r="I258" s="39"/>
      <c r="J258" s="18"/>
      <c r="L258" s="44">
        <f>Table134567810111213141516171819202122232425262728[[#This Row],[الدولار]]+(Table134567810111213141516171819202122232425262728[[#This Row],[اللبناني]]/90)</f>
        <v>0</v>
      </c>
      <c r="M258" s="6"/>
    </row>
    <row r="259" spans="8:13" s="11" customFormat="1" x14ac:dyDescent="0.3">
      <c r="H259" s="5" t="s">
        <v>434</v>
      </c>
      <c r="I259" s="39"/>
      <c r="J259" s="18"/>
      <c r="L259" s="44">
        <f>Table134567810111213141516171819202122232425262728[[#This Row],[الدولار]]+(Table134567810111213141516171819202122232425262728[[#This Row],[اللبناني]]/90)</f>
        <v>0</v>
      </c>
      <c r="M259" s="6"/>
    </row>
    <row r="260" spans="8:13" s="11" customFormat="1" x14ac:dyDescent="0.3">
      <c r="H260" s="5" t="s">
        <v>434</v>
      </c>
      <c r="I260" s="39"/>
      <c r="J260" s="18"/>
      <c r="L260" s="44">
        <f>Table134567810111213141516171819202122232425262728[[#This Row],[الدولار]]+(Table134567810111213141516171819202122232425262728[[#This Row],[اللبناني]]/90)</f>
        <v>0</v>
      </c>
      <c r="M260" s="6"/>
    </row>
    <row r="261" spans="8:13" s="11" customFormat="1" x14ac:dyDescent="0.3">
      <c r="H261" s="5" t="s">
        <v>434</v>
      </c>
      <c r="I261" s="39"/>
      <c r="J261" s="18"/>
      <c r="L261" s="44">
        <f>Table134567810111213141516171819202122232425262728[[#This Row],[الدولار]]+(Table134567810111213141516171819202122232425262728[[#This Row],[اللبناني]]/90)</f>
        <v>0</v>
      </c>
      <c r="M261" s="6"/>
    </row>
    <row r="262" spans="8:13" s="11" customFormat="1" x14ac:dyDescent="0.3">
      <c r="H262" s="5" t="s">
        <v>434</v>
      </c>
      <c r="I262" s="39"/>
      <c r="J262" s="18"/>
      <c r="L262" s="44">
        <f>Table134567810111213141516171819202122232425262728[[#This Row],[الدولار]]+(Table134567810111213141516171819202122232425262728[[#This Row],[اللبناني]]/90)</f>
        <v>0</v>
      </c>
      <c r="M262" s="6"/>
    </row>
    <row r="263" spans="8:13" s="11" customFormat="1" x14ac:dyDescent="0.3">
      <c r="H263" s="5" t="s">
        <v>434</v>
      </c>
      <c r="I263" s="39"/>
      <c r="J263" s="18"/>
      <c r="L263" s="44">
        <f>Table134567810111213141516171819202122232425262728[[#This Row],[الدولار]]+(Table134567810111213141516171819202122232425262728[[#This Row],[اللبناني]]/90)</f>
        <v>0</v>
      </c>
      <c r="M263" s="6"/>
    </row>
    <row r="264" spans="8:13" s="11" customFormat="1" x14ac:dyDescent="0.3">
      <c r="H264" s="5" t="s">
        <v>434</v>
      </c>
      <c r="I264" s="39"/>
      <c r="J264" s="18"/>
      <c r="L264" s="44">
        <f>Table134567810111213141516171819202122232425262728[[#This Row],[الدولار]]+(Table134567810111213141516171819202122232425262728[[#This Row],[اللبناني]]/90)</f>
        <v>0</v>
      </c>
      <c r="M264" s="6"/>
    </row>
    <row r="265" spans="8:13" s="11" customFormat="1" x14ac:dyDescent="0.3">
      <c r="H265" s="5" t="s">
        <v>434</v>
      </c>
      <c r="I265" s="39"/>
      <c r="J265" s="18"/>
      <c r="L265" s="44">
        <f>Table134567810111213141516171819202122232425262728[[#This Row],[الدولار]]+(Table134567810111213141516171819202122232425262728[[#This Row],[اللبناني]]/90)</f>
        <v>0</v>
      </c>
      <c r="M265" s="6"/>
    </row>
    <row r="266" spans="8:13" s="11" customFormat="1" x14ac:dyDescent="0.3">
      <c r="H266" s="5" t="s">
        <v>434</v>
      </c>
      <c r="I266" s="39"/>
      <c r="J266" s="18"/>
      <c r="L266" s="44">
        <f>Table134567810111213141516171819202122232425262728[[#This Row],[الدولار]]+(Table134567810111213141516171819202122232425262728[[#This Row],[اللبناني]]/90)</f>
        <v>0</v>
      </c>
      <c r="M266" s="6"/>
    </row>
    <row r="267" spans="8:13" s="11" customFormat="1" x14ac:dyDescent="0.3">
      <c r="H267" s="5" t="s">
        <v>434</v>
      </c>
      <c r="I267" s="39"/>
      <c r="J267" s="18"/>
      <c r="L267" s="44">
        <f>Table134567810111213141516171819202122232425262728[[#This Row],[الدولار]]+(Table134567810111213141516171819202122232425262728[[#This Row],[اللبناني]]/90)</f>
        <v>0</v>
      </c>
      <c r="M267" s="6"/>
    </row>
    <row r="268" spans="8:13" s="11" customFormat="1" x14ac:dyDescent="0.3">
      <c r="H268" s="5" t="s">
        <v>434</v>
      </c>
      <c r="I268" s="39"/>
      <c r="J268" s="18"/>
      <c r="L268" s="44">
        <f>Table134567810111213141516171819202122232425262728[[#This Row],[الدولار]]+(Table134567810111213141516171819202122232425262728[[#This Row],[اللبناني]]/90)</f>
        <v>0</v>
      </c>
      <c r="M268" s="6"/>
    </row>
    <row r="269" spans="8:13" s="11" customFormat="1" x14ac:dyDescent="0.3">
      <c r="H269" s="5" t="s">
        <v>434</v>
      </c>
      <c r="I269" s="39"/>
      <c r="J269" s="18"/>
      <c r="L269" s="44">
        <f>Table134567810111213141516171819202122232425262728[[#This Row],[الدولار]]+(Table134567810111213141516171819202122232425262728[[#This Row],[اللبناني]]/90)</f>
        <v>0</v>
      </c>
      <c r="M269" s="6"/>
    </row>
    <row r="270" spans="8:13" s="11" customFormat="1" x14ac:dyDescent="0.3">
      <c r="H270" s="5" t="s">
        <v>434</v>
      </c>
      <c r="I270" s="39"/>
      <c r="J270" s="18"/>
      <c r="L270" s="44">
        <f>Table134567810111213141516171819202122232425262728[[#This Row],[الدولار]]+(Table134567810111213141516171819202122232425262728[[#This Row],[اللبناني]]/90)</f>
        <v>0</v>
      </c>
      <c r="M270" s="6"/>
    </row>
    <row r="271" spans="8:13" s="11" customFormat="1" x14ac:dyDescent="0.3">
      <c r="H271" s="5" t="s">
        <v>434</v>
      </c>
      <c r="I271" s="39"/>
      <c r="J271" s="18"/>
      <c r="L271" s="44">
        <f>Table134567810111213141516171819202122232425262728[[#This Row],[الدولار]]+(Table134567810111213141516171819202122232425262728[[#This Row],[اللبناني]]/90)</f>
        <v>0</v>
      </c>
      <c r="M271" s="6"/>
    </row>
    <row r="272" spans="8:13" s="11" customFormat="1" x14ac:dyDescent="0.3">
      <c r="H272" s="5" t="s">
        <v>434</v>
      </c>
      <c r="I272" s="39"/>
      <c r="J272" s="18"/>
      <c r="L272" s="44">
        <f>Table134567810111213141516171819202122232425262728[[#This Row],[الدولار]]+(Table134567810111213141516171819202122232425262728[[#This Row],[اللبناني]]/90)</f>
        <v>0</v>
      </c>
      <c r="M272" s="6"/>
    </row>
    <row r="273" spans="8:13" s="11" customFormat="1" x14ac:dyDescent="0.3">
      <c r="H273" s="5" t="s">
        <v>434</v>
      </c>
      <c r="I273" s="39"/>
      <c r="J273" s="18"/>
      <c r="L273" s="44">
        <f>Table134567810111213141516171819202122232425262728[[#This Row],[الدولار]]+(Table134567810111213141516171819202122232425262728[[#This Row],[اللبناني]]/90)</f>
        <v>0</v>
      </c>
      <c r="M273" s="6"/>
    </row>
    <row r="274" spans="8:13" s="11" customFormat="1" x14ac:dyDescent="0.3">
      <c r="H274" s="5" t="s">
        <v>434</v>
      </c>
      <c r="I274" s="39"/>
      <c r="J274" s="18"/>
      <c r="L274" s="44">
        <f>Table134567810111213141516171819202122232425262728[[#This Row],[الدولار]]+(Table134567810111213141516171819202122232425262728[[#This Row],[اللبناني]]/90)</f>
        <v>0</v>
      </c>
      <c r="M274" s="6"/>
    </row>
    <row r="275" spans="8:13" s="11" customFormat="1" x14ac:dyDescent="0.3">
      <c r="H275" s="5" t="s">
        <v>434</v>
      </c>
      <c r="I275" s="39"/>
      <c r="J275" s="18"/>
      <c r="L275" s="44">
        <f>Table134567810111213141516171819202122232425262728[[#This Row],[الدولار]]+(Table134567810111213141516171819202122232425262728[[#This Row],[اللبناني]]/90)</f>
        <v>0</v>
      </c>
      <c r="M275" s="6"/>
    </row>
    <row r="276" spans="8:13" s="11" customFormat="1" x14ac:dyDescent="0.3">
      <c r="H276" s="5" t="s">
        <v>434</v>
      </c>
      <c r="I276" s="39"/>
      <c r="J276" s="18"/>
      <c r="L276" s="44">
        <f>Table134567810111213141516171819202122232425262728[[#This Row],[الدولار]]+(Table134567810111213141516171819202122232425262728[[#This Row],[اللبناني]]/90)</f>
        <v>0</v>
      </c>
      <c r="M276" s="6"/>
    </row>
    <row r="277" spans="8:13" s="11" customFormat="1" x14ac:dyDescent="0.3">
      <c r="H277" s="5" t="s">
        <v>434</v>
      </c>
      <c r="I277" s="39"/>
      <c r="J277" s="18"/>
      <c r="L277" s="44">
        <f>Table134567810111213141516171819202122232425262728[[#This Row],[الدولار]]+(Table134567810111213141516171819202122232425262728[[#This Row],[اللبناني]]/90)</f>
        <v>0</v>
      </c>
      <c r="M277" s="6"/>
    </row>
    <row r="278" spans="8:13" s="11" customFormat="1" x14ac:dyDescent="0.3">
      <c r="H278" s="5" t="s">
        <v>434</v>
      </c>
      <c r="I278" s="39"/>
      <c r="J278" s="18"/>
      <c r="L278" s="44">
        <f>Table134567810111213141516171819202122232425262728[[#This Row],[الدولار]]+(Table134567810111213141516171819202122232425262728[[#This Row],[اللبناني]]/90)</f>
        <v>0</v>
      </c>
      <c r="M278" s="6"/>
    </row>
    <row r="279" spans="8:13" s="11" customFormat="1" x14ac:dyDescent="0.3">
      <c r="H279" s="5" t="s">
        <v>434</v>
      </c>
      <c r="I279" s="39"/>
      <c r="J279" s="18"/>
      <c r="L279" s="44">
        <f>Table134567810111213141516171819202122232425262728[[#This Row],[الدولار]]+(Table134567810111213141516171819202122232425262728[[#This Row],[اللبناني]]/90)</f>
        <v>0</v>
      </c>
      <c r="M279" s="6"/>
    </row>
    <row r="280" spans="8:13" s="11" customFormat="1" x14ac:dyDescent="0.3">
      <c r="H280" s="5" t="s">
        <v>434</v>
      </c>
      <c r="I280" s="39"/>
      <c r="J280" s="18"/>
      <c r="L280" s="44">
        <f>Table134567810111213141516171819202122232425262728[[#This Row],[الدولار]]+(Table134567810111213141516171819202122232425262728[[#This Row],[اللبناني]]/90)</f>
        <v>0</v>
      </c>
      <c r="M280" s="6"/>
    </row>
    <row r="281" spans="8:13" s="11" customFormat="1" x14ac:dyDescent="0.3">
      <c r="H281" s="5" t="s">
        <v>434</v>
      </c>
      <c r="I281" s="39"/>
      <c r="J281" s="18"/>
      <c r="L281" s="44">
        <f>Table134567810111213141516171819202122232425262728[[#This Row],[الدولار]]+(Table134567810111213141516171819202122232425262728[[#This Row],[اللبناني]]/90)</f>
        <v>0</v>
      </c>
      <c r="M281" s="6"/>
    </row>
    <row r="282" spans="8:13" s="11" customFormat="1" x14ac:dyDescent="0.3">
      <c r="H282" s="5" t="s">
        <v>434</v>
      </c>
      <c r="I282" s="39"/>
      <c r="J282" s="18"/>
      <c r="L282" s="44">
        <f>Table134567810111213141516171819202122232425262728[[#This Row],[الدولار]]+(Table134567810111213141516171819202122232425262728[[#This Row],[اللبناني]]/90)</f>
        <v>0</v>
      </c>
      <c r="M282" s="6"/>
    </row>
    <row r="283" spans="8:13" s="11" customFormat="1" x14ac:dyDescent="0.3">
      <c r="H283" s="5" t="s">
        <v>434</v>
      </c>
      <c r="I283" s="39"/>
      <c r="J283" s="18"/>
      <c r="L283" s="44">
        <f>Table134567810111213141516171819202122232425262728[[#This Row],[الدولار]]+(Table134567810111213141516171819202122232425262728[[#This Row],[اللبناني]]/90)</f>
        <v>0</v>
      </c>
      <c r="M283" s="6"/>
    </row>
    <row r="284" spans="8:13" s="11" customFormat="1" x14ac:dyDescent="0.3">
      <c r="H284" s="5" t="s">
        <v>434</v>
      </c>
      <c r="I284" s="39"/>
      <c r="J284" s="18"/>
      <c r="L284" s="44">
        <f>Table134567810111213141516171819202122232425262728[[#This Row],[الدولار]]+(Table134567810111213141516171819202122232425262728[[#This Row],[اللبناني]]/90)</f>
        <v>0</v>
      </c>
      <c r="M284" s="6"/>
    </row>
    <row r="285" spans="8:13" s="11" customFormat="1" x14ac:dyDescent="0.3">
      <c r="H285" s="5" t="s">
        <v>434</v>
      </c>
      <c r="I285" s="39"/>
      <c r="J285" s="18"/>
      <c r="L285" s="44">
        <f>Table134567810111213141516171819202122232425262728[[#This Row],[الدولار]]+(Table134567810111213141516171819202122232425262728[[#This Row],[اللبناني]]/90)</f>
        <v>0</v>
      </c>
      <c r="M285" s="6"/>
    </row>
    <row r="286" spans="8:13" s="11" customFormat="1" x14ac:dyDescent="0.3">
      <c r="H286" s="5" t="s">
        <v>434</v>
      </c>
      <c r="I286" s="39"/>
      <c r="J286" s="18"/>
      <c r="L286" s="44">
        <f>Table134567810111213141516171819202122232425262728[[#This Row],[الدولار]]+(Table134567810111213141516171819202122232425262728[[#This Row],[اللبناني]]/90)</f>
        <v>0</v>
      </c>
      <c r="M286" s="6"/>
    </row>
    <row r="287" spans="8:13" s="11" customFormat="1" x14ac:dyDescent="0.3">
      <c r="H287" s="5" t="s">
        <v>434</v>
      </c>
      <c r="I287" s="39"/>
      <c r="J287" s="18"/>
      <c r="L287" s="44">
        <f>Table134567810111213141516171819202122232425262728[[#This Row],[الدولار]]+(Table134567810111213141516171819202122232425262728[[#This Row],[اللبناني]]/90)</f>
        <v>0</v>
      </c>
      <c r="M287" s="6"/>
    </row>
    <row r="288" spans="8:13" s="11" customFormat="1" x14ac:dyDescent="0.3">
      <c r="H288" s="5" t="s">
        <v>434</v>
      </c>
      <c r="I288" s="39"/>
      <c r="J288" s="18"/>
      <c r="L288" s="44">
        <f>Table134567810111213141516171819202122232425262728[[#This Row],[الدولار]]+(Table134567810111213141516171819202122232425262728[[#This Row],[اللبناني]]/90)</f>
        <v>0</v>
      </c>
      <c r="M288" s="6"/>
    </row>
    <row r="289" spans="8:13" s="11" customFormat="1" x14ac:dyDescent="0.3">
      <c r="H289" s="5" t="s">
        <v>434</v>
      </c>
      <c r="I289" s="39"/>
      <c r="J289" s="18"/>
      <c r="L289" s="44">
        <f>Table134567810111213141516171819202122232425262728[[#This Row],[الدولار]]+(Table134567810111213141516171819202122232425262728[[#This Row],[اللبناني]]/90)</f>
        <v>0</v>
      </c>
      <c r="M289" s="6"/>
    </row>
    <row r="290" spans="8:13" s="11" customFormat="1" x14ac:dyDescent="0.3">
      <c r="H290" s="5" t="s">
        <v>434</v>
      </c>
      <c r="I290" s="39"/>
      <c r="J290" s="18"/>
      <c r="L290" s="44">
        <f>Table134567810111213141516171819202122232425262728[[#This Row],[الدولار]]+(Table134567810111213141516171819202122232425262728[[#This Row],[اللبناني]]/90)</f>
        <v>0</v>
      </c>
      <c r="M290" s="6"/>
    </row>
    <row r="291" spans="8:13" s="11" customFormat="1" x14ac:dyDescent="0.3">
      <c r="H291" s="5" t="s">
        <v>434</v>
      </c>
      <c r="I291" s="39"/>
      <c r="J291" s="18"/>
      <c r="L291" s="44">
        <f>Table134567810111213141516171819202122232425262728[[#This Row],[الدولار]]+(Table134567810111213141516171819202122232425262728[[#This Row],[اللبناني]]/90)</f>
        <v>0</v>
      </c>
      <c r="M291" s="6"/>
    </row>
    <row r="292" spans="8:13" s="11" customFormat="1" x14ac:dyDescent="0.3">
      <c r="H292" s="5" t="s">
        <v>434</v>
      </c>
      <c r="I292" s="39"/>
      <c r="J292" s="18"/>
      <c r="L292" s="44">
        <f>Table134567810111213141516171819202122232425262728[[#This Row],[الدولار]]+(Table134567810111213141516171819202122232425262728[[#This Row],[اللبناني]]/90)</f>
        <v>0</v>
      </c>
      <c r="M292" s="6"/>
    </row>
    <row r="293" spans="8:13" s="11" customFormat="1" x14ac:dyDescent="0.3">
      <c r="H293" s="5" t="s">
        <v>434</v>
      </c>
      <c r="I293" s="39"/>
      <c r="J293" s="18"/>
      <c r="L293" s="44">
        <f>Table134567810111213141516171819202122232425262728[[#This Row],[الدولار]]+(Table134567810111213141516171819202122232425262728[[#This Row],[اللبناني]]/90)</f>
        <v>0</v>
      </c>
      <c r="M293" s="6"/>
    </row>
    <row r="294" spans="8:13" s="11" customFormat="1" x14ac:dyDescent="0.3">
      <c r="H294" s="5" t="s">
        <v>434</v>
      </c>
      <c r="I294" s="39"/>
      <c r="J294" s="18"/>
      <c r="L294" s="44">
        <f>Table134567810111213141516171819202122232425262728[[#This Row],[الدولار]]+(Table134567810111213141516171819202122232425262728[[#This Row],[اللبناني]]/90)</f>
        <v>0</v>
      </c>
      <c r="M294" s="6"/>
    </row>
    <row r="295" spans="8:13" s="11" customFormat="1" x14ac:dyDescent="0.3">
      <c r="H295" s="5" t="s">
        <v>434</v>
      </c>
      <c r="I295" s="39"/>
      <c r="J295" s="18"/>
      <c r="L295" s="44">
        <f>Table134567810111213141516171819202122232425262728[[#This Row],[الدولار]]+(Table134567810111213141516171819202122232425262728[[#This Row],[اللبناني]]/90)</f>
        <v>0</v>
      </c>
      <c r="M295" s="6"/>
    </row>
    <row r="296" spans="8:13" s="11" customFormat="1" x14ac:dyDescent="0.3">
      <c r="H296" s="5" t="s">
        <v>434</v>
      </c>
      <c r="I296" s="39"/>
      <c r="J296" s="18"/>
      <c r="L296" s="44">
        <f>Table134567810111213141516171819202122232425262728[[#This Row],[الدولار]]+(Table134567810111213141516171819202122232425262728[[#This Row],[اللبناني]]/90)</f>
        <v>0</v>
      </c>
      <c r="M296" s="6"/>
    </row>
    <row r="297" spans="8:13" s="11" customFormat="1" x14ac:dyDescent="0.3">
      <c r="H297" s="5" t="s">
        <v>434</v>
      </c>
      <c r="I297" s="39"/>
      <c r="J297" s="18"/>
      <c r="L297" s="44">
        <f>Table134567810111213141516171819202122232425262728[[#This Row],[الدولار]]+(Table134567810111213141516171819202122232425262728[[#This Row],[اللبناني]]/90)</f>
        <v>0</v>
      </c>
      <c r="M297" s="6"/>
    </row>
    <row r="298" spans="8:13" s="11" customFormat="1" x14ac:dyDescent="0.3">
      <c r="H298" s="5" t="s">
        <v>434</v>
      </c>
      <c r="I298" s="39"/>
      <c r="J298" s="18"/>
      <c r="L298" s="44">
        <f>Table134567810111213141516171819202122232425262728[[#This Row],[الدولار]]+(Table134567810111213141516171819202122232425262728[[#This Row],[اللبناني]]/90)</f>
        <v>0</v>
      </c>
      <c r="M298" s="6"/>
    </row>
    <row r="299" spans="8:13" s="11" customFormat="1" x14ac:dyDescent="0.3">
      <c r="H299" s="5" t="s">
        <v>434</v>
      </c>
      <c r="I299" s="39"/>
      <c r="J299" s="18"/>
      <c r="L299" s="44">
        <f>Table134567810111213141516171819202122232425262728[[#This Row],[الدولار]]+(Table134567810111213141516171819202122232425262728[[#This Row],[اللبناني]]/90)</f>
        <v>0</v>
      </c>
      <c r="M299" s="6"/>
    </row>
    <row r="300" spans="8:13" s="11" customFormat="1" x14ac:dyDescent="0.3">
      <c r="H300" s="5" t="s">
        <v>434</v>
      </c>
      <c r="I300" s="39"/>
      <c r="J300" s="18"/>
      <c r="L300" s="44">
        <f>Table134567810111213141516171819202122232425262728[[#This Row],[الدولار]]+(Table134567810111213141516171819202122232425262728[[#This Row],[اللبناني]]/90)</f>
        <v>0</v>
      </c>
      <c r="M300" s="6"/>
    </row>
    <row r="301" spans="8:13" s="11" customFormat="1" x14ac:dyDescent="0.3">
      <c r="H301" s="5" t="s">
        <v>434</v>
      </c>
      <c r="I301" s="39"/>
      <c r="J301" s="18"/>
      <c r="L301" s="44">
        <f>Table134567810111213141516171819202122232425262728[[#This Row],[الدولار]]+(Table134567810111213141516171819202122232425262728[[#This Row],[اللبناني]]/90)</f>
        <v>0</v>
      </c>
      <c r="M301" s="6"/>
    </row>
    <row r="302" spans="8:13" s="11" customFormat="1" x14ac:dyDescent="0.3">
      <c r="H302" s="5" t="s">
        <v>434</v>
      </c>
      <c r="I302" s="39"/>
      <c r="J302" s="18"/>
      <c r="L302" s="44">
        <f>Table134567810111213141516171819202122232425262728[[#This Row],[الدولار]]+(Table134567810111213141516171819202122232425262728[[#This Row],[اللبناني]]/90)</f>
        <v>0</v>
      </c>
      <c r="M302" s="6"/>
    </row>
    <row r="303" spans="8:13" s="11" customFormat="1" x14ac:dyDescent="0.3">
      <c r="H303" s="5" t="s">
        <v>434</v>
      </c>
      <c r="I303" s="39"/>
      <c r="J303" s="18"/>
      <c r="L303" s="44">
        <f>Table134567810111213141516171819202122232425262728[[#This Row],[الدولار]]+(Table134567810111213141516171819202122232425262728[[#This Row],[اللبناني]]/90)</f>
        <v>0</v>
      </c>
      <c r="M303" s="6"/>
    </row>
    <row r="304" spans="8:13" s="11" customFormat="1" x14ac:dyDescent="0.3">
      <c r="H304" s="5" t="s">
        <v>434</v>
      </c>
      <c r="I304" s="39"/>
      <c r="J304" s="18"/>
      <c r="L304" s="44">
        <f>Table134567810111213141516171819202122232425262728[[#This Row],[الدولار]]+(Table134567810111213141516171819202122232425262728[[#This Row],[اللبناني]]/90)</f>
        <v>0</v>
      </c>
      <c r="M304" s="6"/>
    </row>
    <row r="305" spans="8:13" s="11" customFormat="1" x14ac:dyDescent="0.3">
      <c r="H305" s="5" t="s">
        <v>434</v>
      </c>
      <c r="I305" s="39"/>
      <c r="J305" s="18"/>
      <c r="L305" s="44">
        <f>Table134567810111213141516171819202122232425262728[[#This Row],[الدولار]]+(Table134567810111213141516171819202122232425262728[[#This Row],[اللبناني]]/90)</f>
        <v>0</v>
      </c>
      <c r="M305" s="6"/>
    </row>
    <row r="306" spans="8:13" s="11" customFormat="1" x14ac:dyDescent="0.3">
      <c r="H306" s="5" t="s">
        <v>434</v>
      </c>
      <c r="I306" s="39"/>
      <c r="J306" s="18"/>
      <c r="L306" s="44">
        <f>Table134567810111213141516171819202122232425262728[[#This Row],[الدولار]]+(Table134567810111213141516171819202122232425262728[[#This Row],[اللبناني]]/90)</f>
        <v>0</v>
      </c>
      <c r="M306" s="6"/>
    </row>
    <row r="307" spans="8:13" s="11" customFormat="1" x14ac:dyDescent="0.3">
      <c r="H307" s="5" t="s">
        <v>434</v>
      </c>
      <c r="I307" s="39"/>
      <c r="J307" s="18"/>
      <c r="L307" s="44">
        <f>Table134567810111213141516171819202122232425262728[[#This Row],[الدولار]]+(Table134567810111213141516171819202122232425262728[[#This Row],[اللبناني]]/90)</f>
        <v>0</v>
      </c>
      <c r="M307" s="6"/>
    </row>
    <row r="308" spans="8:13" s="11" customFormat="1" x14ac:dyDescent="0.3">
      <c r="H308" s="5" t="s">
        <v>434</v>
      </c>
      <c r="I308" s="39"/>
      <c r="J308" s="18"/>
      <c r="L308" s="44">
        <f>Table134567810111213141516171819202122232425262728[[#This Row],[الدولار]]+(Table134567810111213141516171819202122232425262728[[#This Row],[اللبناني]]/90)</f>
        <v>0</v>
      </c>
      <c r="M308" s="6"/>
    </row>
    <row r="309" spans="8:13" s="11" customFormat="1" x14ac:dyDescent="0.3">
      <c r="H309" s="5" t="s">
        <v>434</v>
      </c>
      <c r="I309" s="39"/>
      <c r="J309" s="18"/>
      <c r="L309" s="44">
        <f>Table134567810111213141516171819202122232425262728[[#This Row],[الدولار]]+(Table134567810111213141516171819202122232425262728[[#This Row],[اللبناني]]/90)</f>
        <v>0</v>
      </c>
      <c r="M309" s="6"/>
    </row>
    <row r="310" spans="8:13" s="11" customFormat="1" x14ac:dyDescent="0.3">
      <c r="H310" s="5" t="s">
        <v>434</v>
      </c>
      <c r="I310" s="39"/>
      <c r="J310" s="18"/>
      <c r="L310" s="44">
        <f>Table134567810111213141516171819202122232425262728[[#This Row],[الدولار]]+(Table134567810111213141516171819202122232425262728[[#This Row],[اللبناني]]/90)</f>
        <v>0</v>
      </c>
      <c r="M310" s="6"/>
    </row>
    <row r="311" spans="8:13" s="11" customFormat="1" x14ac:dyDescent="0.3">
      <c r="H311" s="5" t="s">
        <v>434</v>
      </c>
      <c r="I311" s="39"/>
      <c r="J311" s="18"/>
      <c r="L311" s="44">
        <f>Table134567810111213141516171819202122232425262728[[#This Row],[الدولار]]+(Table134567810111213141516171819202122232425262728[[#This Row],[اللبناني]]/90)</f>
        <v>0</v>
      </c>
      <c r="M311" s="6"/>
    </row>
    <row r="312" spans="8:13" s="11" customFormat="1" x14ac:dyDescent="0.3">
      <c r="H312" s="5" t="s">
        <v>434</v>
      </c>
      <c r="I312" s="39"/>
      <c r="J312" s="18"/>
      <c r="L312" s="44">
        <f>Table134567810111213141516171819202122232425262728[[#This Row],[الدولار]]+(Table134567810111213141516171819202122232425262728[[#This Row],[اللبناني]]/90)</f>
        <v>0</v>
      </c>
      <c r="M312" s="6"/>
    </row>
    <row r="313" spans="8:13" s="11" customFormat="1" x14ac:dyDescent="0.3">
      <c r="H313" s="5" t="s">
        <v>434</v>
      </c>
      <c r="I313" s="39"/>
      <c r="J313" s="18"/>
      <c r="L313" s="44">
        <f>Table134567810111213141516171819202122232425262728[[#This Row],[الدولار]]+(Table134567810111213141516171819202122232425262728[[#This Row],[اللبناني]]/90)</f>
        <v>0</v>
      </c>
      <c r="M313" s="6"/>
    </row>
    <row r="314" spans="8:13" s="11" customFormat="1" x14ac:dyDescent="0.3">
      <c r="H314" s="5" t="s">
        <v>434</v>
      </c>
      <c r="I314" s="39"/>
      <c r="J314" s="18"/>
      <c r="L314" s="44">
        <f>Table134567810111213141516171819202122232425262728[[#This Row],[الدولار]]+(Table134567810111213141516171819202122232425262728[[#This Row],[اللبناني]]/90)</f>
        <v>0</v>
      </c>
      <c r="M314" s="6"/>
    </row>
    <row r="315" spans="8:13" s="11" customFormat="1" x14ac:dyDescent="0.3">
      <c r="H315" s="5" t="s">
        <v>434</v>
      </c>
      <c r="I315" s="39"/>
      <c r="J315" s="18"/>
      <c r="L315" s="44">
        <f>Table134567810111213141516171819202122232425262728[[#This Row],[الدولار]]+(Table134567810111213141516171819202122232425262728[[#This Row],[اللبناني]]/90)</f>
        <v>0</v>
      </c>
      <c r="M315" s="6"/>
    </row>
    <row r="316" spans="8:13" s="11" customFormat="1" x14ac:dyDescent="0.3">
      <c r="H316" s="5" t="s">
        <v>434</v>
      </c>
      <c r="I316" s="39"/>
      <c r="J316" s="18"/>
      <c r="L316" s="44">
        <f>Table134567810111213141516171819202122232425262728[[#This Row],[الدولار]]+(Table134567810111213141516171819202122232425262728[[#This Row],[اللبناني]]/90)</f>
        <v>0</v>
      </c>
      <c r="M316" s="6"/>
    </row>
    <row r="317" spans="8:13" s="11" customFormat="1" x14ac:dyDescent="0.3">
      <c r="H317" s="5" t="s">
        <v>434</v>
      </c>
      <c r="I317" s="39"/>
      <c r="J317" s="18"/>
      <c r="L317" s="44">
        <f>Table134567810111213141516171819202122232425262728[[#This Row],[الدولار]]+(Table134567810111213141516171819202122232425262728[[#This Row],[اللبناني]]/90)</f>
        <v>0</v>
      </c>
      <c r="M317" s="6"/>
    </row>
    <row r="318" spans="8:13" s="11" customFormat="1" x14ac:dyDescent="0.3">
      <c r="H318" s="5" t="s">
        <v>434</v>
      </c>
      <c r="I318" s="39"/>
      <c r="J318" s="18"/>
      <c r="L318" s="44">
        <f>Table134567810111213141516171819202122232425262728[[#This Row],[الدولار]]+(Table134567810111213141516171819202122232425262728[[#This Row],[اللبناني]]/90)</f>
        <v>0</v>
      </c>
      <c r="M318" s="6"/>
    </row>
    <row r="319" spans="8:13" s="11" customFormat="1" x14ac:dyDescent="0.3">
      <c r="H319" s="5" t="s">
        <v>434</v>
      </c>
      <c r="I319" s="39"/>
      <c r="J319" s="18"/>
      <c r="L319" s="44">
        <f>Table134567810111213141516171819202122232425262728[[#This Row],[الدولار]]+(Table134567810111213141516171819202122232425262728[[#This Row],[اللبناني]]/90)</f>
        <v>0</v>
      </c>
      <c r="M319" s="6"/>
    </row>
    <row r="320" spans="8:13" s="11" customFormat="1" x14ac:dyDescent="0.3">
      <c r="H320" s="5" t="s">
        <v>434</v>
      </c>
      <c r="I320" s="39"/>
      <c r="J320" s="18"/>
      <c r="L320" s="44">
        <f>Table134567810111213141516171819202122232425262728[[#This Row],[الدولار]]+(Table134567810111213141516171819202122232425262728[[#This Row],[اللبناني]]/90)</f>
        <v>0</v>
      </c>
      <c r="M320" s="6"/>
    </row>
    <row r="321" spans="8:13" s="11" customFormat="1" x14ac:dyDescent="0.3">
      <c r="H321" s="5" t="s">
        <v>434</v>
      </c>
      <c r="I321" s="39"/>
      <c r="J321" s="18"/>
      <c r="L321" s="44">
        <f>Table134567810111213141516171819202122232425262728[[#This Row],[الدولار]]+(Table134567810111213141516171819202122232425262728[[#This Row],[اللبناني]]/90)</f>
        <v>0</v>
      </c>
      <c r="M321" s="6"/>
    </row>
    <row r="322" spans="8:13" s="11" customFormat="1" x14ac:dyDescent="0.3">
      <c r="H322" s="5" t="s">
        <v>434</v>
      </c>
      <c r="I322" s="39"/>
      <c r="J322" s="18"/>
      <c r="L322" s="44">
        <f>Table134567810111213141516171819202122232425262728[[#This Row],[الدولار]]+(Table134567810111213141516171819202122232425262728[[#This Row],[اللبناني]]/90)</f>
        <v>0</v>
      </c>
      <c r="M322" s="6"/>
    </row>
    <row r="323" spans="8:13" s="11" customFormat="1" x14ac:dyDescent="0.3">
      <c r="H323" s="5" t="s">
        <v>434</v>
      </c>
      <c r="I323" s="39"/>
      <c r="J323" s="18"/>
      <c r="L323" s="44">
        <f>Table134567810111213141516171819202122232425262728[[#This Row],[الدولار]]+(Table134567810111213141516171819202122232425262728[[#This Row],[اللبناني]]/90)</f>
        <v>0</v>
      </c>
      <c r="M323" s="6"/>
    </row>
    <row r="324" spans="8:13" s="11" customFormat="1" x14ac:dyDescent="0.3">
      <c r="H324" s="5" t="s">
        <v>434</v>
      </c>
      <c r="I324" s="39"/>
      <c r="J324" s="18"/>
      <c r="L324" s="44">
        <f>Table134567810111213141516171819202122232425262728[[#This Row],[الدولار]]+(Table134567810111213141516171819202122232425262728[[#This Row],[اللبناني]]/90)</f>
        <v>0</v>
      </c>
      <c r="M324" s="6"/>
    </row>
    <row r="325" spans="8:13" s="11" customFormat="1" x14ac:dyDescent="0.3">
      <c r="H325" s="5" t="s">
        <v>434</v>
      </c>
      <c r="I325" s="39"/>
      <c r="J325" s="18"/>
      <c r="L325" s="44">
        <f>Table134567810111213141516171819202122232425262728[[#This Row],[الدولار]]+(Table134567810111213141516171819202122232425262728[[#This Row],[اللبناني]]/90)</f>
        <v>0</v>
      </c>
      <c r="M325" s="6"/>
    </row>
    <row r="326" spans="8:13" s="11" customFormat="1" x14ac:dyDescent="0.3">
      <c r="H326" s="5" t="s">
        <v>434</v>
      </c>
      <c r="I326" s="39"/>
      <c r="J326" s="18"/>
      <c r="L326" s="44">
        <f>Table134567810111213141516171819202122232425262728[[#This Row],[الدولار]]+(Table134567810111213141516171819202122232425262728[[#This Row],[اللبناني]]/90)</f>
        <v>0</v>
      </c>
      <c r="M326" s="6"/>
    </row>
    <row r="327" spans="8:13" s="11" customFormat="1" x14ac:dyDescent="0.3">
      <c r="H327" s="5" t="s">
        <v>434</v>
      </c>
      <c r="I327" s="39"/>
      <c r="J327" s="18"/>
      <c r="L327" s="44">
        <f>Table134567810111213141516171819202122232425262728[[#This Row],[الدولار]]+(Table134567810111213141516171819202122232425262728[[#This Row],[اللبناني]]/90)</f>
        <v>0</v>
      </c>
      <c r="M327" s="6"/>
    </row>
    <row r="328" spans="8:13" s="11" customFormat="1" x14ac:dyDescent="0.3">
      <c r="H328" s="5" t="s">
        <v>434</v>
      </c>
      <c r="I328" s="39"/>
      <c r="J328" s="18"/>
      <c r="L328" s="44">
        <f>Table134567810111213141516171819202122232425262728[[#This Row],[الدولار]]+(Table134567810111213141516171819202122232425262728[[#This Row],[اللبناني]]/90)</f>
        <v>0</v>
      </c>
      <c r="M328" s="6"/>
    </row>
    <row r="329" spans="8:13" s="11" customFormat="1" x14ac:dyDescent="0.3">
      <c r="H329" s="5" t="s">
        <v>434</v>
      </c>
      <c r="I329" s="39"/>
      <c r="J329" s="18"/>
      <c r="L329" s="44">
        <f>Table134567810111213141516171819202122232425262728[[#This Row],[الدولار]]+(Table134567810111213141516171819202122232425262728[[#This Row],[اللبناني]]/90)</f>
        <v>0</v>
      </c>
      <c r="M329" s="6"/>
    </row>
    <row r="330" spans="8:13" s="11" customFormat="1" x14ac:dyDescent="0.3">
      <c r="H330" s="5" t="s">
        <v>434</v>
      </c>
      <c r="I330" s="39"/>
      <c r="J330" s="18"/>
      <c r="L330" s="44">
        <f>Table134567810111213141516171819202122232425262728[[#This Row],[الدولار]]+(Table134567810111213141516171819202122232425262728[[#This Row],[اللبناني]]/90)</f>
        <v>0</v>
      </c>
      <c r="M330" s="6"/>
    </row>
    <row r="331" spans="8:13" s="11" customFormat="1" x14ac:dyDescent="0.3">
      <c r="H331" s="5" t="s">
        <v>434</v>
      </c>
      <c r="I331" s="39"/>
      <c r="J331" s="18"/>
      <c r="L331" s="44">
        <f>Table134567810111213141516171819202122232425262728[[#This Row],[الدولار]]+(Table134567810111213141516171819202122232425262728[[#This Row],[اللبناني]]/90)</f>
        <v>0</v>
      </c>
      <c r="M331" s="6"/>
    </row>
    <row r="332" spans="8:13" s="11" customFormat="1" x14ac:dyDescent="0.3">
      <c r="H332" s="5" t="s">
        <v>434</v>
      </c>
      <c r="I332" s="39"/>
      <c r="J332" s="18"/>
      <c r="L332" s="44">
        <f>Table134567810111213141516171819202122232425262728[[#This Row],[الدولار]]+(Table134567810111213141516171819202122232425262728[[#This Row],[اللبناني]]/90)</f>
        <v>0</v>
      </c>
      <c r="M332" s="6"/>
    </row>
    <row r="333" spans="8:13" s="11" customFormat="1" x14ac:dyDescent="0.3">
      <c r="H333" s="5" t="s">
        <v>434</v>
      </c>
      <c r="I333" s="39"/>
      <c r="J333" s="18"/>
      <c r="L333" s="44">
        <f>Table134567810111213141516171819202122232425262728[[#This Row],[الدولار]]+(Table134567810111213141516171819202122232425262728[[#This Row],[اللبناني]]/90)</f>
        <v>0</v>
      </c>
      <c r="M333" s="6"/>
    </row>
    <row r="334" spans="8:13" s="11" customFormat="1" x14ac:dyDescent="0.3">
      <c r="H334" s="5" t="s">
        <v>434</v>
      </c>
      <c r="I334" s="39"/>
      <c r="J334" s="18"/>
      <c r="L334" s="44">
        <f>Table134567810111213141516171819202122232425262728[[#This Row],[الدولار]]+(Table134567810111213141516171819202122232425262728[[#This Row],[اللبناني]]/90)</f>
        <v>0</v>
      </c>
      <c r="M334" s="6"/>
    </row>
    <row r="335" spans="8:13" s="11" customFormat="1" x14ac:dyDescent="0.3">
      <c r="H335" s="5" t="s">
        <v>434</v>
      </c>
      <c r="I335" s="39"/>
      <c r="J335" s="18"/>
      <c r="L335" s="44">
        <f>Table134567810111213141516171819202122232425262728[[#This Row],[الدولار]]+(Table134567810111213141516171819202122232425262728[[#This Row],[اللبناني]]/90)</f>
        <v>0</v>
      </c>
      <c r="M335" s="6"/>
    </row>
    <row r="336" spans="8:13" s="11" customFormat="1" x14ac:dyDescent="0.3">
      <c r="H336" s="5" t="s">
        <v>434</v>
      </c>
      <c r="I336" s="39"/>
      <c r="J336" s="18"/>
      <c r="L336" s="44">
        <f>Table134567810111213141516171819202122232425262728[[#This Row],[الدولار]]+(Table134567810111213141516171819202122232425262728[[#This Row],[اللبناني]]/90)</f>
        <v>0</v>
      </c>
      <c r="M336" s="6"/>
    </row>
    <row r="337" spans="8:13" s="11" customFormat="1" x14ac:dyDescent="0.3">
      <c r="H337" s="5" t="s">
        <v>434</v>
      </c>
      <c r="I337" s="39"/>
      <c r="J337" s="18"/>
      <c r="L337" s="44">
        <f>Table134567810111213141516171819202122232425262728[[#This Row],[الدولار]]+(Table134567810111213141516171819202122232425262728[[#This Row],[اللبناني]]/90)</f>
        <v>0</v>
      </c>
      <c r="M337" s="6"/>
    </row>
    <row r="338" spans="8:13" s="11" customFormat="1" x14ac:dyDescent="0.3">
      <c r="H338" s="5" t="s">
        <v>434</v>
      </c>
      <c r="I338" s="39"/>
      <c r="J338" s="18"/>
      <c r="L338" s="44">
        <f>Table134567810111213141516171819202122232425262728[[#This Row],[الدولار]]+(Table134567810111213141516171819202122232425262728[[#This Row],[اللبناني]]/90)</f>
        <v>0</v>
      </c>
      <c r="M338" s="6"/>
    </row>
    <row r="339" spans="8:13" s="11" customFormat="1" x14ac:dyDescent="0.3">
      <c r="H339" s="5" t="s">
        <v>434</v>
      </c>
      <c r="I339" s="39"/>
      <c r="J339" s="18"/>
      <c r="L339" s="44">
        <f>Table134567810111213141516171819202122232425262728[[#This Row],[الدولار]]+(Table134567810111213141516171819202122232425262728[[#This Row],[اللبناني]]/90)</f>
        <v>0</v>
      </c>
      <c r="M339" s="6"/>
    </row>
    <row r="340" spans="8:13" s="11" customFormat="1" x14ac:dyDescent="0.3">
      <c r="H340" s="5" t="s">
        <v>434</v>
      </c>
      <c r="I340" s="39"/>
      <c r="J340" s="18"/>
      <c r="L340" s="44">
        <f>Table134567810111213141516171819202122232425262728[[#This Row],[الدولار]]+(Table134567810111213141516171819202122232425262728[[#This Row],[اللبناني]]/90)</f>
        <v>0</v>
      </c>
      <c r="M340" s="6"/>
    </row>
    <row r="341" spans="8:13" s="11" customFormat="1" x14ac:dyDescent="0.3">
      <c r="H341" s="5" t="s">
        <v>434</v>
      </c>
      <c r="I341" s="39"/>
      <c r="J341" s="18"/>
      <c r="L341" s="44">
        <f>Table134567810111213141516171819202122232425262728[[#This Row],[الدولار]]+(Table134567810111213141516171819202122232425262728[[#This Row],[اللبناني]]/90)</f>
        <v>0</v>
      </c>
      <c r="M341" s="6"/>
    </row>
    <row r="342" spans="8:13" s="11" customFormat="1" x14ac:dyDescent="0.3">
      <c r="H342" s="5" t="s">
        <v>434</v>
      </c>
      <c r="I342" s="39"/>
      <c r="J342" s="18"/>
      <c r="L342" s="44">
        <f>Table134567810111213141516171819202122232425262728[[#This Row],[الدولار]]+(Table134567810111213141516171819202122232425262728[[#This Row],[اللبناني]]/90)</f>
        <v>0</v>
      </c>
      <c r="M342" s="6"/>
    </row>
    <row r="343" spans="8:13" s="11" customFormat="1" x14ac:dyDescent="0.3">
      <c r="H343" s="5" t="s">
        <v>434</v>
      </c>
      <c r="I343" s="39"/>
      <c r="J343" s="18"/>
      <c r="L343" s="44">
        <f>Table134567810111213141516171819202122232425262728[[#This Row],[الدولار]]+(Table134567810111213141516171819202122232425262728[[#This Row],[اللبناني]]/90)</f>
        <v>0</v>
      </c>
      <c r="M343" s="6"/>
    </row>
    <row r="344" spans="8:13" s="11" customFormat="1" x14ac:dyDescent="0.3">
      <c r="H344" s="5" t="s">
        <v>434</v>
      </c>
      <c r="I344" s="39"/>
      <c r="J344" s="18"/>
      <c r="L344" s="44">
        <f>Table134567810111213141516171819202122232425262728[[#This Row],[الدولار]]+(Table134567810111213141516171819202122232425262728[[#This Row],[اللبناني]]/90)</f>
        <v>0</v>
      </c>
      <c r="M344" s="6"/>
    </row>
    <row r="345" spans="8:13" s="11" customFormat="1" x14ac:dyDescent="0.3">
      <c r="H345" s="5" t="s">
        <v>434</v>
      </c>
      <c r="I345" s="39"/>
      <c r="J345" s="18"/>
      <c r="L345" s="44">
        <f>Table134567810111213141516171819202122232425262728[[#This Row],[الدولار]]+(Table134567810111213141516171819202122232425262728[[#This Row],[اللبناني]]/90)</f>
        <v>0</v>
      </c>
      <c r="M345" s="6"/>
    </row>
    <row r="346" spans="8:13" s="11" customFormat="1" x14ac:dyDescent="0.3">
      <c r="H346" s="5" t="s">
        <v>434</v>
      </c>
      <c r="I346" s="39"/>
      <c r="J346" s="18"/>
      <c r="L346" s="44">
        <f>Table134567810111213141516171819202122232425262728[[#This Row],[الدولار]]+(Table134567810111213141516171819202122232425262728[[#This Row],[اللبناني]]/90)</f>
        <v>0</v>
      </c>
      <c r="M346" s="6"/>
    </row>
    <row r="347" spans="8:13" s="11" customFormat="1" x14ac:dyDescent="0.3">
      <c r="H347" s="5" t="s">
        <v>434</v>
      </c>
      <c r="I347" s="39"/>
      <c r="J347" s="18"/>
      <c r="L347" s="44">
        <f>Table134567810111213141516171819202122232425262728[[#This Row],[الدولار]]+(Table134567810111213141516171819202122232425262728[[#This Row],[اللبناني]]/90)</f>
        <v>0</v>
      </c>
      <c r="M347" s="6"/>
    </row>
    <row r="348" spans="8:13" s="11" customFormat="1" x14ac:dyDescent="0.3">
      <c r="H348" s="5" t="s">
        <v>434</v>
      </c>
      <c r="I348" s="39"/>
      <c r="J348" s="18"/>
      <c r="L348" s="44">
        <f>Table134567810111213141516171819202122232425262728[[#This Row],[الدولار]]+(Table134567810111213141516171819202122232425262728[[#This Row],[اللبناني]]/90)</f>
        <v>0</v>
      </c>
      <c r="M348" s="6"/>
    </row>
    <row r="349" spans="8:13" s="11" customFormat="1" x14ac:dyDescent="0.3">
      <c r="H349" s="5" t="s">
        <v>434</v>
      </c>
      <c r="I349" s="39"/>
      <c r="J349" s="18"/>
      <c r="L349" s="44">
        <f>Table134567810111213141516171819202122232425262728[[#This Row],[الدولار]]+(Table134567810111213141516171819202122232425262728[[#This Row],[اللبناني]]/90)</f>
        <v>0</v>
      </c>
      <c r="M349" s="6"/>
    </row>
    <row r="350" spans="8:13" s="11" customFormat="1" x14ac:dyDescent="0.3">
      <c r="H350" s="5" t="s">
        <v>434</v>
      </c>
      <c r="I350" s="39"/>
      <c r="J350" s="18"/>
      <c r="L350" s="44">
        <f>Table134567810111213141516171819202122232425262728[[#This Row],[الدولار]]+(Table134567810111213141516171819202122232425262728[[#This Row],[اللبناني]]/90)</f>
        <v>0</v>
      </c>
      <c r="M350" s="6"/>
    </row>
    <row r="351" spans="8:13" s="11" customFormat="1" x14ac:dyDescent="0.3">
      <c r="H351" s="5" t="s">
        <v>434</v>
      </c>
      <c r="I351" s="39"/>
      <c r="J351" s="18"/>
      <c r="L351" s="44">
        <f>Table134567810111213141516171819202122232425262728[[#This Row],[الدولار]]+(Table134567810111213141516171819202122232425262728[[#This Row],[اللبناني]]/90)</f>
        <v>0</v>
      </c>
      <c r="M351" s="6"/>
    </row>
    <row r="352" spans="8:13" s="11" customFormat="1" x14ac:dyDescent="0.3">
      <c r="H352" s="5" t="s">
        <v>434</v>
      </c>
      <c r="I352" s="39"/>
      <c r="J352" s="18"/>
      <c r="L352" s="44">
        <f>Table134567810111213141516171819202122232425262728[[#This Row],[الدولار]]+(Table134567810111213141516171819202122232425262728[[#This Row],[اللبناني]]/90)</f>
        <v>0</v>
      </c>
      <c r="M352" s="6"/>
    </row>
    <row r="353" spans="8:13" s="11" customFormat="1" x14ac:dyDescent="0.3">
      <c r="H353" s="5" t="s">
        <v>434</v>
      </c>
      <c r="I353" s="39"/>
      <c r="J353" s="18"/>
      <c r="L353" s="44">
        <f>Table134567810111213141516171819202122232425262728[[#This Row],[الدولار]]+(Table134567810111213141516171819202122232425262728[[#This Row],[اللبناني]]/90)</f>
        <v>0</v>
      </c>
      <c r="M353" s="6"/>
    </row>
    <row r="354" spans="8:13" s="11" customFormat="1" x14ac:dyDescent="0.3">
      <c r="H354" s="5" t="s">
        <v>434</v>
      </c>
      <c r="I354" s="39"/>
      <c r="J354" s="18"/>
      <c r="L354" s="44">
        <f>Table134567810111213141516171819202122232425262728[[#This Row],[الدولار]]+(Table134567810111213141516171819202122232425262728[[#This Row],[اللبناني]]/90)</f>
        <v>0</v>
      </c>
      <c r="M354" s="6"/>
    </row>
    <row r="355" spans="8:13" s="11" customFormat="1" x14ac:dyDescent="0.3">
      <c r="H355" s="5" t="s">
        <v>434</v>
      </c>
      <c r="I355" s="39"/>
      <c r="J355" s="18"/>
      <c r="L355" s="44">
        <f>Table134567810111213141516171819202122232425262728[[#This Row],[الدولار]]+(Table134567810111213141516171819202122232425262728[[#This Row],[اللبناني]]/90)</f>
        <v>0</v>
      </c>
      <c r="M355" s="6"/>
    </row>
    <row r="356" spans="8:13" s="11" customFormat="1" x14ac:dyDescent="0.3">
      <c r="H356" s="5" t="s">
        <v>434</v>
      </c>
      <c r="I356" s="39"/>
      <c r="J356" s="18"/>
      <c r="L356" s="44">
        <f>Table134567810111213141516171819202122232425262728[[#This Row],[الدولار]]+(Table134567810111213141516171819202122232425262728[[#This Row],[اللبناني]]/90)</f>
        <v>0</v>
      </c>
      <c r="M356" s="6"/>
    </row>
    <row r="357" spans="8:13" s="11" customFormat="1" x14ac:dyDescent="0.3">
      <c r="H357" s="5" t="s">
        <v>434</v>
      </c>
      <c r="I357" s="39"/>
      <c r="J357" s="18"/>
      <c r="L357" s="44">
        <f>Table134567810111213141516171819202122232425262728[[#This Row],[الدولار]]+(Table134567810111213141516171819202122232425262728[[#This Row],[اللبناني]]/90)</f>
        <v>0</v>
      </c>
      <c r="M357" s="6"/>
    </row>
    <row r="358" spans="8:13" s="11" customFormat="1" x14ac:dyDescent="0.3">
      <c r="H358" s="5" t="s">
        <v>434</v>
      </c>
      <c r="I358" s="39"/>
      <c r="J358" s="18"/>
      <c r="L358" s="44">
        <f>Table134567810111213141516171819202122232425262728[[#This Row],[الدولار]]+(Table134567810111213141516171819202122232425262728[[#This Row],[اللبناني]]/90)</f>
        <v>0</v>
      </c>
      <c r="M358" s="6"/>
    </row>
  </sheetData>
  <mergeCells count="6">
    <mergeCell ref="A17:F17"/>
    <mergeCell ref="N17:S17"/>
    <mergeCell ref="D26:E26"/>
    <mergeCell ref="Q26:R26"/>
    <mergeCell ref="A27:B27"/>
    <mergeCell ref="N27:O27"/>
  </mergeCells>
  <pageMargins left="0.25" right="0.25" top="0.75" bottom="0.75" header="0.3" footer="0.3"/>
  <pageSetup paperSize="9" scale="65" fitToHeight="0" orientation="portrait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74FA-9FAE-48E5-A640-5BDDF00165F7}">
  <sheetPr>
    <pageSetUpPr fitToPage="1"/>
  </sheetPr>
  <dimension ref="A1:S361"/>
  <sheetViews>
    <sheetView rightToLeft="1" topLeftCell="A104" zoomScale="115" zoomScaleNormal="115" workbookViewId="0">
      <selection activeCell="J53" sqref="J53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8.44140625" style="2" bestFit="1" customWidth="1"/>
    <col min="4" max="4" width="10.44140625" style="2" customWidth="1"/>
    <col min="5" max="5" width="7" style="2" customWidth="1"/>
    <col min="6" max="6" width="11.44140625" style="2" bestFit="1" customWidth="1"/>
    <col min="7" max="7" width="2.44140625" style="2" customWidth="1"/>
    <col min="8" max="8" width="8.88671875" style="2" bestFit="1" customWidth="1"/>
    <col min="9" max="9" width="17.88671875" style="39" customWidth="1"/>
    <col min="10" max="10" width="12.109375" style="7" bestFit="1" customWidth="1"/>
    <col min="11" max="11" width="8.5546875" style="11" bestFit="1" customWidth="1"/>
    <col min="12" max="12" width="9" style="6" bestFit="1" customWidth="1"/>
    <col min="13" max="13" width="2.5546875" style="6" customWidth="1"/>
    <col min="14" max="14" width="9.44140625" style="2" bestFit="1" customWidth="1"/>
    <col min="15" max="15" width="5.109375" style="2" bestFit="1" customWidth="1"/>
    <col min="16" max="16" width="8.5546875" style="2" bestFit="1" customWidth="1"/>
    <col min="17" max="17" width="9.109375" style="2" bestFit="1" customWidth="1"/>
    <col min="18" max="18" width="5.109375" style="2" bestFit="1" customWidth="1"/>
    <col min="19" max="19" width="11.109375" style="2" bestFit="1" customWidth="1"/>
    <col min="20" max="16384" width="8.88671875" style="2"/>
  </cols>
  <sheetData>
    <row r="1" spans="1:19" x14ac:dyDescent="0.3">
      <c r="I1" s="39" t="s">
        <v>38</v>
      </c>
      <c r="J1" s="7">
        <f>SUM(J3:J18)</f>
        <v>-7720</v>
      </c>
      <c r="K1" s="7">
        <f>SUM(K3:K18)</f>
        <v>-2625</v>
      </c>
      <c r="L1" s="7">
        <f>SUM(L3:L18)</f>
        <v>-2710.7777777777778</v>
      </c>
    </row>
    <row r="2" spans="1:19" x14ac:dyDescent="0.3">
      <c r="H2" s="2" t="s">
        <v>426</v>
      </c>
      <c r="I2" s="40" t="s">
        <v>6</v>
      </c>
      <c r="J2" s="3" t="s">
        <v>5</v>
      </c>
      <c r="K2" s="12" t="s">
        <v>4</v>
      </c>
      <c r="L2" s="12" t="s">
        <v>415</v>
      </c>
    </row>
    <row r="3" spans="1:19" x14ac:dyDescent="0.3">
      <c r="H3" s="5" t="s">
        <v>436</v>
      </c>
      <c r="I3" s="41"/>
      <c r="J3" s="20">
        <v>-10000</v>
      </c>
      <c r="K3" s="11">
        <v>-2700</v>
      </c>
      <c r="L3" s="44">
        <f t="shared" ref="L3:L18" si="0">K3+(J3/90)</f>
        <v>-2811.1111111111113</v>
      </c>
    </row>
    <row r="4" spans="1:19" x14ac:dyDescent="0.3">
      <c r="H4" s="5" t="s">
        <v>434</v>
      </c>
      <c r="I4" s="41"/>
      <c r="J4" s="20"/>
      <c r="K4" s="11">
        <v>1</v>
      </c>
      <c r="L4" s="44">
        <f t="shared" si="0"/>
        <v>1</v>
      </c>
    </row>
    <row r="5" spans="1:19" x14ac:dyDescent="0.3">
      <c r="H5" s="5" t="s">
        <v>434</v>
      </c>
      <c r="I5" s="41"/>
      <c r="J5" s="20">
        <v>220</v>
      </c>
      <c r="L5" s="44">
        <f t="shared" si="0"/>
        <v>2.4444444444444446</v>
      </c>
    </row>
    <row r="6" spans="1:19" x14ac:dyDescent="0.3">
      <c r="H6" s="5" t="s">
        <v>434</v>
      </c>
      <c r="I6" s="41"/>
      <c r="J6" s="20">
        <v>600</v>
      </c>
      <c r="L6" s="44">
        <f t="shared" si="0"/>
        <v>6.666666666666667</v>
      </c>
    </row>
    <row r="7" spans="1:19" x14ac:dyDescent="0.3">
      <c r="H7" s="5" t="s">
        <v>434</v>
      </c>
      <c r="I7" s="41"/>
      <c r="J7" s="20">
        <v>70</v>
      </c>
      <c r="L7" s="44">
        <f t="shared" si="0"/>
        <v>0.77777777777777779</v>
      </c>
    </row>
    <row r="8" spans="1:19" x14ac:dyDescent="0.3">
      <c r="H8" s="5" t="s">
        <v>434</v>
      </c>
      <c r="I8" s="41"/>
      <c r="J8" s="20"/>
      <c r="K8" s="11">
        <v>30</v>
      </c>
      <c r="L8" s="44">
        <f t="shared" si="0"/>
        <v>30</v>
      </c>
    </row>
    <row r="9" spans="1:19" x14ac:dyDescent="0.3">
      <c r="H9" s="5" t="s">
        <v>434</v>
      </c>
      <c r="I9" s="41"/>
      <c r="J9" s="20"/>
      <c r="K9" s="11">
        <v>4</v>
      </c>
      <c r="L9" s="44">
        <f t="shared" si="0"/>
        <v>4</v>
      </c>
    </row>
    <row r="10" spans="1:19" x14ac:dyDescent="0.3">
      <c r="H10" s="5" t="s">
        <v>434</v>
      </c>
      <c r="I10" s="41"/>
      <c r="J10" s="20"/>
      <c r="K10" s="11">
        <v>10</v>
      </c>
      <c r="L10" s="44">
        <f t="shared" si="0"/>
        <v>10</v>
      </c>
    </row>
    <row r="11" spans="1:19" s="6" customFormat="1" x14ac:dyDescent="0.3">
      <c r="A11" s="2"/>
      <c r="B11" s="2"/>
      <c r="C11" s="2"/>
      <c r="D11" s="2"/>
      <c r="E11" s="2"/>
      <c r="F11" s="2"/>
      <c r="G11" s="2"/>
      <c r="H11" s="5" t="s">
        <v>434</v>
      </c>
      <c r="I11" s="42"/>
      <c r="J11" s="20">
        <v>-350</v>
      </c>
      <c r="K11" s="11"/>
      <c r="L11" s="44">
        <f t="shared" si="0"/>
        <v>-3.8888888888888888</v>
      </c>
      <c r="N11" s="2"/>
      <c r="O11" s="2"/>
      <c r="P11" s="2"/>
      <c r="Q11" s="2"/>
      <c r="R11" s="2"/>
      <c r="S11" s="2"/>
    </row>
    <row r="12" spans="1:19" s="6" customFormat="1" x14ac:dyDescent="0.3">
      <c r="A12" s="2"/>
      <c r="B12" s="2"/>
      <c r="C12" s="2"/>
      <c r="D12" s="2"/>
      <c r="E12" s="2"/>
      <c r="F12" s="2"/>
      <c r="G12" s="2"/>
      <c r="H12" s="5" t="s">
        <v>434</v>
      </c>
      <c r="I12" s="41"/>
      <c r="J12" s="20">
        <v>50</v>
      </c>
      <c r="K12" s="11"/>
      <c r="L12" s="44">
        <f t="shared" ref="L12:L14" si="1">K12+(J12/90)</f>
        <v>0.55555555555555558</v>
      </c>
      <c r="N12" s="2"/>
      <c r="O12" s="2"/>
      <c r="P12" s="2"/>
      <c r="Q12" s="2"/>
      <c r="R12" s="2"/>
      <c r="S12" s="2"/>
    </row>
    <row r="13" spans="1:19" s="6" customFormat="1" x14ac:dyDescent="0.3">
      <c r="A13" s="2"/>
      <c r="B13" s="2"/>
      <c r="C13" s="2"/>
      <c r="D13" s="2"/>
      <c r="E13" s="2"/>
      <c r="F13" s="2"/>
      <c r="G13" s="2"/>
      <c r="H13" s="5" t="s">
        <v>434</v>
      </c>
      <c r="I13" s="41"/>
      <c r="J13" s="20"/>
      <c r="K13" s="11">
        <v>30</v>
      </c>
      <c r="L13" s="44">
        <f t="shared" si="1"/>
        <v>30</v>
      </c>
      <c r="N13" s="2"/>
      <c r="O13" s="2"/>
      <c r="P13" s="2"/>
      <c r="Q13" s="2"/>
      <c r="R13" s="2"/>
      <c r="S13" s="2"/>
    </row>
    <row r="14" spans="1:19" s="6" customFormat="1" x14ac:dyDescent="0.3">
      <c r="A14" s="2"/>
      <c r="B14" s="2"/>
      <c r="C14" s="2"/>
      <c r="D14" s="2"/>
      <c r="E14" s="2"/>
      <c r="F14" s="2"/>
      <c r="G14" s="2"/>
      <c r="H14" s="5" t="s">
        <v>434</v>
      </c>
      <c r="I14" s="41"/>
      <c r="J14" s="20">
        <v>-350</v>
      </c>
      <c r="K14" s="11"/>
      <c r="L14" s="44">
        <f t="shared" si="1"/>
        <v>-3.8888888888888888</v>
      </c>
      <c r="N14" s="2"/>
      <c r="O14" s="2"/>
      <c r="P14" s="2"/>
      <c r="Q14" s="2"/>
      <c r="R14" s="2"/>
      <c r="S14" s="2"/>
    </row>
    <row r="15" spans="1:19" s="6" customFormat="1" x14ac:dyDescent="0.3">
      <c r="A15" s="2"/>
      <c r="B15" s="2"/>
      <c r="C15" s="2"/>
      <c r="D15" s="2"/>
      <c r="E15" s="2"/>
      <c r="F15" s="2"/>
      <c r="G15" s="2"/>
      <c r="H15" s="5" t="s">
        <v>434</v>
      </c>
      <c r="I15" s="41"/>
      <c r="J15" s="20">
        <v>300</v>
      </c>
      <c r="K15" s="11"/>
      <c r="L15" s="44">
        <f t="shared" si="0"/>
        <v>3.3333333333333335</v>
      </c>
      <c r="N15" s="2"/>
      <c r="O15" s="2"/>
      <c r="P15" s="2"/>
      <c r="Q15" s="2"/>
      <c r="R15" s="2"/>
      <c r="S15" s="2"/>
    </row>
    <row r="16" spans="1:19" s="6" customFormat="1" x14ac:dyDescent="0.3">
      <c r="A16" s="2"/>
      <c r="B16" s="2"/>
      <c r="C16" s="2"/>
      <c r="D16" s="2"/>
      <c r="E16" s="2"/>
      <c r="F16" s="2"/>
      <c r="G16" s="2"/>
      <c r="H16" s="5" t="s">
        <v>434</v>
      </c>
      <c r="I16" s="41"/>
      <c r="J16" s="20">
        <v>600</v>
      </c>
      <c r="K16" s="11"/>
      <c r="L16" s="44">
        <f t="shared" si="0"/>
        <v>6.666666666666667</v>
      </c>
      <c r="N16" s="2"/>
      <c r="O16" s="2"/>
      <c r="P16" s="2"/>
      <c r="Q16" s="2"/>
      <c r="R16" s="2"/>
      <c r="S16" s="2"/>
    </row>
    <row r="17" spans="1:19" s="6" customFormat="1" x14ac:dyDescent="0.3">
      <c r="A17" s="2"/>
      <c r="B17" s="2"/>
      <c r="C17" s="2"/>
      <c r="D17" s="2"/>
      <c r="E17" s="2"/>
      <c r="F17" s="2"/>
      <c r="G17" s="2"/>
      <c r="H17" s="5" t="s">
        <v>434</v>
      </c>
      <c r="I17" s="41" t="s">
        <v>220</v>
      </c>
      <c r="J17" s="20">
        <v>1140</v>
      </c>
      <c r="K17" s="11"/>
      <c r="L17" s="44">
        <f t="shared" si="0"/>
        <v>12.666666666666666</v>
      </c>
      <c r="N17" s="2"/>
      <c r="O17" s="2"/>
      <c r="P17" s="2"/>
      <c r="Q17" s="2"/>
      <c r="R17" s="2"/>
      <c r="S17" s="2"/>
    </row>
    <row r="18" spans="1:19" s="6" customFormat="1" x14ac:dyDescent="0.3">
      <c r="A18" s="2" t="s">
        <v>530</v>
      </c>
      <c r="B18" s="2"/>
      <c r="C18" s="2"/>
      <c r="D18" s="2"/>
      <c r="E18" s="2"/>
      <c r="F18" s="2"/>
      <c r="G18" s="2"/>
      <c r="H18" s="5" t="s">
        <v>434</v>
      </c>
      <c r="I18" s="41"/>
      <c r="J18" s="20"/>
      <c r="K18" s="11"/>
      <c r="L18" s="44">
        <f t="shared" si="0"/>
        <v>0</v>
      </c>
      <c r="N18" s="2"/>
      <c r="O18" s="2"/>
      <c r="P18" s="2"/>
      <c r="Q18" s="2"/>
      <c r="R18" s="2"/>
      <c r="S18" s="2"/>
    </row>
    <row r="19" spans="1:19" s="6" customFormat="1" x14ac:dyDescent="0.3">
      <c r="A19" s="49" t="s">
        <v>516</v>
      </c>
      <c r="B19" s="2"/>
      <c r="C19" s="2"/>
      <c r="D19" s="2"/>
      <c r="E19" s="2"/>
      <c r="F19" s="2"/>
      <c r="G19" s="2"/>
      <c r="H19" s="2"/>
      <c r="I19" s="39"/>
      <c r="J19" s="7"/>
      <c r="K19" s="11"/>
      <c r="N19" s="2"/>
      <c r="O19" s="2"/>
      <c r="P19" s="2"/>
      <c r="Q19" s="2"/>
      <c r="R19" s="2"/>
      <c r="S19" s="2"/>
    </row>
    <row r="20" spans="1:19" x14ac:dyDescent="0.3">
      <c r="A20" s="65" t="s">
        <v>29</v>
      </c>
      <c r="B20" s="65"/>
      <c r="C20" s="65"/>
      <c r="D20" s="65"/>
      <c r="E20" s="65"/>
      <c r="F20" s="65"/>
      <c r="I20" s="39" t="s">
        <v>38</v>
      </c>
      <c r="J20" s="7">
        <f>SUM(Table13456781011121314151617181920212223242526272830[اللبناني])</f>
        <v>1375</v>
      </c>
      <c r="K20" s="7">
        <f>SUM(Table13456781011121314151617181920212223242526272830[الدولار])</f>
        <v>5820</v>
      </c>
      <c r="L20" s="7">
        <f>SUM(Table13456781011121314151617181920212223242526272830[مبيع $])</f>
        <v>5835.2777777777801</v>
      </c>
      <c r="N20" s="65" t="s">
        <v>33</v>
      </c>
      <c r="O20" s="65"/>
      <c r="P20" s="65"/>
      <c r="Q20" s="65"/>
      <c r="R20" s="65"/>
      <c r="S20" s="65"/>
    </row>
    <row r="21" spans="1:19" x14ac:dyDescent="0.3">
      <c r="A21" s="1" t="s">
        <v>2</v>
      </c>
      <c r="B21" s="1" t="s">
        <v>0</v>
      </c>
      <c r="C21" s="1" t="s">
        <v>1</v>
      </c>
      <c r="D21" s="1" t="s">
        <v>3</v>
      </c>
      <c r="E21" s="1" t="s">
        <v>0</v>
      </c>
      <c r="F21" s="1" t="s">
        <v>1</v>
      </c>
      <c r="H21" s="2" t="s">
        <v>426</v>
      </c>
      <c r="I21" s="40" t="s">
        <v>6</v>
      </c>
      <c r="J21" s="3" t="s">
        <v>5</v>
      </c>
      <c r="K21" s="12" t="s">
        <v>4</v>
      </c>
      <c r="L21" s="12" t="s">
        <v>415</v>
      </c>
      <c r="M21" s="2"/>
      <c r="N21" s="1" t="s">
        <v>2</v>
      </c>
      <c r="O21" s="1" t="s">
        <v>0</v>
      </c>
      <c r="P21" s="1" t="s">
        <v>1</v>
      </c>
      <c r="Q21" s="1" t="s">
        <v>3</v>
      </c>
      <c r="R21" s="1" t="s">
        <v>0</v>
      </c>
      <c r="S21" s="1" t="s">
        <v>1</v>
      </c>
    </row>
    <row r="22" spans="1:19" x14ac:dyDescent="0.3">
      <c r="A22" s="15">
        <v>1</v>
      </c>
      <c r="B22" s="2">
        <v>9</v>
      </c>
      <c r="C22" s="21">
        <f>A22*B22</f>
        <v>9</v>
      </c>
      <c r="D22" s="17">
        <v>5</v>
      </c>
      <c r="E22" s="2">
        <v>31</v>
      </c>
      <c r="F22" s="23">
        <f>D22*E22</f>
        <v>155</v>
      </c>
      <c r="G22" s="5"/>
      <c r="H22" s="5" t="s">
        <v>434</v>
      </c>
      <c r="I22" s="41"/>
      <c r="J22" s="20">
        <v>300</v>
      </c>
      <c r="L22" s="44">
        <f>Table13456781011121314151617181920212223242526272830[[#This Row],[الدولار]]+(Table13456781011121314151617181920212223242526272830[[#This Row],[اللبناني]]/90)</f>
        <v>3.3333333333333335</v>
      </c>
      <c r="N22" s="15">
        <v>1</v>
      </c>
      <c r="O22" s="2">
        <v>15</v>
      </c>
      <c r="P22" s="21">
        <f>N22*O22</f>
        <v>15</v>
      </c>
      <c r="Q22" s="17">
        <v>5</v>
      </c>
      <c r="R22" s="2">
        <v>36</v>
      </c>
      <c r="S22" s="23">
        <f>Q22*R22</f>
        <v>180</v>
      </c>
    </row>
    <row r="23" spans="1:19" x14ac:dyDescent="0.3">
      <c r="A23" s="15">
        <v>5</v>
      </c>
      <c r="B23" s="2">
        <v>6</v>
      </c>
      <c r="C23" s="21">
        <f t="shared" ref="C23:C27" si="2">A23*B23</f>
        <v>30</v>
      </c>
      <c r="D23" s="17">
        <v>10</v>
      </c>
      <c r="E23" s="2">
        <v>18</v>
      </c>
      <c r="F23" s="23">
        <f t="shared" ref="F23:F26" si="3">D23*E23</f>
        <v>180</v>
      </c>
      <c r="G23" s="5"/>
      <c r="H23" s="5" t="s">
        <v>434</v>
      </c>
      <c r="I23" s="41" t="s">
        <v>276</v>
      </c>
      <c r="J23" s="20">
        <v>-850</v>
      </c>
      <c r="K23" s="11">
        <v>20</v>
      </c>
      <c r="L23" s="44">
        <f>Table13456781011121314151617181920212223242526272830[[#This Row],[الدولار]]+(Table13456781011121314151617181920212223242526272830[[#This Row],[اللبناني]]/90)</f>
        <v>10.555555555555555</v>
      </c>
      <c r="N23" s="15">
        <v>5</v>
      </c>
      <c r="O23" s="2">
        <v>0</v>
      </c>
      <c r="P23" s="21">
        <f t="shared" ref="P23:P27" si="4">N23*O23</f>
        <v>0</v>
      </c>
      <c r="Q23" s="17">
        <v>10</v>
      </c>
      <c r="R23" s="2">
        <v>22</v>
      </c>
      <c r="S23" s="23">
        <f t="shared" ref="S23:S26" si="5">Q23*R23</f>
        <v>220</v>
      </c>
    </row>
    <row r="24" spans="1:19" x14ac:dyDescent="0.3">
      <c r="A24" s="15">
        <v>10</v>
      </c>
      <c r="B24" s="2">
        <v>38</v>
      </c>
      <c r="C24" s="21">
        <f t="shared" si="2"/>
        <v>380</v>
      </c>
      <c r="D24" s="17">
        <v>20</v>
      </c>
      <c r="E24" s="2">
        <v>24</v>
      </c>
      <c r="F24" s="23">
        <f t="shared" si="3"/>
        <v>480</v>
      </c>
      <c r="G24" s="5"/>
      <c r="H24" s="5" t="s">
        <v>434</v>
      </c>
      <c r="I24" s="41" t="s">
        <v>518</v>
      </c>
      <c r="J24" s="20"/>
      <c r="K24" s="11">
        <v>35</v>
      </c>
      <c r="L24" s="44">
        <f>Table13456781011121314151617181920212223242526272830[[#This Row],[الدولار]]+(Table13456781011121314151617181920212223242526272830[[#This Row],[اللبناني]]/90)</f>
        <v>35</v>
      </c>
      <c r="N24" s="15">
        <v>10</v>
      </c>
      <c r="O24" s="2">
        <v>24</v>
      </c>
      <c r="P24" s="21">
        <f t="shared" si="4"/>
        <v>240</v>
      </c>
      <c r="Q24" s="17">
        <v>20</v>
      </c>
      <c r="R24" s="2">
        <v>22</v>
      </c>
      <c r="S24" s="23">
        <f t="shared" si="5"/>
        <v>440</v>
      </c>
    </row>
    <row r="25" spans="1:19" x14ac:dyDescent="0.3">
      <c r="A25" s="15">
        <v>20</v>
      </c>
      <c r="B25" s="2">
        <v>29</v>
      </c>
      <c r="C25" s="21">
        <f t="shared" si="2"/>
        <v>580</v>
      </c>
      <c r="D25" s="17">
        <v>50</v>
      </c>
      <c r="E25" s="2">
        <v>10</v>
      </c>
      <c r="F25" s="23">
        <f t="shared" si="3"/>
        <v>500</v>
      </c>
      <c r="G25" s="5"/>
      <c r="H25" s="5" t="s">
        <v>434</v>
      </c>
      <c r="I25" s="41" t="s">
        <v>519</v>
      </c>
      <c r="J25" s="20">
        <v>360</v>
      </c>
      <c r="L25" s="44">
        <f>Table13456781011121314151617181920212223242526272830[[#This Row],[الدولار]]+(Table13456781011121314151617181920212223242526272830[[#This Row],[اللبناني]]/90)</f>
        <v>4</v>
      </c>
      <c r="N25" s="15">
        <v>20</v>
      </c>
      <c r="O25" s="2">
        <v>27</v>
      </c>
      <c r="P25" s="21">
        <f t="shared" si="4"/>
        <v>540</v>
      </c>
      <c r="Q25" s="17">
        <v>50</v>
      </c>
      <c r="R25" s="2">
        <v>11</v>
      </c>
      <c r="S25" s="23">
        <f t="shared" si="5"/>
        <v>550</v>
      </c>
    </row>
    <row r="26" spans="1:19" x14ac:dyDescent="0.3">
      <c r="A26" s="15">
        <v>50</v>
      </c>
      <c r="B26" s="2">
        <v>1</v>
      </c>
      <c r="C26" s="21">
        <f t="shared" si="2"/>
        <v>50</v>
      </c>
      <c r="D26" s="17">
        <v>100</v>
      </c>
      <c r="E26" s="2">
        <v>49</v>
      </c>
      <c r="F26" s="23">
        <f t="shared" si="3"/>
        <v>4900</v>
      </c>
      <c r="G26" s="5"/>
      <c r="H26" s="5" t="s">
        <v>434</v>
      </c>
      <c r="I26" s="42" t="s">
        <v>520</v>
      </c>
      <c r="J26" s="20"/>
      <c r="K26" s="11">
        <v>825</v>
      </c>
      <c r="L26" s="44">
        <f>Table13456781011121314151617181920212223242526272830[[#This Row],[الدولار]]+(Table13456781011121314151617181920212223242526272830[[#This Row],[اللبناني]]/90)</f>
        <v>825</v>
      </c>
      <c r="N26" s="15">
        <v>50</v>
      </c>
      <c r="O26" s="2">
        <v>9</v>
      </c>
      <c r="P26" s="21">
        <f t="shared" si="4"/>
        <v>450</v>
      </c>
      <c r="Q26" s="17">
        <v>100</v>
      </c>
      <c r="R26" s="2">
        <v>62</v>
      </c>
      <c r="S26" s="23">
        <f t="shared" si="5"/>
        <v>6200</v>
      </c>
    </row>
    <row r="27" spans="1:19" x14ac:dyDescent="0.3">
      <c r="A27" s="15">
        <v>100</v>
      </c>
      <c r="C27" s="21">
        <f t="shared" si="2"/>
        <v>0</v>
      </c>
      <c r="D27" s="1" t="s">
        <v>1</v>
      </c>
      <c r="E27" s="1"/>
      <c r="F27" s="19">
        <f>SUM(F22:F26)</f>
        <v>6215</v>
      </c>
      <c r="G27" s="5"/>
      <c r="H27" s="5" t="s">
        <v>436</v>
      </c>
      <c r="I27" s="41" t="s">
        <v>21</v>
      </c>
      <c r="J27" s="20"/>
      <c r="K27" s="11">
        <v>-825</v>
      </c>
      <c r="L27" s="44">
        <f>Table13456781011121314151617181920212223242526272830[[#This Row],[الدولار]]+(Table13456781011121314151617181920212223242526272830[[#This Row],[اللبناني]]/90)</f>
        <v>-825</v>
      </c>
      <c r="N27" s="15">
        <v>100</v>
      </c>
      <c r="O27" s="2">
        <v>56</v>
      </c>
      <c r="P27" s="21">
        <f t="shared" si="4"/>
        <v>5600</v>
      </c>
      <c r="Q27" s="1" t="s">
        <v>1</v>
      </c>
      <c r="R27" s="1"/>
      <c r="S27" s="19">
        <f>SUM(S22:S26)</f>
        <v>7590</v>
      </c>
    </row>
    <row r="28" spans="1:19" x14ac:dyDescent="0.3">
      <c r="A28" s="1" t="s">
        <v>1</v>
      </c>
      <c r="B28" s="1"/>
      <c r="C28" s="22">
        <f>SUM(C22:C27)</f>
        <v>1049</v>
      </c>
      <c r="H28" s="5" t="s">
        <v>434</v>
      </c>
      <c r="I28" s="41" t="s">
        <v>521</v>
      </c>
      <c r="J28" s="20"/>
      <c r="K28" s="11">
        <v>75</v>
      </c>
      <c r="L28" s="44">
        <f>Table13456781011121314151617181920212223242526272830[[#This Row],[الدولار]]+(Table13456781011121314151617181920212223242526272830[[#This Row],[اللبناني]]/90)</f>
        <v>75</v>
      </c>
      <c r="N28" s="1" t="s">
        <v>1</v>
      </c>
      <c r="O28" s="1"/>
      <c r="P28" s="22">
        <f>SUM(P22:P27)</f>
        <v>6845</v>
      </c>
      <c r="S28" s="20"/>
    </row>
    <row r="29" spans="1:19" x14ac:dyDescent="0.3">
      <c r="B29" s="2">
        <v>0</v>
      </c>
      <c r="C29" s="27"/>
      <c r="D29" s="66" t="s">
        <v>40</v>
      </c>
      <c r="E29" s="66"/>
      <c r="F29" s="24">
        <f ca="1">INDIRECT("'"&amp;$A$19&amp;"'!J17")+J1</f>
        <v>3045</v>
      </c>
      <c r="H29" s="5" t="s">
        <v>434</v>
      </c>
      <c r="I29" s="41" t="s">
        <v>216</v>
      </c>
      <c r="J29" s="20"/>
      <c r="K29" s="11">
        <v>119</v>
      </c>
      <c r="L29" s="44">
        <f>Table13456781011121314151617181920212223242526272830[[#This Row],[الدولار]]+(Table13456781011121314151617181920212223242526272830[[#This Row],[اللبناني]]/90)</f>
        <v>119</v>
      </c>
      <c r="P29" s="27"/>
      <c r="Q29" s="66" t="s">
        <v>40</v>
      </c>
      <c r="R29" s="66"/>
      <c r="S29" s="24">
        <f>SUM(Table13456781011121314151617181920212223242526272830[اللبناني])</f>
        <v>1375</v>
      </c>
    </row>
    <row r="30" spans="1:19" x14ac:dyDescent="0.3">
      <c r="A30" s="66" t="s">
        <v>39</v>
      </c>
      <c r="B30" s="66"/>
      <c r="C30" s="12">
        <f ca="1">INDIRECT("'"&amp;$A$19&amp;"'!K17")+K1</f>
        <v>-1212</v>
      </c>
      <c r="F30" s="20"/>
      <c r="H30" s="5" t="s">
        <v>434</v>
      </c>
      <c r="I30" s="41" t="s">
        <v>11</v>
      </c>
      <c r="J30" s="20">
        <v>100</v>
      </c>
      <c r="L30" s="44">
        <f>Table13456781011121314151617181920212223242526272830[[#This Row],[الدولار]]+(Table13456781011121314151617181920212223242526272830[[#This Row],[اللبناني]]/90)</f>
        <v>1.1111111111111112</v>
      </c>
      <c r="N30" s="66" t="s">
        <v>39</v>
      </c>
      <c r="O30" s="66"/>
      <c r="P30" s="12">
        <f>SUM(Table13456781011121314151617181920212223242526272830[الدولار])</f>
        <v>5820</v>
      </c>
      <c r="S30" s="20"/>
    </row>
    <row r="31" spans="1:19" x14ac:dyDescent="0.3">
      <c r="C31" s="27"/>
      <c r="D31" s="1" t="s">
        <v>27</v>
      </c>
      <c r="E31" s="1"/>
      <c r="F31" s="24">
        <f ca="1">F27-F29-INDIRECT("'"&amp;$A$19&amp;"'!f24")</f>
        <v>0</v>
      </c>
      <c r="H31" s="5" t="s">
        <v>434</v>
      </c>
      <c r="I31" s="41" t="s">
        <v>522</v>
      </c>
      <c r="J31" s="20"/>
      <c r="K31" s="11">
        <v>1</v>
      </c>
      <c r="L31" s="44">
        <f>Table13456781011121314151617181920212223242526272830[[#This Row],[الدولار]]+(Table13456781011121314151617181920212223242526272830[[#This Row],[اللبناني]]/90)</f>
        <v>1</v>
      </c>
      <c r="P31" s="27"/>
      <c r="Q31" s="1" t="s">
        <v>27</v>
      </c>
      <c r="R31" s="1"/>
      <c r="S31" s="24">
        <f>S27-S29-F27</f>
        <v>0</v>
      </c>
    </row>
    <row r="32" spans="1:19" x14ac:dyDescent="0.3">
      <c r="A32" s="1" t="s">
        <v>27</v>
      </c>
      <c r="B32" s="1"/>
      <c r="C32" s="12">
        <f ca="1">C28-C30-INDIRECT("'"&amp;$A$19&amp;"'!c25")</f>
        <v>0</v>
      </c>
      <c r="H32" s="5" t="s">
        <v>434</v>
      </c>
      <c r="I32" s="41" t="s">
        <v>523</v>
      </c>
      <c r="J32" s="20"/>
      <c r="K32" s="11">
        <v>4</v>
      </c>
      <c r="L32" s="44">
        <f>Table13456781011121314151617181920212223242526272830[[#This Row],[الدولار]]+(Table13456781011121314151617181920212223242526272830[[#This Row],[اللبناني]]/90)</f>
        <v>4</v>
      </c>
      <c r="N32" s="1" t="s">
        <v>27</v>
      </c>
      <c r="O32" s="1"/>
      <c r="P32" s="12">
        <f>P28-P30-C28</f>
        <v>-24</v>
      </c>
    </row>
    <row r="33" spans="3:13" x14ac:dyDescent="0.3">
      <c r="C33" s="14"/>
      <c r="D33" s="14"/>
      <c r="F33" s="14"/>
      <c r="H33" s="5" t="s">
        <v>434</v>
      </c>
      <c r="I33" s="43" t="s">
        <v>524</v>
      </c>
      <c r="J33" s="18"/>
      <c r="K33" s="11">
        <v>1</v>
      </c>
      <c r="L33" s="44">
        <f>Table13456781011121314151617181920212223242526272830[[#This Row],[الدولار]]+(Table13456781011121314151617181920212223242526272830[[#This Row],[اللبناني]]/90)</f>
        <v>1</v>
      </c>
    </row>
    <row r="34" spans="3:13" x14ac:dyDescent="0.3">
      <c r="C34" s="14"/>
      <c r="D34" s="14"/>
      <c r="F34" s="14"/>
      <c r="H34" s="5" t="s">
        <v>434</v>
      </c>
      <c r="I34" s="43" t="s">
        <v>524</v>
      </c>
      <c r="J34" s="18">
        <v>100</v>
      </c>
      <c r="L34" s="44">
        <f>Table13456781011121314151617181920212223242526272830[[#This Row],[الدولار]]+(Table13456781011121314151617181920212223242526272830[[#This Row],[اللبناني]]/90)</f>
        <v>1.1111111111111112</v>
      </c>
    </row>
    <row r="35" spans="3:13" x14ac:dyDescent="0.3">
      <c r="C35" s="14"/>
      <c r="D35" s="14"/>
      <c r="F35" s="14"/>
      <c r="H35" s="5" t="s">
        <v>434</v>
      </c>
      <c r="I35" s="41" t="s">
        <v>72</v>
      </c>
      <c r="J35" s="18">
        <v>50</v>
      </c>
      <c r="K35" s="11">
        <v>11</v>
      </c>
      <c r="L35" s="44">
        <f>Table13456781011121314151617181920212223242526272830[[#This Row],[الدولار]]+(Table13456781011121314151617181920212223242526272830[[#This Row],[اللبناني]]/90)</f>
        <v>11.555555555555555</v>
      </c>
    </row>
    <row r="36" spans="3:13" s="11" customFormat="1" x14ac:dyDescent="0.3">
      <c r="C36" s="14"/>
      <c r="D36" s="14"/>
      <c r="E36" s="2"/>
      <c r="F36" s="14"/>
      <c r="G36" s="2"/>
      <c r="H36" s="5" t="s">
        <v>434</v>
      </c>
      <c r="I36" s="43" t="s">
        <v>332</v>
      </c>
      <c r="J36" s="20">
        <v>35</v>
      </c>
      <c r="L36" s="44">
        <f>Table13456781011121314151617181920212223242526272830[[#This Row],[الدولار]]+(Table13456781011121314151617181920212223242526272830[[#This Row],[اللبناني]]/90)</f>
        <v>0.3888888888888889</v>
      </c>
      <c r="M36" s="6"/>
    </row>
    <row r="37" spans="3:13" s="11" customFormat="1" x14ac:dyDescent="0.3">
      <c r="C37" s="14"/>
      <c r="D37" s="2"/>
      <c r="E37" s="2"/>
      <c r="F37" s="14"/>
      <c r="G37" s="2"/>
      <c r="H37" s="5" t="s">
        <v>434</v>
      </c>
      <c r="I37" s="43" t="s">
        <v>525</v>
      </c>
      <c r="J37" s="20"/>
      <c r="K37" s="11">
        <v>21</v>
      </c>
      <c r="L37" s="44">
        <f>Table13456781011121314151617181920212223242526272830[[#This Row],[الدولار]]+(Table13456781011121314151617181920212223242526272830[[#This Row],[اللبناني]]/90)</f>
        <v>21</v>
      </c>
      <c r="M37" s="6"/>
    </row>
    <row r="38" spans="3:13" s="11" customFormat="1" x14ac:dyDescent="0.3">
      <c r="C38" s="14"/>
      <c r="D38" s="2"/>
      <c r="E38" s="2"/>
      <c r="F38" s="2"/>
      <c r="G38" s="2"/>
      <c r="H38" s="5" t="s">
        <v>434</v>
      </c>
      <c r="I38" s="43" t="s">
        <v>174</v>
      </c>
      <c r="J38" s="20">
        <v>200</v>
      </c>
      <c r="L38" s="44">
        <f>Table13456781011121314151617181920212223242526272830[[#This Row],[الدولار]]+(Table13456781011121314151617181920212223242526272830[[#This Row],[اللبناني]]/90)</f>
        <v>2.2222222222222223</v>
      </c>
      <c r="M38" s="6"/>
    </row>
    <row r="39" spans="3:13" s="11" customFormat="1" x14ac:dyDescent="0.3">
      <c r="C39" s="2"/>
      <c r="D39" s="2"/>
      <c r="E39" s="2"/>
      <c r="F39" s="6"/>
      <c r="G39" s="2"/>
      <c r="H39" s="5" t="s">
        <v>434</v>
      </c>
      <c r="I39" s="41" t="s">
        <v>526</v>
      </c>
      <c r="J39" s="20"/>
      <c r="K39" s="11">
        <v>100</v>
      </c>
      <c r="L39" s="44">
        <f>Table13456781011121314151617181920212223242526272830[[#This Row],[الدولار]]+(Table13456781011121314151617181920212223242526272830[[#This Row],[اللبناني]]/90)</f>
        <v>100</v>
      </c>
      <c r="M39" s="6"/>
    </row>
    <row r="40" spans="3:13" s="11" customFormat="1" x14ac:dyDescent="0.3">
      <c r="C40" s="6"/>
      <c r="D40" s="2"/>
      <c r="E40" s="2"/>
      <c r="F40" s="2"/>
      <c r="G40" s="2"/>
      <c r="H40" s="5" t="s">
        <v>434</v>
      </c>
      <c r="I40" s="41" t="s">
        <v>527</v>
      </c>
      <c r="J40" s="20">
        <v>70</v>
      </c>
      <c r="L40" s="44">
        <f>Table13456781011121314151617181920212223242526272830[[#This Row],[الدولار]]+(Table13456781011121314151617181920212223242526272830[[#This Row],[اللبناني]]/90)</f>
        <v>0.77777777777777779</v>
      </c>
      <c r="M40" s="6"/>
    </row>
    <row r="41" spans="3:13" s="11" customFormat="1" x14ac:dyDescent="0.3">
      <c r="C41" s="2"/>
      <c r="D41" s="2"/>
      <c r="E41" s="2"/>
      <c r="F41" s="6"/>
      <c r="G41" s="2"/>
      <c r="H41" s="5" t="s">
        <v>434</v>
      </c>
      <c r="I41" s="41" t="s">
        <v>84</v>
      </c>
      <c r="J41" s="20"/>
      <c r="K41" s="11">
        <v>111</v>
      </c>
      <c r="L41" s="44">
        <f>Table13456781011121314151617181920212223242526272830[[#This Row],[الدولار]]+(Table13456781011121314151617181920212223242526272830[[#This Row],[اللبناني]]/90)</f>
        <v>111</v>
      </c>
      <c r="M41" s="6"/>
    </row>
    <row r="42" spans="3:13" s="11" customFormat="1" x14ac:dyDescent="0.3">
      <c r="C42" s="6"/>
      <c r="D42" s="2"/>
      <c r="E42" s="2"/>
      <c r="F42" s="2"/>
      <c r="G42" s="2"/>
      <c r="H42" s="5" t="s">
        <v>434</v>
      </c>
      <c r="I42" s="41" t="s">
        <v>529</v>
      </c>
      <c r="J42" s="20"/>
      <c r="K42" s="11">
        <v>-15</v>
      </c>
      <c r="L42" s="44">
        <f>Table13456781011121314151617181920212223242526272830[[#This Row],[الدولار]]+(Table13456781011121314151617181920212223242526272830[[#This Row],[اللبناني]]/90)</f>
        <v>-15</v>
      </c>
      <c r="M42" s="6"/>
    </row>
    <row r="43" spans="3:13" s="11" customFormat="1" x14ac:dyDescent="0.3">
      <c r="C43" s="2"/>
      <c r="D43" s="2"/>
      <c r="E43" s="2"/>
      <c r="F43" s="2"/>
      <c r="G43" s="2"/>
      <c r="H43" s="5" t="s">
        <v>434</v>
      </c>
      <c r="I43" s="41" t="s">
        <v>528</v>
      </c>
      <c r="J43" s="20">
        <v>300</v>
      </c>
      <c r="L43" s="44">
        <f>Table13456781011121314151617181920212223242526272830[[#This Row],[الدولار]]+(Table13456781011121314151617181920212223242526272830[[#This Row],[اللبناني]]/90)</f>
        <v>3.3333333333333335</v>
      </c>
      <c r="M43" s="6"/>
    </row>
    <row r="44" spans="3:13" s="11" customFormat="1" x14ac:dyDescent="0.3">
      <c r="C44" s="2"/>
      <c r="D44" s="2"/>
      <c r="E44" s="2"/>
      <c r="F44" s="2"/>
      <c r="G44" s="2"/>
      <c r="H44" s="5" t="s">
        <v>434</v>
      </c>
      <c r="I44" s="41" t="s">
        <v>28</v>
      </c>
      <c r="J44" s="20">
        <v>360</v>
      </c>
      <c r="L44" s="44">
        <f>Table13456781011121314151617181920212223242526272830[[#This Row],[الدولار]]+(Table13456781011121314151617181920212223242526272830[[#This Row],[اللبناني]]/90)</f>
        <v>4</v>
      </c>
      <c r="M44" s="6"/>
    </row>
    <row r="45" spans="3:13" s="11" customFormat="1" x14ac:dyDescent="0.3">
      <c r="C45" s="2"/>
      <c r="D45" s="2"/>
      <c r="E45" s="2"/>
      <c r="F45" s="2"/>
      <c r="G45" s="2"/>
      <c r="H45" s="5" t="s">
        <v>434</v>
      </c>
      <c r="I45" s="41" t="s">
        <v>368</v>
      </c>
      <c r="J45" s="20">
        <v>600</v>
      </c>
      <c r="L45" s="44">
        <f>Table13456781011121314151617181920212223242526272830[[#This Row],[الدولار]]+(Table13456781011121314151617181920212223242526272830[[#This Row],[اللبناني]]/90)</f>
        <v>6.666666666666667</v>
      </c>
      <c r="M45" s="6"/>
    </row>
    <row r="46" spans="3:13" s="11" customFormat="1" x14ac:dyDescent="0.3">
      <c r="C46" s="2"/>
      <c r="D46" s="2"/>
      <c r="E46" s="2"/>
      <c r="F46" s="2"/>
      <c r="G46" s="2"/>
      <c r="H46" s="5" t="s">
        <v>434</v>
      </c>
      <c r="I46" s="41" t="s">
        <v>531</v>
      </c>
      <c r="J46" s="18"/>
      <c r="K46" s="11">
        <v>50</v>
      </c>
      <c r="L46" s="44">
        <f>Table13456781011121314151617181920212223242526272830[[#This Row],[الدولار]]+(Table13456781011121314151617181920212223242526272830[[#This Row],[اللبناني]]/90)</f>
        <v>50</v>
      </c>
      <c r="M46" s="6"/>
    </row>
    <row r="47" spans="3:13" s="11" customFormat="1" x14ac:dyDescent="0.3">
      <c r="C47" s="2"/>
      <c r="D47" s="2"/>
      <c r="E47" s="2"/>
      <c r="F47" s="2"/>
      <c r="G47" s="2"/>
      <c r="H47" s="5" t="s">
        <v>434</v>
      </c>
      <c r="I47" s="39" t="s">
        <v>532</v>
      </c>
      <c r="J47" s="18"/>
      <c r="K47" s="11">
        <v>84</v>
      </c>
      <c r="L47" s="44">
        <f>Table13456781011121314151617181920212223242526272830[[#This Row],[الدولار]]+(Table13456781011121314151617181920212223242526272830[[#This Row],[اللبناني]]/90)</f>
        <v>84</v>
      </c>
      <c r="M47" s="6"/>
    </row>
    <row r="48" spans="3:13" s="11" customFormat="1" x14ac:dyDescent="0.3">
      <c r="C48" s="2"/>
      <c r="D48" s="2"/>
      <c r="E48" s="2"/>
      <c r="F48" s="2"/>
      <c r="G48" s="2"/>
      <c r="H48" s="5" t="s">
        <v>434</v>
      </c>
      <c r="I48" s="39" t="s">
        <v>16</v>
      </c>
      <c r="J48" s="18">
        <v>-650</v>
      </c>
      <c r="K48" s="11">
        <v>10</v>
      </c>
      <c r="L48" s="44">
        <f>Table13456781011121314151617181920212223242526272830[[#This Row],[الدولار]]+(Table13456781011121314151617181920212223242526272830[[#This Row],[اللبناني]]/90)</f>
        <v>2.7777777777777777</v>
      </c>
      <c r="M48" s="6"/>
    </row>
    <row r="49" spans="3:19" s="11" customFormat="1" x14ac:dyDescent="0.3">
      <c r="C49" s="2"/>
      <c r="D49" s="2"/>
      <c r="E49" s="2"/>
      <c r="F49" s="2"/>
      <c r="G49" s="2"/>
      <c r="H49" s="5" t="s">
        <v>434</v>
      </c>
      <c r="I49" s="39" t="s">
        <v>533</v>
      </c>
      <c r="J49" s="18"/>
      <c r="K49" s="11">
        <v>10</v>
      </c>
      <c r="L49" s="44">
        <f>Table13456781011121314151617181920212223242526272830[[#This Row],[الدولار]]+(Table13456781011121314151617181920212223242526272830[[#This Row],[اللبناني]]/90)</f>
        <v>10</v>
      </c>
      <c r="M49" s="6"/>
      <c r="S49" s="19"/>
    </row>
    <row r="50" spans="3:19" s="11" customFormat="1" x14ac:dyDescent="0.3">
      <c r="C50" s="2"/>
      <c r="D50" s="2"/>
      <c r="E50" s="2"/>
      <c r="F50" s="2"/>
      <c r="G50" s="2"/>
      <c r="H50" s="5" t="s">
        <v>436</v>
      </c>
      <c r="I50" s="39" t="s">
        <v>534</v>
      </c>
      <c r="J50" s="18"/>
      <c r="K50" s="11">
        <v>-60</v>
      </c>
      <c r="L50" s="44">
        <f>Table13456781011121314151617181920212223242526272830[[#This Row],[الدولار]]+(Table13456781011121314151617181920212223242526272830[[#This Row],[اللبناني]]/90)</f>
        <v>-60</v>
      </c>
      <c r="M50" s="6"/>
    </row>
    <row r="51" spans="3:19" s="11" customFormat="1" x14ac:dyDescent="0.3">
      <c r="C51" s="2"/>
      <c r="D51" s="2"/>
      <c r="E51" s="2"/>
      <c r="F51" s="2"/>
      <c r="G51" s="2"/>
      <c r="H51" s="5" t="s">
        <v>434</v>
      </c>
      <c r="I51" s="39" t="s">
        <v>535</v>
      </c>
      <c r="J51" s="18"/>
      <c r="K51" s="11">
        <v>12</v>
      </c>
      <c r="L51" s="44">
        <f>Table13456781011121314151617181920212223242526272830[[#This Row],[الدولار]]+(Table13456781011121314151617181920212223242526272830[[#This Row],[اللبناني]]/90)</f>
        <v>12</v>
      </c>
      <c r="M51" s="6"/>
    </row>
    <row r="52" spans="3:19" s="11" customFormat="1" x14ac:dyDescent="0.3">
      <c r="H52" s="5" t="s">
        <v>434</v>
      </c>
      <c r="I52" s="39" t="s">
        <v>536</v>
      </c>
      <c r="J52" s="18"/>
      <c r="K52" s="11">
        <v>-20</v>
      </c>
      <c r="L52" s="44">
        <f>Table13456781011121314151617181920212223242526272830[[#This Row],[الدولار]]+(Table13456781011121314151617181920212223242526272830[[#This Row],[اللبناني]]/90)</f>
        <v>-20</v>
      </c>
      <c r="M52" s="6"/>
    </row>
    <row r="53" spans="3:19" s="11" customFormat="1" x14ac:dyDescent="0.3">
      <c r="H53" s="5" t="s">
        <v>434</v>
      </c>
      <c r="I53" s="39" t="s">
        <v>188</v>
      </c>
      <c r="J53" s="18">
        <v>100</v>
      </c>
      <c r="L53" s="44">
        <f>Table13456781011121314151617181920212223242526272830[[#This Row],[الدولار]]+(Table13456781011121314151617181920212223242526272830[[#This Row],[اللبناني]]/90)</f>
        <v>1.1111111111111112</v>
      </c>
      <c r="M53" s="6"/>
    </row>
    <row r="54" spans="3:19" s="11" customFormat="1" x14ac:dyDescent="0.3">
      <c r="H54" s="5" t="s">
        <v>434</v>
      </c>
      <c r="I54" s="39" t="s">
        <v>537</v>
      </c>
      <c r="J54" s="18"/>
      <c r="K54" s="11">
        <v>35</v>
      </c>
      <c r="L54" s="44">
        <f>Table13456781011121314151617181920212223242526272830[[#This Row],[الدولار]]+(Table13456781011121314151617181920212223242526272830[[#This Row],[اللبناني]]/90)</f>
        <v>35</v>
      </c>
      <c r="M54" s="6"/>
    </row>
    <row r="55" spans="3:19" s="11" customFormat="1" x14ac:dyDescent="0.3">
      <c r="H55" s="5" t="s">
        <v>434</v>
      </c>
      <c r="I55" s="39" t="s">
        <v>468</v>
      </c>
      <c r="J55" s="18">
        <v>-750</v>
      </c>
      <c r="K55" s="11">
        <v>10</v>
      </c>
      <c r="L55" s="44">
        <f>Table13456781011121314151617181920212223242526272830[[#This Row],[الدولار]]+(Table13456781011121314151617181920212223242526272830[[#This Row],[اللبناني]]/90)</f>
        <v>1.6666666666666661</v>
      </c>
      <c r="M55" s="6"/>
    </row>
    <row r="56" spans="3:19" s="11" customFormat="1" x14ac:dyDescent="0.3">
      <c r="H56" s="5" t="s">
        <v>434</v>
      </c>
      <c r="I56" s="39" t="s">
        <v>336</v>
      </c>
      <c r="J56" s="18">
        <v>350</v>
      </c>
      <c r="K56" s="11">
        <v>30</v>
      </c>
      <c r="L56" s="44">
        <f>Table13456781011121314151617181920212223242526272830[[#This Row],[الدولار]]+(Table13456781011121314151617181920212223242526272830[[#This Row],[اللبناني]]/90)</f>
        <v>33.888888888888886</v>
      </c>
      <c r="M56" s="6"/>
    </row>
    <row r="57" spans="3:19" s="11" customFormat="1" x14ac:dyDescent="0.3">
      <c r="H57" s="5" t="s">
        <v>434</v>
      </c>
      <c r="I57" s="39" t="s">
        <v>538</v>
      </c>
      <c r="J57" s="18"/>
      <c r="K57" s="11">
        <v>24</v>
      </c>
      <c r="L57" s="44">
        <f>Table13456781011121314151617181920212223242526272830[[#This Row],[الدولار]]+(Table13456781011121314151617181920212223242526272830[[#This Row],[اللبناني]]/90)</f>
        <v>24</v>
      </c>
      <c r="M57" s="6"/>
    </row>
    <row r="58" spans="3:19" s="11" customFormat="1" x14ac:dyDescent="0.3">
      <c r="H58" s="5" t="s">
        <v>434</v>
      </c>
      <c r="I58" s="39" t="s">
        <v>111</v>
      </c>
      <c r="J58" s="18">
        <v>100</v>
      </c>
      <c r="L58" s="44">
        <f>Table13456781011121314151617181920212223242526272830[[#This Row],[الدولار]]+(Table13456781011121314151617181920212223242526272830[[#This Row],[اللبناني]]/90)</f>
        <v>1.1111111111111112</v>
      </c>
      <c r="M58" s="6"/>
    </row>
    <row r="59" spans="3:19" s="11" customFormat="1" x14ac:dyDescent="0.3">
      <c r="H59" s="5" t="s">
        <v>434</v>
      </c>
      <c r="I59" s="39" t="s">
        <v>539</v>
      </c>
      <c r="J59" s="18"/>
      <c r="K59" s="11">
        <v>20</v>
      </c>
      <c r="L59" s="44">
        <f>Table13456781011121314151617181920212223242526272830[[#This Row],[الدولار]]+(Table13456781011121314151617181920212223242526272830[[#This Row],[اللبناني]]/90)</f>
        <v>20</v>
      </c>
      <c r="M59" s="6"/>
    </row>
    <row r="60" spans="3:19" s="11" customFormat="1" x14ac:dyDescent="0.3">
      <c r="H60" s="5" t="s">
        <v>434</v>
      </c>
      <c r="I60" s="39"/>
      <c r="J60" s="18">
        <v>165</v>
      </c>
      <c r="L60" s="44">
        <f>Table13456781011121314151617181920212223242526272830[[#This Row],[الدولار]]+(Table13456781011121314151617181920212223242526272830[[#This Row],[اللبناني]]/90)</f>
        <v>1.8333333333333333</v>
      </c>
      <c r="M60" s="6"/>
    </row>
    <row r="61" spans="3:19" s="11" customFormat="1" x14ac:dyDescent="0.3">
      <c r="H61" s="5" t="s">
        <v>434</v>
      </c>
      <c r="I61" s="39"/>
      <c r="J61" s="18"/>
      <c r="K61" s="11">
        <v>10</v>
      </c>
      <c r="L61" s="44">
        <f>Table13456781011121314151617181920212223242526272830[[#This Row],[الدولار]]+(Table13456781011121314151617181920212223242526272830[[#This Row],[اللبناني]]/90)</f>
        <v>10</v>
      </c>
      <c r="M61" s="6"/>
    </row>
    <row r="62" spans="3:19" s="11" customFormat="1" x14ac:dyDescent="0.3">
      <c r="H62" s="5" t="s">
        <v>434</v>
      </c>
      <c r="I62" s="39"/>
      <c r="J62" s="18">
        <v>-225</v>
      </c>
      <c r="L62" s="44">
        <f>Table13456781011121314151617181920212223242526272830[[#This Row],[الدولار]]+(Table13456781011121314151617181920212223242526272830[[#This Row],[اللبناني]]/90)</f>
        <v>-2.5</v>
      </c>
      <c r="M62" s="6"/>
    </row>
    <row r="63" spans="3:19" s="11" customFormat="1" x14ac:dyDescent="0.3">
      <c r="H63" s="5" t="s">
        <v>434</v>
      </c>
      <c r="I63" s="39"/>
      <c r="J63" s="18"/>
      <c r="K63" s="11">
        <v>21</v>
      </c>
      <c r="L63" s="44">
        <f>Table13456781011121314151617181920212223242526272830[[#This Row],[الدولار]]+(Table13456781011121314151617181920212223242526272830[[#This Row],[اللبناني]]/90)</f>
        <v>21</v>
      </c>
      <c r="M63" s="6"/>
    </row>
    <row r="64" spans="3:19" s="11" customFormat="1" x14ac:dyDescent="0.3">
      <c r="H64" s="5" t="s">
        <v>434</v>
      </c>
      <c r="I64" s="39"/>
      <c r="J64" s="18">
        <v>300</v>
      </c>
      <c r="L64" s="44">
        <f>Table13456781011121314151617181920212223242526272830[[#This Row],[الدولار]]+(Table13456781011121314151617181920212223242526272830[[#This Row],[اللبناني]]/90)</f>
        <v>3.3333333333333335</v>
      </c>
      <c r="M64" s="6"/>
      <c r="P64" s="22"/>
      <c r="S64" s="19"/>
    </row>
    <row r="65" spans="4:13" s="11" customFormat="1" x14ac:dyDescent="0.3">
      <c r="D65" s="54"/>
      <c r="H65" s="5" t="s">
        <v>434</v>
      </c>
      <c r="I65" s="39"/>
      <c r="J65" s="50">
        <v>-470</v>
      </c>
      <c r="K65" s="51">
        <v>10</v>
      </c>
      <c r="L65" s="44">
        <f>Table13456781011121314151617181920212223242526272830[[#This Row],[الدولار]]+(Table13456781011121314151617181920212223242526272830[[#This Row],[اللبناني]]/90)</f>
        <v>4.7777777777777777</v>
      </c>
      <c r="M65" s="6"/>
    </row>
    <row r="66" spans="4:13" s="11" customFormat="1" x14ac:dyDescent="0.3">
      <c r="D66" s="54"/>
      <c r="H66" s="5" t="s">
        <v>434</v>
      </c>
      <c r="I66" s="39"/>
      <c r="J66" s="52"/>
      <c r="K66" s="53">
        <v>5</v>
      </c>
      <c r="L66" s="44">
        <f>Table13456781011121314151617181920212223242526272830[[#This Row],[الدولار]]+(Table13456781011121314151617181920212223242526272830[[#This Row],[اللبناني]]/90)</f>
        <v>5</v>
      </c>
      <c r="M66" s="6"/>
    </row>
    <row r="67" spans="4:13" s="11" customFormat="1" x14ac:dyDescent="0.3">
      <c r="D67" s="54"/>
      <c r="H67" s="5" t="s">
        <v>434</v>
      </c>
      <c r="I67" s="39"/>
      <c r="J67" s="50">
        <v>-100</v>
      </c>
      <c r="K67" s="51"/>
      <c r="L67" s="44">
        <f>Table13456781011121314151617181920212223242526272830[[#This Row],[الدولار]]+(Table13456781011121314151617181920212223242526272830[[#This Row],[اللبناني]]/90)</f>
        <v>-1.1111111111111112</v>
      </c>
      <c r="M67" s="6"/>
    </row>
    <row r="68" spans="4:13" s="11" customFormat="1" x14ac:dyDescent="0.3">
      <c r="D68" s="54"/>
      <c r="H68" s="5" t="s">
        <v>435</v>
      </c>
      <c r="I68" s="39"/>
      <c r="J68" s="52">
        <v>-2000</v>
      </c>
      <c r="K68" s="53"/>
      <c r="L68" s="44">
        <f>Table13456781011121314151617181920212223242526272830[[#This Row],[الدولار]]+(Table13456781011121314151617181920212223242526272830[[#This Row],[اللبناني]]/90)</f>
        <v>-22.222222222222221</v>
      </c>
      <c r="M68" s="6"/>
    </row>
    <row r="69" spans="4:13" s="11" customFormat="1" x14ac:dyDescent="0.3">
      <c r="D69" s="54"/>
      <c r="H69" s="5" t="s">
        <v>434</v>
      </c>
      <c r="I69" s="39"/>
      <c r="J69" s="50"/>
      <c r="K69" s="51">
        <v>15</v>
      </c>
      <c r="L69" s="44">
        <f>Table13456781011121314151617181920212223242526272830[[#This Row],[الدولار]]+(Table13456781011121314151617181920212223242526272830[[#This Row],[اللبناني]]/90)</f>
        <v>15</v>
      </c>
      <c r="M69" s="6"/>
    </row>
    <row r="70" spans="4:13" s="11" customFormat="1" x14ac:dyDescent="0.3">
      <c r="H70" s="5" t="s">
        <v>434</v>
      </c>
      <c r="I70" s="39"/>
      <c r="J70" s="18">
        <v>-50</v>
      </c>
      <c r="L70" s="44">
        <f>Table13456781011121314151617181920212223242526272830[[#This Row],[الدولار]]+(Table13456781011121314151617181920212223242526272830[[#This Row],[اللبناني]]/90)</f>
        <v>-0.55555555555555558</v>
      </c>
      <c r="M70" s="6"/>
    </row>
    <row r="71" spans="4:13" s="11" customFormat="1" x14ac:dyDescent="0.3">
      <c r="H71" s="5" t="s">
        <v>434</v>
      </c>
      <c r="I71" s="39"/>
      <c r="J71" s="18">
        <v>500</v>
      </c>
      <c r="L71" s="44">
        <f>Table13456781011121314151617181920212223242526272830[[#This Row],[الدولار]]+(Table13456781011121314151617181920212223242526272830[[#This Row],[اللبناني]]/90)</f>
        <v>5.5555555555555554</v>
      </c>
      <c r="M71" s="6"/>
    </row>
    <row r="72" spans="4:13" s="11" customFormat="1" x14ac:dyDescent="0.3">
      <c r="H72" s="5" t="s">
        <v>434</v>
      </c>
      <c r="I72" s="39"/>
      <c r="J72" s="18"/>
      <c r="K72" s="11">
        <v>30</v>
      </c>
      <c r="L72" s="44">
        <f>Table13456781011121314151617181920212223242526272830[[#This Row],[الدولار]]+(Table13456781011121314151617181920212223242526272830[[#This Row],[اللبناني]]/90)</f>
        <v>30</v>
      </c>
      <c r="M72" s="6"/>
    </row>
    <row r="73" spans="4:13" s="11" customFormat="1" x14ac:dyDescent="0.3">
      <c r="H73" s="5" t="s">
        <v>434</v>
      </c>
      <c r="I73" s="39"/>
      <c r="J73" s="18">
        <v>-400</v>
      </c>
      <c r="L73" s="44">
        <f>Table13456781011121314151617181920212223242526272830[[#This Row],[الدولار]]+(Table13456781011121314151617181920212223242526272830[[#This Row],[اللبناني]]/90)</f>
        <v>-4.4444444444444446</v>
      </c>
      <c r="M73" s="6"/>
    </row>
    <row r="74" spans="4:13" s="11" customFormat="1" x14ac:dyDescent="0.3">
      <c r="H74" s="5" t="s">
        <v>434</v>
      </c>
      <c r="I74" s="39"/>
      <c r="J74" s="18">
        <v>100</v>
      </c>
      <c r="L74" s="44">
        <f>Table13456781011121314151617181920212223242526272830[[#This Row],[الدولار]]+(Table13456781011121314151617181920212223242526272830[[#This Row],[اللبناني]]/90)</f>
        <v>1.1111111111111112</v>
      </c>
      <c r="M74" s="6"/>
    </row>
    <row r="75" spans="4:13" s="11" customFormat="1" x14ac:dyDescent="0.3">
      <c r="H75" s="5" t="s">
        <v>434</v>
      </c>
      <c r="I75" s="39"/>
      <c r="J75" s="18">
        <v>80</v>
      </c>
      <c r="L75" s="44">
        <f>Table13456781011121314151617181920212223242526272830[[#This Row],[الدولار]]+(Table13456781011121314151617181920212223242526272830[[#This Row],[اللبناني]]/90)</f>
        <v>0.88888888888888884</v>
      </c>
      <c r="M75" s="6"/>
    </row>
    <row r="76" spans="4:13" s="11" customFormat="1" x14ac:dyDescent="0.3">
      <c r="H76" s="5" t="s">
        <v>434</v>
      </c>
      <c r="I76" s="39" t="s">
        <v>448</v>
      </c>
      <c r="J76" s="18"/>
      <c r="K76" s="11">
        <v>65</v>
      </c>
      <c r="L76" s="44">
        <f>Table13456781011121314151617181920212223242526272830[[#This Row],[الدولار]]+(Table13456781011121314151617181920212223242526272830[[#This Row],[اللبناني]]/90)</f>
        <v>65</v>
      </c>
      <c r="M76" s="6"/>
    </row>
    <row r="77" spans="4:13" s="11" customFormat="1" x14ac:dyDescent="0.3">
      <c r="H77" s="5" t="s">
        <v>434</v>
      </c>
      <c r="I77" s="39" t="s">
        <v>540</v>
      </c>
      <c r="J77" s="18">
        <v>450</v>
      </c>
      <c r="K77" s="11">
        <v>50</v>
      </c>
      <c r="L77" s="44">
        <f>Table13456781011121314151617181920212223242526272830[[#This Row],[الدولار]]+(Table13456781011121314151617181920212223242526272830[[#This Row],[اللبناني]]/90)</f>
        <v>55</v>
      </c>
      <c r="M77" s="6"/>
    </row>
    <row r="78" spans="4:13" s="11" customFormat="1" x14ac:dyDescent="0.3">
      <c r="H78" s="5" t="s">
        <v>434</v>
      </c>
      <c r="I78" s="39" t="s">
        <v>305</v>
      </c>
      <c r="J78" s="18"/>
      <c r="K78" s="11">
        <v>4000</v>
      </c>
      <c r="L78" s="44">
        <f>Table13456781011121314151617181920212223242526272830[[#This Row],[الدولار]]+(Table13456781011121314151617181920212223242526272830[[#This Row],[اللبناني]]/90)</f>
        <v>4000</v>
      </c>
      <c r="M78" s="6"/>
    </row>
    <row r="79" spans="4:13" s="11" customFormat="1" x14ac:dyDescent="0.3">
      <c r="H79" s="5" t="s">
        <v>434</v>
      </c>
      <c r="I79" s="39" t="s">
        <v>429</v>
      </c>
      <c r="J79" s="18"/>
      <c r="K79" s="11">
        <v>7</v>
      </c>
      <c r="L79" s="44">
        <f>Table13456781011121314151617181920212223242526272830[[#This Row],[الدولار]]+(Table13456781011121314151617181920212223242526272830[[#This Row],[اللبناني]]/90)</f>
        <v>7</v>
      </c>
      <c r="M79" s="6"/>
    </row>
    <row r="80" spans="4:13" s="11" customFormat="1" x14ac:dyDescent="0.3">
      <c r="H80" s="5" t="s">
        <v>434</v>
      </c>
      <c r="I80" s="39" t="s">
        <v>85</v>
      </c>
      <c r="J80" s="18"/>
      <c r="K80" s="11">
        <v>-9</v>
      </c>
      <c r="L80" s="44">
        <f>Table13456781011121314151617181920212223242526272830[[#This Row],[الدولار]]+(Table13456781011121314151617181920212223242526272830[[#This Row],[اللبناني]]/90)</f>
        <v>-9</v>
      </c>
      <c r="M80" s="6"/>
    </row>
    <row r="81" spans="8:19" s="11" customFormat="1" x14ac:dyDescent="0.3">
      <c r="H81" s="5" t="s">
        <v>434</v>
      </c>
      <c r="I81" s="39" t="s">
        <v>220</v>
      </c>
      <c r="J81" s="18">
        <v>100</v>
      </c>
      <c r="L81" s="44">
        <f>Table13456781011121314151617181920212223242526272830[[#This Row],[الدولار]]+(Table13456781011121314151617181920212223242526272830[[#This Row],[اللبناني]]/90)</f>
        <v>1.1111111111111112</v>
      </c>
      <c r="M81" s="6"/>
      <c r="N81" s="11" t="s">
        <v>193</v>
      </c>
      <c r="P81" s="11">
        <v>5941</v>
      </c>
      <c r="S81" s="24">
        <v>5440</v>
      </c>
    </row>
    <row r="82" spans="8:19" s="11" customFormat="1" x14ac:dyDescent="0.3">
      <c r="H82" s="5" t="s">
        <v>434</v>
      </c>
      <c r="I82" s="39"/>
      <c r="J82" s="18"/>
      <c r="K82" s="11">
        <v>11</v>
      </c>
      <c r="L82" s="44">
        <f>Table13456781011121314151617181920212223242526272830[[#This Row],[الدولار]]+(Table13456781011121314151617181920212223242526272830[[#This Row],[اللبناني]]/90)</f>
        <v>11</v>
      </c>
      <c r="M82" s="6"/>
    </row>
    <row r="83" spans="8:19" s="11" customFormat="1" x14ac:dyDescent="0.3">
      <c r="H83" s="5" t="s">
        <v>434</v>
      </c>
      <c r="I83" s="39"/>
      <c r="J83" s="18">
        <v>200</v>
      </c>
      <c r="L83" s="44">
        <f>Table13456781011121314151617181920212223242526272830[[#This Row],[الدولار]]+(Table13456781011121314151617181920212223242526272830[[#This Row],[اللبناني]]/90)</f>
        <v>2.2222222222222223</v>
      </c>
      <c r="M83" s="6"/>
    </row>
    <row r="84" spans="8:19" s="11" customFormat="1" x14ac:dyDescent="0.3">
      <c r="H84" s="5" t="s">
        <v>434</v>
      </c>
      <c r="I84" s="39"/>
      <c r="J84" s="18">
        <v>315</v>
      </c>
      <c r="L84" s="44">
        <f>Table13456781011121314151617181920212223242526272830[[#This Row],[الدولار]]+(Table13456781011121314151617181920212223242526272830[[#This Row],[اللبناني]]/90)</f>
        <v>3.5</v>
      </c>
      <c r="M84" s="6"/>
    </row>
    <row r="85" spans="8:19" s="11" customFormat="1" x14ac:dyDescent="0.3">
      <c r="H85" s="5" t="s">
        <v>434</v>
      </c>
      <c r="I85" s="39"/>
      <c r="J85" s="18">
        <v>35</v>
      </c>
      <c r="L85" s="44">
        <f>Table13456781011121314151617181920212223242526272830[[#This Row],[الدولار]]+(Table13456781011121314151617181920212223242526272830[[#This Row],[اللبناني]]/90)</f>
        <v>0.3888888888888889</v>
      </c>
      <c r="M85" s="6"/>
    </row>
    <row r="86" spans="8:19" s="11" customFormat="1" x14ac:dyDescent="0.3">
      <c r="H86" s="5" t="s">
        <v>434</v>
      </c>
      <c r="I86" s="39"/>
      <c r="J86" s="18">
        <v>600</v>
      </c>
      <c r="L86" s="44">
        <f>Table13456781011121314151617181920212223242526272830[[#This Row],[الدولار]]+(Table13456781011121314151617181920212223242526272830[[#This Row],[اللبناني]]/90)</f>
        <v>6.666666666666667</v>
      </c>
      <c r="M86" s="6"/>
    </row>
    <row r="87" spans="8:19" s="11" customFormat="1" x14ac:dyDescent="0.3">
      <c r="H87" s="5" t="s">
        <v>434</v>
      </c>
      <c r="I87" s="39"/>
      <c r="J87" s="18"/>
      <c r="K87" s="11">
        <v>15</v>
      </c>
      <c r="L87" s="44">
        <f>Table13456781011121314151617181920212223242526272830[[#This Row],[الدولار]]+(Table13456781011121314151617181920212223242526272830[[#This Row],[اللبناني]]/90)</f>
        <v>15</v>
      </c>
      <c r="M87" s="6"/>
    </row>
    <row r="88" spans="8:19" s="11" customFormat="1" x14ac:dyDescent="0.3">
      <c r="H88" s="5" t="s">
        <v>434</v>
      </c>
      <c r="I88" s="39"/>
      <c r="J88" s="18"/>
      <c r="K88" s="11">
        <v>40</v>
      </c>
      <c r="L88" s="44">
        <f>Table13456781011121314151617181920212223242526272830[[#This Row],[الدولار]]+(Table13456781011121314151617181920212223242526272830[[#This Row],[اللبناني]]/90)</f>
        <v>40</v>
      </c>
      <c r="M88" s="6"/>
    </row>
    <row r="89" spans="8:19" s="11" customFormat="1" x14ac:dyDescent="0.3">
      <c r="H89" s="5" t="s">
        <v>434</v>
      </c>
      <c r="I89" s="39"/>
      <c r="J89" s="18">
        <v>220</v>
      </c>
      <c r="L89" s="44">
        <f>Table13456781011121314151617181920212223242526272830[[#This Row],[الدولار]]+(Table13456781011121314151617181920212223242526272830[[#This Row],[اللبناني]]/90)</f>
        <v>2.4444444444444446</v>
      </c>
      <c r="M89" s="6"/>
    </row>
    <row r="90" spans="8:19" s="11" customFormat="1" x14ac:dyDescent="0.3">
      <c r="H90" s="5" t="s">
        <v>434</v>
      </c>
      <c r="I90" s="39"/>
      <c r="J90" s="18">
        <v>225</v>
      </c>
      <c r="L90" s="44">
        <f>Table13456781011121314151617181920212223242526272830[[#This Row],[الدولار]]+(Table13456781011121314151617181920212223242526272830[[#This Row],[اللبناني]]/90)</f>
        <v>2.5</v>
      </c>
      <c r="M90" s="6"/>
    </row>
    <row r="91" spans="8:19" s="11" customFormat="1" x14ac:dyDescent="0.3">
      <c r="H91" s="5" t="s">
        <v>434</v>
      </c>
      <c r="I91" s="39"/>
      <c r="J91" s="18"/>
      <c r="K91" s="11">
        <v>95</v>
      </c>
      <c r="L91" s="44">
        <f>Table13456781011121314151617181920212223242526272830[[#This Row],[الدولار]]+(Table13456781011121314151617181920212223242526272830[[#This Row],[اللبناني]]/90)</f>
        <v>95</v>
      </c>
      <c r="M91" s="6"/>
    </row>
    <row r="92" spans="8:19" s="11" customFormat="1" x14ac:dyDescent="0.3">
      <c r="H92" s="5" t="s">
        <v>434</v>
      </c>
      <c r="I92" s="39"/>
      <c r="J92" s="18"/>
      <c r="K92" s="11">
        <v>136</v>
      </c>
      <c r="L92" s="44">
        <f>Table13456781011121314151617181920212223242526272830[[#This Row],[الدولار]]+(Table13456781011121314151617181920212223242526272830[[#This Row],[اللبناني]]/90)</f>
        <v>136</v>
      </c>
      <c r="M92" s="6"/>
    </row>
    <row r="93" spans="8:19" s="11" customFormat="1" x14ac:dyDescent="0.3">
      <c r="H93" s="5" t="s">
        <v>434</v>
      </c>
      <c r="I93" s="39"/>
      <c r="J93" s="18">
        <v>10</v>
      </c>
      <c r="K93" s="11">
        <v>1</v>
      </c>
      <c r="L93" s="44">
        <f>Table13456781011121314151617181920212223242526272830[[#This Row],[الدولار]]+(Table13456781011121314151617181920212223242526272830[[#This Row],[اللبناني]]/90)</f>
        <v>1.1111111111111112</v>
      </c>
      <c r="M93" s="6"/>
    </row>
    <row r="94" spans="8:19" s="11" customFormat="1" x14ac:dyDescent="0.3">
      <c r="H94" s="5" t="s">
        <v>434</v>
      </c>
      <c r="I94" s="39"/>
      <c r="J94" s="18">
        <v>150</v>
      </c>
      <c r="L94" s="44">
        <f>Table13456781011121314151617181920212223242526272830[[#This Row],[الدولار]]+(Table13456781011121314151617181920212223242526272830[[#This Row],[اللبناني]]/90)</f>
        <v>1.6666666666666667</v>
      </c>
      <c r="M94" s="6"/>
    </row>
    <row r="95" spans="8:19" s="11" customFormat="1" x14ac:dyDescent="0.3">
      <c r="H95" s="5" t="s">
        <v>434</v>
      </c>
      <c r="I95" s="39"/>
      <c r="J95" s="18">
        <v>180</v>
      </c>
      <c r="L95" s="44">
        <f>Table13456781011121314151617181920212223242526272830[[#This Row],[الدولار]]+(Table13456781011121314151617181920212223242526272830[[#This Row],[اللبناني]]/90)</f>
        <v>2</v>
      </c>
      <c r="M95" s="6"/>
    </row>
    <row r="96" spans="8:19" s="11" customFormat="1" x14ac:dyDescent="0.3">
      <c r="H96" s="5" t="s">
        <v>434</v>
      </c>
      <c r="I96" s="39"/>
      <c r="J96" s="18"/>
      <c r="K96" s="11">
        <v>134</v>
      </c>
      <c r="L96" s="44">
        <f>Table13456781011121314151617181920212223242526272830[[#This Row],[الدولار]]+(Table13456781011121314151617181920212223242526272830[[#This Row],[اللبناني]]/90)</f>
        <v>134</v>
      </c>
      <c r="M96" s="6"/>
    </row>
    <row r="97" spans="8:13" s="11" customFormat="1" x14ac:dyDescent="0.3">
      <c r="H97" s="5" t="s">
        <v>434</v>
      </c>
      <c r="I97" s="39"/>
      <c r="J97" s="18"/>
      <c r="K97" s="11">
        <v>10</v>
      </c>
      <c r="L97" s="44">
        <f>Table13456781011121314151617181920212223242526272830[[#This Row],[الدولار]]+(Table13456781011121314151617181920212223242526272830[[#This Row],[اللبناني]]/90)</f>
        <v>10</v>
      </c>
      <c r="M97" s="6"/>
    </row>
    <row r="98" spans="8:13" s="11" customFormat="1" x14ac:dyDescent="0.3">
      <c r="H98" s="5" t="s">
        <v>434</v>
      </c>
      <c r="I98" s="39"/>
      <c r="J98" s="18"/>
      <c r="K98" s="11">
        <v>70</v>
      </c>
      <c r="L98" s="44">
        <f>Table13456781011121314151617181920212223242526272830[[#This Row],[الدولار]]+(Table13456781011121314151617181920212223242526272830[[#This Row],[اللبناني]]/90)</f>
        <v>70</v>
      </c>
      <c r="M98" s="6"/>
    </row>
    <row r="99" spans="8:13" s="11" customFormat="1" x14ac:dyDescent="0.3">
      <c r="H99" s="5" t="s">
        <v>434</v>
      </c>
      <c r="I99" s="39"/>
      <c r="J99" s="18"/>
      <c r="K99" s="11">
        <v>110</v>
      </c>
      <c r="L99" s="44">
        <f>Table13456781011121314151617181920212223242526272830[[#This Row],[الدولار]]+(Table13456781011121314151617181920212223242526272830[[#This Row],[اللبناني]]/90)</f>
        <v>110</v>
      </c>
      <c r="M99" s="6"/>
    </row>
    <row r="100" spans="8:13" s="11" customFormat="1" x14ac:dyDescent="0.3">
      <c r="H100" s="5" t="s">
        <v>434</v>
      </c>
      <c r="I100" s="39"/>
      <c r="J100" s="18">
        <v>-200</v>
      </c>
      <c r="K100" s="11">
        <v>5</v>
      </c>
      <c r="L100" s="44">
        <f>Table13456781011121314151617181920212223242526272830[[#This Row],[الدولار]]+(Table13456781011121314151617181920212223242526272830[[#This Row],[اللبناني]]/90)</f>
        <v>2.7777777777777777</v>
      </c>
      <c r="M100" s="6"/>
    </row>
    <row r="101" spans="8:13" s="11" customFormat="1" x14ac:dyDescent="0.3">
      <c r="H101" s="5" t="s">
        <v>434</v>
      </c>
      <c r="I101" s="39"/>
      <c r="J101" s="18"/>
      <c r="K101" s="11">
        <v>35</v>
      </c>
      <c r="L101" s="44">
        <f>Table13456781011121314151617181920212223242526272830[[#This Row],[الدولار]]+(Table13456781011121314151617181920212223242526272830[[#This Row],[اللبناني]]/90)</f>
        <v>35</v>
      </c>
      <c r="M101" s="6"/>
    </row>
    <row r="102" spans="8:13" s="11" customFormat="1" x14ac:dyDescent="0.3">
      <c r="H102" s="5" t="s">
        <v>434</v>
      </c>
      <c r="I102" s="39"/>
      <c r="J102" s="18">
        <v>285</v>
      </c>
      <c r="K102" s="11">
        <v>60</v>
      </c>
      <c r="L102" s="44">
        <f>Table13456781011121314151617181920212223242526272830[[#This Row],[الدولار]]+(Table13456781011121314151617181920212223242526272830[[#This Row],[اللبناني]]/90)</f>
        <v>63.166666666666664</v>
      </c>
      <c r="M102" s="6"/>
    </row>
    <row r="103" spans="8:13" s="11" customFormat="1" x14ac:dyDescent="0.3">
      <c r="H103" s="5" t="s">
        <v>434</v>
      </c>
      <c r="I103" s="39"/>
      <c r="J103" s="18"/>
      <c r="K103" s="11">
        <v>-6</v>
      </c>
      <c r="L103" s="44">
        <f>Table13456781011121314151617181920212223242526272830[[#This Row],[الدولار]]+(Table13456781011121314151617181920212223242526272830[[#This Row],[اللبناني]]/90)</f>
        <v>-6</v>
      </c>
      <c r="M103" s="6"/>
    </row>
    <row r="104" spans="8:13" s="11" customFormat="1" x14ac:dyDescent="0.3">
      <c r="H104" s="5" t="s">
        <v>434</v>
      </c>
      <c r="I104" s="39"/>
      <c r="J104" s="18">
        <v>50</v>
      </c>
      <c r="L104" s="44">
        <f>Table13456781011121314151617181920212223242526272830[[#This Row],[الدولار]]+(Table13456781011121314151617181920212223242526272830[[#This Row],[اللبناني]]/90)</f>
        <v>0.55555555555555558</v>
      </c>
      <c r="M104" s="6"/>
    </row>
    <row r="105" spans="8:13" s="11" customFormat="1" x14ac:dyDescent="0.3">
      <c r="H105" s="5" t="s">
        <v>434</v>
      </c>
      <c r="I105" s="39"/>
      <c r="J105" s="18"/>
      <c r="K105" s="11">
        <v>80</v>
      </c>
      <c r="L105" s="44">
        <f>Table13456781011121314151617181920212223242526272830[[#This Row],[الدولار]]+(Table13456781011121314151617181920212223242526272830[[#This Row],[اللبناني]]/90)</f>
        <v>80</v>
      </c>
      <c r="M105" s="6"/>
    </row>
    <row r="106" spans="8:13" s="11" customFormat="1" x14ac:dyDescent="0.3">
      <c r="H106" s="5" t="s">
        <v>434</v>
      </c>
      <c r="I106" s="39"/>
      <c r="J106" s="18">
        <v>200</v>
      </c>
      <c r="L106" s="44">
        <f>Table13456781011121314151617181920212223242526272830[[#This Row],[الدولار]]+(Table13456781011121314151617181920212223242526272830[[#This Row],[اللبناني]]/90)</f>
        <v>2.2222222222222223</v>
      </c>
      <c r="M106" s="6"/>
    </row>
    <row r="107" spans="8:13" s="11" customFormat="1" x14ac:dyDescent="0.3">
      <c r="H107" s="5" t="s">
        <v>434</v>
      </c>
      <c r="I107" s="39"/>
      <c r="J107" s="18">
        <v>70</v>
      </c>
      <c r="L107" s="44">
        <f>Table13456781011121314151617181920212223242526272830[[#This Row],[الدولار]]+(Table13456781011121314151617181920212223242526272830[[#This Row],[اللبناني]]/90)</f>
        <v>0.77777777777777779</v>
      </c>
      <c r="M107" s="6"/>
    </row>
    <row r="108" spans="8:13" s="11" customFormat="1" x14ac:dyDescent="0.3">
      <c r="H108" s="5" t="s">
        <v>434</v>
      </c>
      <c r="I108" s="39"/>
      <c r="J108" s="18"/>
      <c r="K108" s="11">
        <v>1</v>
      </c>
      <c r="L108" s="44">
        <f>Table13456781011121314151617181920212223242526272830[[#This Row],[الدولار]]+(Table13456781011121314151617181920212223242526272830[[#This Row],[اللبناني]]/90)</f>
        <v>1</v>
      </c>
      <c r="M108" s="6"/>
    </row>
    <row r="109" spans="8:13" s="11" customFormat="1" x14ac:dyDescent="0.3">
      <c r="H109" s="5" t="s">
        <v>434</v>
      </c>
      <c r="I109" s="39"/>
      <c r="J109" s="18">
        <v>500</v>
      </c>
      <c r="L109" s="44">
        <f>Table13456781011121314151617181920212223242526272830[[#This Row],[الدولار]]+(Table13456781011121314151617181920212223242526272830[[#This Row],[اللبناني]]/90)</f>
        <v>5.5555555555555554</v>
      </c>
      <c r="M109" s="6"/>
    </row>
    <row r="110" spans="8:13" s="11" customFormat="1" x14ac:dyDescent="0.3">
      <c r="H110" s="5" t="s">
        <v>435</v>
      </c>
      <c r="I110" s="39" t="s">
        <v>541</v>
      </c>
      <c r="J110" s="18"/>
      <c r="K110" s="11">
        <v>-75</v>
      </c>
      <c r="L110" s="44">
        <f>Table13456781011121314151617181920212223242526272830[[#This Row],[الدولار]]+(Table13456781011121314151617181920212223242526272830[[#This Row],[اللبناني]]/90)</f>
        <v>-75</v>
      </c>
      <c r="M110" s="6"/>
    </row>
    <row r="111" spans="8:13" s="11" customFormat="1" x14ac:dyDescent="0.3">
      <c r="H111" s="5" t="s">
        <v>435</v>
      </c>
      <c r="I111" s="39" t="s">
        <v>70</v>
      </c>
      <c r="J111" s="18">
        <v>-300</v>
      </c>
      <c r="L111" s="44">
        <f>Table13456781011121314151617181920212223242526272830[[#This Row],[الدولار]]+(Table13456781011121314151617181920212223242526272830[[#This Row],[اللبناني]]/90)</f>
        <v>-3.3333333333333335</v>
      </c>
      <c r="M111" s="6"/>
    </row>
    <row r="112" spans="8:13" s="11" customFormat="1" x14ac:dyDescent="0.3">
      <c r="H112" s="5" t="s">
        <v>434</v>
      </c>
      <c r="I112" s="39" t="s">
        <v>463</v>
      </c>
      <c r="J112" s="18"/>
      <c r="K112" s="11">
        <v>12</v>
      </c>
      <c r="L112" s="44">
        <f>Table13456781011121314151617181920212223242526272830[[#This Row],[الدولار]]+(Table13456781011121314151617181920212223242526272830[[#This Row],[اللبناني]]/90)</f>
        <v>12</v>
      </c>
      <c r="M112" s="6"/>
    </row>
    <row r="113" spans="8:19" s="11" customFormat="1" x14ac:dyDescent="0.3">
      <c r="H113" s="5" t="s">
        <v>434</v>
      </c>
      <c r="I113" s="39" t="s">
        <v>543</v>
      </c>
      <c r="J113" s="18"/>
      <c r="K113" s="11">
        <v>100</v>
      </c>
      <c r="L113" s="44">
        <f>Table13456781011121314151617181920212223242526272830[[#This Row],[الدولار]]+(Table13456781011121314151617181920212223242526272830[[#This Row],[اللبناني]]/90)</f>
        <v>100</v>
      </c>
      <c r="M113" s="6"/>
    </row>
    <row r="114" spans="8:19" s="11" customFormat="1" x14ac:dyDescent="0.3">
      <c r="H114" s="5" t="s">
        <v>434</v>
      </c>
      <c r="I114" s="39" t="s">
        <v>544</v>
      </c>
      <c r="J114" s="18">
        <v>60</v>
      </c>
      <c r="L114" s="44">
        <f>Table13456781011121314151617181920212223242526272830[[#This Row],[الدولار]]+(Table13456781011121314151617181920212223242526272830[[#This Row],[اللبناني]]/90)</f>
        <v>0.66666666666666663</v>
      </c>
      <c r="M114" s="6"/>
    </row>
    <row r="115" spans="8:19" s="11" customFormat="1" x14ac:dyDescent="0.3">
      <c r="H115" s="5" t="s">
        <v>434</v>
      </c>
      <c r="I115" s="39" t="s">
        <v>545</v>
      </c>
      <c r="J115" s="18">
        <v>-450</v>
      </c>
      <c r="K115" s="11">
        <v>70</v>
      </c>
      <c r="L115" s="44">
        <f>Table13456781011121314151617181920212223242526272830[[#This Row],[الدولار]]+(Table13456781011121314151617181920212223242526272830[[#This Row],[اللبناني]]/90)</f>
        <v>65</v>
      </c>
      <c r="M115" s="6"/>
      <c r="N115" s="11" t="s">
        <v>193</v>
      </c>
      <c r="P115" s="11">
        <v>6845</v>
      </c>
      <c r="S115" s="11">
        <v>7590</v>
      </c>
    </row>
    <row r="116" spans="8:19" s="11" customFormat="1" x14ac:dyDescent="0.3">
      <c r="H116" s="5" t="s">
        <v>434</v>
      </c>
      <c r="I116" s="39" t="s">
        <v>458</v>
      </c>
      <c r="J116" s="18"/>
      <c r="K116" s="11">
        <v>7</v>
      </c>
      <c r="L116" s="44">
        <f>Table13456781011121314151617181920212223242526272830[[#This Row],[الدولار]]+(Table13456781011121314151617181920212223242526272830[[#This Row],[اللبناني]]/90)</f>
        <v>7</v>
      </c>
      <c r="M116" s="6"/>
    </row>
    <row r="117" spans="8:19" s="11" customFormat="1" x14ac:dyDescent="0.3">
      <c r="H117" s="5" t="s">
        <v>434</v>
      </c>
      <c r="I117" s="39" t="s">
        <v>546</v>
      </c>
      <c r="J117" s="18"/>
      <c r="K117" s="11">
        <v>17</v>
      </c>
      <c r="L117" s="44">
        <f>Table13456781011121314151617181920212223242526272830[[#This Row],[الدولار]]+(Table13456781011121314151617181920212223242526272830[[#This Row],[اللبناني]]/90)</f>
        <v>17</v>
      </c>
      <c r="M117" s="6"/>
    </row>
    <row r="118" spans="8:19" s="11" customFormat="1" x14ac:dyDescent="0.3">
      <c r="H118" s="5" t="s">
        <v>434</v>
      </c>
      <c r="I118" s="39"/>
      <c r="J118" s="18"/>
      <c r="L118" s="44">
        <f>Table13456781011121314151617181920212223242526272830[[#This Row],[الدولار]]+(Table13456781011121314151617181920212223242526272830[[#This Row],[اللبناني]]/90)</f>
        <v>0</v>
      </c>
      <c r="M118" s="6"/>
    </row>
    <row r="119" spans="8:19" s="11" customFormat="1" x14ac:dyDescent="0.3">
      <c r="H119" s="5" t="s">
        <v>434</v>
      </c>
      <c r="I119" s="39"/>
      <c r="J119" s="18"/>
      <c r="L119" s="44">
        <f>Table13456781011121314151617181920212223242526272830[[#This Row],[الدولار]]+(Table13456781011121314151617181920212223242526272830[[#This Row],[اللبناني]]/90)</f>
        <v>0</v>
      </c>
      <c r="M119" s="6"/>
    </row>
    <row r="120" spans="8:19" s="11" customFormat="1" x14ac:dyDescent="0.3">
      <c r="H120" s="5" t="s">
        <v>434</v>
      </c>
      <c r="I120" s="39"/>
      <c r="J120" s="18"/>
      <c r="L120" s="44">
        <f>Table13456781011121314151617181920212223242526272830[[#This Row],[الدولار]]+(Table13456781011121314151617181920212223242526272830[[#This Row],[اللبناني]]/90)</f>
        <v>0</v>
      </c>
      <c r="M120" s="6"/>
    </row>
    <row r="121" spans="8:19" s="11" customFormat="1" x14ac:dyDescent="0.3">
      <c r="H121" s="5" t="s">
        <v>434</v>
      </c>
      <c r="I121" s="39"/>
      <c r="J121" s="18"/>
      <c r="L121" s="44">
        <f>Table13456781011121314151617181920212223242526272830[[#This Row],[الدولار]]+(Table13456781011121314151617181920212223242526272830[[#This Row],[اللبناني]]/90)</f>
        <v>0</v>
      </c>
      <c r="M121" s="6"/>
    </row>
    <row r="122" spans="8:19" s="11" customFormat="1" x14ac:dyDescent="0.3">
      <c r="H122" s="5" t="s">
        <v>434</v>
      </c>
      <c r="I122" s="39"/>
      <c r="J122" s="18"/>
      <c r="L122" s="44">
        <f>Table13456781011121314151617181920212223242526272830[[#This Row],[الدولار]]+(Table13456781011121314151617181920212223242526272830[[#This Row],[اللبناني]]/90)</f>
        <v>0</v>
      </c>
      <c r="M122" s="6"/>
    </row>
    <row r="123" spans="8:19" s="11" customFormat="1" x14ac:dyDescent="0.3">
      <c r="H123" s="5" t="s">
        <v>434</v>
      </c>
      <c r="I123" s="39"/>
      <c r="J123" s="18"/>
      <c r="L123" s="44">
        <f>Table13456781011121314151617181920212223242526272830[[#This Row],[الدولار]]+(Table13456781011121314151617181920212223242526272830[[#This Row],[اللبناني]]/90)</f>
        <v>0</v>
      </c>
      <c r="M123" s="6"/>
    </row>
    <row r="124" spans="8:19" s="11" customFormat="1" x14ac:dyDescent="0.3">
      <c r="H124" s="5" t="s">
        <v>434</v>
      </c>
      <c r="I124" s="39"/>
      <c r="J124" s="18"/>
      <c r="L124" s="44">
        <f>Table13456781011121314151617181920212223242526272830[[#This Row],[الدولار]]+(Table13456781011121314151617181920212223242526272830[[#This Row],[اللبناني]]/90)</f>
        <v>0</v>
      </c>
      <c r="M124" s="6"/>
    </row>
    <row r="125" spans="8:19" s="11" customFormat="1" x14ac:dyDescent="0.3">
      <c r="H125" s="5" t="s">
        <v>434</v>
      </c>
      <c r="I125" s="39"/>
      <c r="J125" s="18"/>
      <c r="L125" s="44">
        <f>Table13456781011121314151617181920212223242526272830[[#This Row],[الدولار]]+(Table13456781011121314151617181920212223242526272830[[#This Row],[اللبناني]]/90)</f>
        <v>0</v>
      </c>
      <c r="M125" s="6"/>
    </row>
    <row r="126" spans="8:19" s="11" customFormat="1" x14ac:dyDescent="0.3">
      <c r="H126" s="5" t="s">
        <v>434</v>
      </c>
      <c r="I126" s="39"/>
      <c r="J126" s="18"/>
      <c r="L126" s="44">
        <f>Table13456781011121314151617181920212223242526272830[[#This Row],[الدولار]]+(Table13456781011121314151617181920212223242526272830[[#This Row],[اللبناني]]/90)</f>
        <v>0</v>
      </c>
      <c r="M126" s="6"/>
    </row>
    <row r="127" spans="8:19" s="11" customFormat="1" x14ac:dyDescent="0.3">
      <c r="H127" s="5" t="s">
        <v>434</v>
      </c>
      <c r="I127" s="39"/>
      <c r="J127" s="18"/>
      <c r="L127" s="44">
        <f>Table13456781011121314151617181920212223242526272830[[#This Row],[الدولار]]+(Table13456781011121314151617181920212223242526272830[[#This Row],[اللبناني]]/90)</f>
        <v>0</v>
      </c>
      <c r="M127" s="6"/>
    </row>
    <row r="128" spans="8:19" s="11" customFormat="1" x14ac:dyDescent="0.3">
      <c r="H128" s="5" t="s">
        <v>434</v>
      </c>
      <c r="I128" s="39"/>
      <c r="J128" s="18"/>
      <c r="L128" s="44">
        <f>Table13456781011121314151617181920212223242526272830[[#This Row],[الدولار]]+(Table13456781011121314151617181920212223242526272830[[#This Row],[اللبناني]]/90)</f>
        <v>0</v>
      </c>
      <c r="M128" s="6"/>
    </row>
    <row r="129" spans="8:13" s="11" customFormat="1" x14ac:dyDescent="0.3">
      <c r="H129" s="5" t="s">
        <v>434</v>
      </c>
      <c r="I129" s="39"/>
      <c r="J129" s="18"/>
      <c r="L129" s="44">
        <f>Table13456781011121314151617181920212223242526272830[[#This Row],[الدولار]]+(Table13456781011121314151617181920212223242526272830[[#This Row],[اللبناني]]/90)</f>
        <v>0</v>
      </c>
      <c r="M129" s="6"/>
    </row>
    <row r="130" spans="8:13" s="11" customFormat="1" x14ac:dyDescent="0.3">
      <c r="H130" s="5" t="s">
        <v>434</v>
      </c>
      <c r="I130" s="39"/>
      <c r="J130" s="18"/>
      <c r="L130" s="44">
        <f>Table13456781011121314151617181920212223242526272830[[#This Row],[الدولار]]+(Table13456781011121314151617181920212223242526272830[[#This Row],[اللبناني]]/90)</f>
        <v>0</v>
      </c>
      <c r="M130" s="6"/>
    </row>
    <row r="131" spans="8:13" s="11" customFormat="1" x14ac:dyDescent="0.3">
      <c r="H131" s="5" t="s">
        <v>434</v>
      </c>
      <c r="I131" s="39"/>
      <c r="J131" s="18"/>
      <c r="L131" s="44">
        <f>Table13456781011121314151617181920212223242526272830[[#This Row],[الدولار]]+(Table13456781011121314151617181920212223242526272830[[#This Row],[اللبناني]]/90)</f>
        <v>0</v>
      </c>
      <c r="M131" s="6"/>
    </row>
    <row r="132" spans="8:13" s="11" customFormat="1" x14ac:dyDescent="0.3">
      <c r="H132" s="5" t="s">
        <v>434</v>
      </c>
      <c r="I132" s="39"/>
      <c r="J132" s="18"/>
      <c r="L132" s="44">
        <f>Table13456781011121314151617181920212223242526272830[[#This Row],[الدولار]]+(Table13456781011121314151617181920212223242526272830[[#This Row],[اللبناني]]/90)</f>
        <v>0</v>
      </c>
      <c r="M132" s="6"/>
    </row>
    <row r="133" spans="8:13" s="11" customFormat="1" x14ac:dyDescent="0.3">
      <c r="H133" s="5" t="s">
        <v>434</v>
      </c>
      <c r="I133" s="39"/>
      <c r="J133" s="18"/>
      <c r="L133" s="44">
        <f>Table13456781011121314151617181920212223242526272830[[#This Row],[الدولار]]+(Table13456781011121314151617181920212223242526272830[[#This Row],[اللبناني]]/90)</f>
        <v>0</v>
      </c>
      <c r="M133" s="6"/>
    </row>
    <row r="134" spans="8:13" s="11" customFormat="1" x14ac:dyDescent="0.3">
      <c r="H134" s="5" t="s">
        <v>434</v>
      </c>
      <c r="I134" s="39"/>
      <c r="J134" s="18"/>
      <c r="L134" s="44">
        <f>Table13456781011121314151617181920212223242526272830[[#This Row],[الدولار]]+(Table13456781011121314151617181920212223242526272830[[#This Row],[اللبناني]]/90)</f>
        <v>0</v>
      </c>
      <c r="M134" s="6"/>
    </row>
    <row r="135" spans="8:13" s="11" customFormat="1" x14ac:dyDescent="0.3">
      <c r="H135" s="5" t="s">
        <v>434</v>
      </c>
      <c r="I135" s="39"/>
      <c r="J135" s="18"/>
      <c r="L135" s="44">
        <f>Table13456781011121314151617181920212223242526272830[[#This Row],[الدولار]]+(Table13456781011121314151617181920212223242526272830[[#This Row],[اللبناني]]/90)</f>
        <v>0</v>
      </c>
      <c r="M135" s="6"/>
    </row>
    <row r="136" spans="8:13" s="11" customFormat="1" x14ac:dyDescent="0.3">
      <c r="H136" s="5" t="s">
        <v>434</v>
      </c>
      <c r="I136" s="39"/>
      <c r="J136" s="18"/>
      <c r="L136" s="44">
        <f>Table13456781011121314151617181920212223242526272830[[#This Row],[الدولار]]+(Table13456781011121314151617181920212223242526272830[[#This Row],[اللبناني]]/90)</f>
        <v>0</v>
      </c>
      <c r="M136" s="6"/>
    </row>
    <row r="137" spans="8:13" s="11" customFormat="1" x14ac:dyDescent="0.3">
      <c r="H137" s="5" t="s">
        <v>434</v>
      </c>
      <c r="I137" s="39"/>
      <c r="J137" s="18"/>
      <c r="L137" s="44">
        <f>Table13456781011121314151617181920212223242526272830[[#This Row],[الدولار]]+(Table13456781011121314151617181920212223242526272830[[#This Row],[اللبناني]]/90)</f>
        <v>0</v>
      </c>
      <c r="M137" s="6"/>
    </row>
    <row r="138" spans="8:13" s="11" customFormat="1" x14ac:dyDescent="0.3">
      <c r="H138" s="5" t="s">
        <v>434</v>
      </c>
      <c r="I138" s="39"/>
      <c r="J138" s="18"/>
      <c r="L138" s="44">
        <f>Table13456781011121314151617181920212223242526272830[[#This Row],[الدولار]]+(Table13456781011121314151617181920212223242526272830[[#This Row],[اللبناني]]/90)</f>
        <v>0</v>
      </c>
      <c r="M138" s="6"/>
    </row>
    <row r="139" spans="8:13" s="11" customFormat="1" x14ac:dyDescent="0.3">
      <c r="H139" s="5" t="s">
        <v>434</v>
      </c>
      <c r="I139" s="39"/>
      <c r="J139" s="18"/>
      <c r="L139" s="44">
        <f>Table13456781011121314151617181920212223242526272830[[#This Row],[الدولار]]+(Table13456781011121314151617181920212223242526272830[[#This Row],[اللبناني]]/90)</f>
        <v>0</v>
      </c>
      <c r="M139" s="6"/>
    </row>
    <row r="140" spans="8:13" s="11" customFormat="1" x14ac:dyDescent="0.3">
      <c r="H140" s="5" t="s">
        <v>434</v>
      </c>
      <c r="I140" s="39"/>
      <c r="J140" s="18"/>
      <c r="L140" s="44">
        <f>Table13456781011121314151617181920212223242526272830[[#This Row],[الدولار]]+(Table13456781011121314151617181920212223242526272830[[#This Row],[اللبناني]]/90)</f>
        <v>0</v>
      </c>
      <c r="M140" s="6"/>
    </row>
    <row r="141" spans="8:13" s="11" customFormat="1" x14ac:dyDescent="0.3">
      <c r="H141" s="5" t="s">
        <v>434</v>
      </c>
      <c r="I141" s="39"/>
      <c r="J141" s="18"/>
      <c r="L141" s="44">
        <f>Table13456781011121314151617181920212223242526272830[[#This Row],[الدولار]]+(Table13456781011121314151617181920212223242526272830[[#This Row],[اللبناني]]/90)</f>
        <v>0</v>
      </c>
      <c r="M141" s="6"/>
    </row>
    <row r="142" spans="8:13" s="11" customFormat="1" x14ac:dyDescent="0.3">
      <c r="H142" s="5" t="s">
        <v>434</v>
      </c>
      <c r="I142" s="39"/>
      <c r="J142" s="18"/>
      <c r="L142" s="44">
        <f>Table13456781011121314151617181920212223242526272830[[#This Row],[الدولار]]+(Table13456781011121314151617181920212223242526272830[[#This Row],[اللبناني]]/90)</f>
        <v>0</v>
      </c>
      <c r="M142" s="6"/>
    </row>
    <row r="143" spans="8:13" s="11" customFormat="1" x14ac:dyDescent="0.3">
      <c r="H143" s="5" t="s">
        <v>434</v>
      </c>
      <c r="I143" s="39"/>
      <c r="J143" s="18"/>
      <c r="L143" s="44">
        <f>Table13456781011121314151617181920212223242526272830[[#This Row],[الدولار]]+(Table13456781011121314151617181920212223242526272830[[#This Row],[اللبناني]]/90)</f>
        <v>0</v>
      </c>
      <c r="M143" s="6"/>
    </row>
    <row r="144" spans="8:13" s="11" customFormat="1" x14ac:dyDescent="0.3">
      <c r="H144" s="5" t="s">
        <v>434</v>
      </c>
      <c r="I144" s="39"/>
      <c r="J144" s="18"/>
      <c r="L144" s="44">
        <f>Table13456781011121314151617181920212223242526272830[[#This Row],[الدولار]]+(Table13456781011121314151617181920212223242526272830[[#This Row],[اللبناني]]/90)</f>
        <v>0</v>
      </c>
      <c r="M144" s="6"/>
    </row>
    <row r="145" spans="8:13" s="11" customFormat="1" x14ac:dyDescent="0.3">
      <c r="H145" s="5" t="s">
        <v>434</v>
      </c>
      <c r="I145" s="39"/>
      <c r="J145" s="18"/>
      <c r="L145" s="44">
        <f>Table13456781011121314151617181920212223242526272830[[#This Row],[الدولار]]+(Table13456781011121314151617181920212223242526272830[[#This Row],[اللبناني]]/90)</f>
        <v>0</v>
      </c>
      <c r="M145" s="6"/>
    </row>
    <row r="146" spans="8:13" s="11" customFormat="1" x14ac:dyDescent="0.3">
      <c r="H146" s="5" t="s">
        <v>434</v>
      </c>
      <c r="I146" s="39"/>
      <c r="J146" s="18"/>
      <c r="L146" s="44">
        <f>Table13456781011121314151617181920212223242526272830[[#This Row],[الدولار]]+(Table13456781011121314151617181920212223242526272830[[#This Row],[اللبناني]]/90)</f>
        <v>0</v>
      </c>
      <c r="M146" s="6"/>
    </row>
    <row r="147" spans="8:13" s="11" customFormat="1" x14ac:dyDescent="0.3">
      <c r="H147" s="5" t="s">
        <v>434</v>
      </c>
      <c r="I147" s="39"/>
      <c r="J147" s="18"/>
      <c r="L147" s="44">
        <f>Table13456781011121314151617181920212223242526272830[[#This Row],[الدولار]]+(Table13456781011121314151617181920212223242526272830[[#This Row],[اللبناني]]/90)</f>
        <v>0</v>
      </c>
      <c r="M147" s="6"/>
    </row>
    <row r="148" spans="8:13" s="11" customFormat="1" x14ac:dyDescent="0.3">
      <c r="H148" s="5" t="s">
        <v>434</v>
      </c>
      <c r="I148" s="39"/>
      <c r="J148" s="18"/>
      <c r="L148" s="44">
        <f>Table13456781011121314151617181920212223242526272830[[#This Row],[الدولار]]+(Table13456781011121314151617181920212223242526272830[[#This Row],[اللبناني]]/90)</f>
        <v>0</v>
      </c>
      <c r="M148" s="6"/>
    </row>
    <row r="149" spans="8:13" s="11" customFormat="1" x14ac:dyDescent="0.3">
      <c r="H149" s="5" t="s">
        <v>434</v>
      </c>
      <c r="I149" s="39"/>
      <c r="J149" s="18"/>
      <c r="L149" s="44">
        <f>Table13456781011121314151617181920212223242526272830[[#This Row],[الدولار]]+(Table13456781011121314151617181920212223242526272830[[#This Row],[اللبناني]]/90)</f>
        <v>0</v>
      </c>
      <c r="M149" s="6"/>
    </row>
    <row r="150" spans="8:13" s="11" customFormat="1" x14ac:dyDescent="0.3">
      <c r="H150" s="5" t="s">
        <v>434</v>
      </c>
      <c r="I150" s="39"/>
      <c r="J150" s="18"/>
      <c r="L150" s="44">
        <f>Table13456781011121314151617181920212223242526272830[[#This Row],[الدولار]]+(Table13456781011121314151617181920212223242526272830[[#This Row],[اللبناني]]/90)</f>
        <v>0</v>
      </c>
      <c r="M150" s="6"/>
    </row>
    <row r="151" spans="8:13" s="11" customFormat="1" x14ac:dyDescent="0.3">
      <c r="H151" s="5" t="s">
        <v>434</v>
      </c>
      <c r="I151" s="39"/>
      <c r="J151" s="18"/>
      <c r="L151" s="44">
        <f>Table13456781011121314151617181920212223242526272830[[#This Row],[الدولار]]+(Table13456781011121314151617181920212223242526272830[[#This Row],[اللبناني]]/90)</f>
        <v>0</v>
      </c>
      <c r="M151" s="6"/>
    </row>
    <row r="152" spans="8:13" s="11" customFormat="1" x14ac:dyDescent="0.3">
      <c r="H152" s="5" t="s">
        <v>434</v>
      </c>
      <c r="I152" s="39"/>
      <c r="J152" s="18"/>
      <c r="L152" s="44">
        <f>Table13456781011121314151617181920212223242526272830[[#This Row],[الدولار]]+(Table13456781011121314151617181920212223242526272830[[#This Row],[اللبناني]]/90)</f>
        <v>0</v>
      </c>
      <c r="M152" s="6"/>
    </row>
    <row r="153" spans="8:13" s="11" customFormat="1" x14ac:dyDescent="0.3">
      <c r="H153" s="5" t="s">
        <v>434</v>
      </c>
      <c r="I153" s="39"/>
      <c r="J153" s="18"/>
      <c r="L153" s="44">
        <f>Table13456781011121314151617181920212223242526272830[[#This Row],[الدولار]]+(Table13456781011121314151617181920212223242526272830[[#This Row],[اللبناني]]/90)</f>
        <v>0</v>
      </c>
      <c r="M153" s="6"/>
    </row>
    <row r="154" spans="8:13" s="11" customFormat="1" x14ac:dyDescent="0.3">
      <c r="H154" s="5" t="s">
        <v>434</v>
      </c>
      <c r="I154" s="39"/>
      <c r="J154" s="18"/>
      <c r="L154" s="44">
        <f>Table13456781011121314151617181920212223242526272830[[#This Row],[الدولار]]+(Table13456781011121314151617181920212223242526272830[[#This Row],[اللبناني]]/90)</f>
        <v>0</v>
      </c>
      <c r="M154" s="6"/>
    </row>
    <row r="155" spans="8:13" s="11" customFormat="1" x14ac:dyDescent="0.3">
      <c r="H155" s="5" t="s">
        <v>434</v>
      </c>
      <c r="I155" s="39"/>
      <c r="J155" s="18"/>
      <c r="L155" s="44">
        <f>Table13456781011121314151617181920212223242526272830[[#This Row],[الدولار]]+(Table13456781011121314151617181920212223242526272830[[#This Row],[اللبناني]]/90)</f>
        <v>0</v>
      </c>
      <c r="M155" s="6"/>
    </row>
    <row r="156" spans="8:13" s="11" customFormat="1" x14ac:dyDescent="0.3">
      <c r="H156" s="5" t="s">
        <v>434</v>
      </c>
      <c r="I156" s="39"/>
      <c r="J156" s="18"/>
      <c r="L156" s="44">
        <f>Table13456781011121314151617181920212223242526272830[[#This Row],[الدولار]]+(Table13456781011121314151617181920212223242526272830[[#This Row],[اللبناني]]/90)</f>
        <v>0</v>
      </c>
      <c r="M156" s="6"/>
    </row>
    <row r="157" spans="8:13" s="11" customFormat="1" x14ac:dyDescent="0.3">
      <c r="H157" s="5" t="s">
        <v>434</v>
      </c>
      <c r="I157" s="39"/>
      <c r="J157" s="18"/>
      <c r="L157" s="44">
        <f>Table13456781011121314151617181920212223242526272830[[#This Row],[الدولار]]+(Table13456781011121314151617181920212223242526272830[[#This Row],[اللبناني]]/90)</f>
        <v>0</v>
      </c>
      <c r="M157" s="6"/>
    </row>
    <row r="158" spans="8:13" s="11" customFormat="1" x14ac:dyDescent="0.3">
      <c r="H158" s="5" t="s">
        <v>434</v>
      </c>
      <c r="I158" s="39"/>
      <c r="J158" s="18"/>
      <c r="L158" s="44">
        <f>Table13456781011121314151617181920212223242526272830[[#This Row],[الدولار]]+(Table13456781011121314151617181920212223242526272830[[#This Row],[اللبناني]]/90)</f>
        <v>0</v>
      </c>
      <c r="M158" s="6"/>
    </row>
    <row r="159" spans="8:13" s="11" customFormat="1" x14ac:dyDescent="0.3">
      <c r="H159" s="5" t="s">
        <v>434</v>
      </c>
      <c r="I159" s="39"/>
      <c r="J159" s="18"/>
      <c r="L159" s="44">
        <f>Table13456781011121314151617181920212223242526272830[[#This Row],[الدولار]]+(Table13456781011121314151617181920212223242526272830[[#This Row],[اللبناني]]/90)</f>
        <v>0</v>
      </c>
      <c r="M159" s="6"/>
    </row>
    <row r="160" spans="8:13" s="11" customFormat="1" x14ac:dyDescent="0.3">
      <c r="H160" s="5" t="s">
        <v>434</v>
      </c>
      <c r="I160" s="39"/>
      <c r="J160" s="18"/>
      <c r="L160" s="44">
        <f>Table13456781011121314151617181920212223242526272830[[#This Row],[الدولار]]+(Table13456781011121314151617181920212223242526272830[[#This Row],[اللبناني]]/90)</f>
        <v>0</v>
      </c>
      <c r="M160" s="6"/>
    </row>
    <row r="161" spans="8:13" s="11" customFormat="1" x14ac:dyDescent="0.3">
      <c r="H161" s="5" t="s">
        <v>434</v>
      </c>
      <c r="I161" s="39"/>
      <c r="J161" s="18"/>
      <c r="L161" s="44">
        <f>Table13456781011121314151617181920212223242526272830[[#This Row],[الدولار]]+(Table13456781011121314151617181920212223242526272830[[#This Row],[اللبناني]]/90)</f>
        <v>0</v>
      </c>
      <c r="M161" s="6"/>
    </row>
    <row r="162" spans="8:13" s="11" customFormat="1" x14ac:dyDescent="0.3">
      <c r="H162" s="5" t="s">
        <v>434</v>
      </c>
      <c r="I162" s="39"/>
      <c r="J162" s="18"/>
      <c r="L162" s="44">
        <f>Table13456781011121314151617181920212223242526272830[[#This Row],[الدولار]]+(Table13456781011121314151617181920212223242526272830[[#This Row],[اللبناني]]/90)</f>
        <v>0</v>
      </c>
      <c r="M162" s="6"/>
    </row>
    <row r="163" spans="8:13" s="11" customFormat="1" x14ac:dyDescent="0.3">
      <c r="H163" s="5" t="s">
        <v>434</v>
      </c>
      <c r="I163" s="39"/>
      <c r="J163" s="18"/>
      <c r="L163" s="44">
        <f>Table13456781011121314151617181920212223242526272830[[#This Row],[الدولار]]+(Table13456781011121314151617181920212223242526272830[[#This Row],[اللبناني]]/90)</f>
        <v>0</v>
      </c>
      <c r="M163" s="6"/>
    </row>
    <row r="164" spans="8:13" s="11" customFormat="1" x14ac:dyDescent="0.3">
      <c r="H164" s="5" t="s">
        <v>434</v>
      </c>
      <c r="I164" s="39"/>
      <c r="J164" s="18"/>
      <c r="L164" s="44">
        <f>Table13456781011121314151617181920212223242526272830[[#This Row],[الدولار]]+(Table13456781011121314151617181920212223242526272830[[#This Row],[اللبناني]]/90)</f>
        <v>0</v>
      </c>
      <c r="M164" s="6"/>
    </row>
    <row r="165" spans="8:13" s="11" customFormat="1" x14ac:dyDescent="0.3">
      <c r="H165" s="5" t="s">
        <v>434</v>
      </c>
      <c r="I165" s="39"/>
      <c r="J165" s="18"/>
      <c r="L165" s="44">
        <f>Table13456781011121314151617181920212223242526272830[[#This Row],[الدولار]]+(Table13456781011121314151617181920212223242526272830[[#This Row],[اللبناني]]/90)</f>
        <v>0</v>
      </c>
      <c r="M165" s="6"/>
    </row>
    <row r="166" spans="8:13" s="11" customFormat="1" x14ac:dyDescent="0.3">
      <c r="H166" s="5" t="s">
        <v>434</v>
      </c>
      <c r="I166" s="39"/>
      <c r="J166" s="18"/>
      <c r="L166" s="44">
        <f>Table13456781011121314151617181920212223242526272830[[#This Row],[الدولار]]+(Table13456781011121314151617181920212223242526272830[[#This Row],[اللبناني]]/90)</f>
        <v>0</v>
      </c>
      <c r="M166" s="6"/>
    </row>
    <row r="167" spans="8:13" s="11" customFormat="1" x14ac:dyDescent="0.3">
      <c r="H167" s="5" t="s">
        <v>434</v>
      </c>
      <c r="I167" s="39"/>
      <c r="J167" s="18"/>
      <c r="L167" s="44">
        <f>Table13456781011121314151617181920212223242526272830[[#This Row],[الدولار]]+(Table13456781011121314151617181920212223242526272830[[#This Row],[اللبناني]]/90)</f>
        <v>0</v>
      </c>
      <c r="M167" s="6"/>
    </row>
    <row r="168" spans="8:13" s="11" customFormat="1" x14ac:dyDescent="0.3">
      <c r="H168" s="5" t="s">
        <v>434</v>
      </c>
      <c r="I168" s="39"/>
      <c r="J168" s="18"/>
      <c r="L168" s="44">
        <f>Table13456781011121314151617181920212223242526272830[[#This Row],[الدولار]]+(Table13456781011121314151617181920212223242526272830[[#This Row],[اللبناني]]/90)</f>
        <v>0</v>
      </c>
      <c r="M168" s="6"/>
    </row>
    <row r="169" spans="8:13" s="11" customFormat="1" x14ac:dyDescent="0.3">
      <c r="H169" s="5" t="s">
        <v>434</v>
      </c>
      <c r="I169" s="39"/>
      <c r="J169" s="18"/>
      <c r="L169" s="44">
        <f>Table13456781011121314151617181920212223242526272830[[#This Row],[الدولار]]+(Table13456781011121314151617181920212223242526272830[[#This Row],[اللبناني]]/90)</f>
        <v>0</v>
      </c>
      <c r="M169" s="6"/>
    </row>
    <row r="170" spans="8:13" s="11" customFormat="1" x14ac:dyDescent="0.3">
      <c r="H170" s="5" t="s">
        <v>434</v>
      </c>
      <c r="I170" s="39"/>
      <c r="J170" s="18"/>
      <c r="L170" s="44">
        <f>Table13456781011121314151617181920212223242526272830[[#This Row],[الدولار]]+(Table13456781011121314151617181920212223242526272830[[#This Row],[اللبناني]]/90)</f>
        <v>0</v>
      </c>
      <c r="M170" s="6"/>
    </row>
    <row r="171" spans="8:13" s="11" customFormat="1" x14ac:dyDescent="0.3">
      <c r="H171" s="5" t="s">
        <v>434</v>
      </c>
      <c r="I171" s="39"/>
      <c r="J171" s="18"/>
      <c r="L171" s="44">
        <f>Table13456781011121314151617181920212223242526272830[[#This Row],[الدولار]]+(Table13456781011121314151617181920212223242526272830[[#This Row],[اللبناني]]/90)</f>
        <v>0</v>
      </c>
      <c r="M171" s="6"/>
    </row>
    <row r="172" spans="8:13" s="11" customFormat="1" x14ac:dyDescent="0.3">
      <c r="H172" s="5" t="s">
        <v>434</v>
      </c>
      <c r="I172" s="39"/>
      <c r="J172" s="18"/>
      <c r="L172" s="44">
        <f>Table13456781011121314151617181920212223242526272830[[#This Row],[الدولار]]+(Table13456781011121314151617181920212223242526272830[[#This Row],[اللبناني]]/90)</f>
        <v>0</v>
      </c>
      <c r="M172" s="6"/>
    </row>
    <row r="173" spans="8:13" s="11" customFormat="1" x14ac:dyDescent="0.3">
      <c r="H173" s="5" t="s">
        <v>434</v>
      </c>
      <c r="I173" s="39"/>
      <c r="J173" s="18"/>
      <c r="L173" s="44">
        <f>Table13456781011121314151617181920212223242526272830[[#This Row],[الدولار]]+(Table13456781011121314151617181920212223242526272830[[#This Row],[اللبناني]]/90)</f>
        <v>0</v>
      </c>
      <c r="M173" s="6"/>
    </row>
    <row r="174" spans="8:13" s="11" customFormat="1" x14ac:dyDescent="0.3">
      <c r="H174" s="5" t="s">
        <v>434</v>
      </c>
      <c r="I174" s="39"/>
      <c r="J174" s="18"/>
      <c r="L174" s="44">
        <f>Table13456781011121314151617181920212223242526272830[[#This Row],[الدولار]]+(Table13456781011121314151617181920212223242526272830[[#This Row],[اللبناني]]/90)</f>
        <v>0</v>
      </c>
      <c r="M174" s="6"/>
    </row>
    <row r="175" spans="8:13" s="11" customFormat="1" x14ac:dyDescent="0.3">
      <c r="H175" s="5" t="s">
        <v>434</v>
      </c>
      <c r="I175" s="39"/>
      <c r="J175" s="18"/>
      <c r="L175" s="44">
        <f>Table13456781011121314151617181920212223242526272830[[#This Row],[الدولار]]+(Table13456781011121314151617181920212223242526272830[[#This Row],[اللبناني]]/90)</f>
        <v>0</v>
      </c>
      <c r="M175" s="6"/>
    </row>
    <row r="176" spans="8:13" s="11" customFormat="1" x14ac:dyDescent="0.3">
      <c r="H176" s="5" t="s">
        <v>434</v>
      </c>
      <c r="I176" s="39"/>
      <c r="J176" s="18"/>
      <c r="L176" s="44">
        <f>Table13456781011121314151617181920212223242526272830[[#This Row],[الدولار]]+(Table13456781011121314151617181920212223242526272830[[#This Row],[اللبناني]]/90)</f>
        <v>0</v>
      </c>
      <c r="M176" s="6"/>
    </row>
    <row r="177" spans="8:13" s="11" customFormat="1" x14ac:dyDescent="0.3">
      <c r="H177" s="5" t="s">
        <v>434</v>
      </c>
      <c r="I177" s="39"/>
      <c r="J177" s="18"/>
      <c r="L177" s="44">
        <f>Table13456781011121314151617181920212223242526272830[[#This Row],[الدولار]]+(Table13456781011121314151617181920212223242526272830[[#This Row],[اللبناني]]/90)</f>
        <v>0</v>
      </c>
      <c r="M177" s="6"/>
    </row>
    <row r="178" spans="8:13" s="11" customFormat="1" x14ac:dyDescent="0.3">
      <c r="H178" s="5" t="s">
        <v>434</v>
      </c>
      <c r="I178" s="39"/>
      <c r="J178" s="18"/>
      <c r="L178" s="44">
        <f>Table13456781011121314151617181920212223242526272830[[#This Row],[الدولار]]+(Table13456781011121314151617181920212223242526272830[[#This Row],[اللبناني]]/90)</f>
        <v>0</v>
      </c>
      <c r="M178" s="6"/>
    </row>
    <row r="179" spans="8:13" s="11" customFormat="1" x14ac:dyDescent="0.3">
      <c r="H179" s="5" t="s">
        <v>434</v>
      </c>
      <c r="I179" s="39"/>
      <c r="J179" s="18"/>
      <c r="L179" s="44">
        <f>Table13456781011121314151617181920212223242526272830[[#This Row],[الدولار]]+(Table13456781011121314151617181920212223242526272830[[#This Row],[اللبناني]]/90)</f>
        <v>0</v>
      </c>
      <c r="M179" s="6"/>
    </row>
    <row r="180" spans="8:13" s="11" customFormat="1" x14ac:dyDescent="0.3">
      <c r="H180" s="5" t="s">
        <v>434</v>
      </c>
      <c r="I180" s="39"/>
      <c r="J180" s="18"/>
      <c r="L180" s="44">
        <f>Table13456781011121314151617181920212223242526272830[[#This Row],[الدولار]]+(Table13456781011121314151617181920212223242526272830[[#This Row],[اللبناني]]/90)</f>
        <v>0</v>
      </c>
      <c r="M180" s="6"/>
    </row>
    <row r="181" spans="8:13" s="11" customFormat="1" x14ac:dyDescent="0.3">
      <c r="H181" s="5" t="s">
        <v>434</v>
      </c>
      <c r="I181" s="39"/>
      <c r="J181" s="18"/>
      <c r="L181" s="44">
        <f>Table13456781011121314151617181920212223242526272830[[#This Row],[الدولار]]+(Table13456781011121314151617181920212223242526272830[[#This Row],[اللبناني]]/90)</f>
        <v>0</v>
      </c>
      <c r="M181" s="6"/>
    </row>
    <row r="182" spans="8:13" s="11" customFormat="1" x14ac:dyDescent="0.3">
      <c r="H182" s="5" t="s">
        <v>434</v>
      </c>
      <c r="I182" s="39"/>
      <c r="J182" s="18"/>
      <c r="L182" s="44">
        <f>Table13456781011121314151617181920212223242526272830[[#This Row],[الدولار]]+(Table13456781011121314151617181920212223242526272830[[#This Row],[اللبناني]]/90)</f>
        <v>0</v>
      </c>
      <c r="M182" s="6"/>
    </row>
    <row r="183" spans="8:13" s="11" customFormat="1" x14ac:dyDescent="0.3">
      <c r="H183" s="5" t="s">
        <v>434</v>
      </c>
      <c r="I183" s="39"/>
      <c r="J183" s="18"/>
      <c r="L183" s="44">
        <f>Table13456781011121314151617181920212223242526272830[[#This Row],[الدولار]]+(Table13456781011121314151617181920212223242526272830[[#This Row],[اللبناني]]/90)</f>
        <v>0</v>
      </c>
      <c r="M183" s="6"/>
    </row>
    <row r="184" spans="8:13" s="11" customFormat="1" x14ac:dyDescent="0.3">
      <c r="H184" s="5" t="s">
        <v>434</v>
      </c>
      <c r="I184" s="39"/>
      <c r="J184" s="18"/>
      <c r="L184" s="44">
        <f>Table13456781011121314151617181920212223242526272830[[#This Row],[الدولار]]+(Table13456781011121314151617181920212223242526272830[[#This Row],[اللبناني]]/90)</f>
        <v>0</v>
      </c>
      <c r="M184" s="6"/>
    </row>
    <row r="185" spans="8:13" s="11" customFormat="1" x14ac:dyDescent="0.3">
      <c r="H185" s="5" t="s">
        <v>434</v>
      </c>
      <c r="I185" s="39"/>
      <c r="J185" s="18"/>
      <c r="L185" s="44">
        <f>Table13456781011121314151617181920212223242526272830[[#This Row],[الدولار]]+(Table13456781011121314151617181920212223242526272830[[#This Row],[اللبناني]]/90)</f>
        <v>0</v>
      </c>
      <c r="M185" s="6"/>
    </row>
    <row r="186" spans="8:13" s="11" customFormat="1" x14ac:dyDescent="0.3">
      <c r="H186" s="5" t="s">
        <v>434</v>
      </c>
      <c r="I186" s="39"/>
      <c r="J186" s="18"/>
      <c r="L186" s="44">
        <f>Table13456781011121314151617181920212223242526272830[[#This Row],[الدولار]]+(Table13456781011121314151617181920212223242526272830[[#This Row],[اللبناني]]/90)</f>
        <v>0</v>
      </c>
      <c r="M186" s="6"/>
    </row>
    <row r="187" spans="8:13" s="11" customFormat="1" x14ac:dyDescent="0.3">
      <c r="H187" s="5" t="s">
        <v>434</v>
      </c>
      <c r="I187" s="39"/>
      <c r="J187" s="18"/>
      <c r="L187" s="44">
        <f>Table13456781011121314151617181920212223242526272830[[#This Row],[الدولار]]+(Table13456781011121314151617181920212223242526272830[[#This Row],[اللبناني]]/90)</f>
        <v>0</v>
      </c>
      <c r="M187" s="6"/>
    </row>
    <row r="188" spans="8:13" s="11" customFormat="1" x14ac:dyDescent="0.3">
      <c r="H188" s="5" t="s">
        <v>434</v>
      </c>
      <c r="I188" s="39"/>
      <c r="J188" s="18"/>
      <c r="L188" s="44">
        <f>Table13456781011121314151617181920212223242526272830[[#This Row],[الدولار]]+(Table13456781011121314151617181920212223242526272830[[#This Row],[اللبناني]]/90)</f>
        <v>0</v>
      </c>
      <c r="M188" s="6"/>
    </row>
    <row r="189" spans="8:13" s="11" customFormat="1" x14ac:dyDescent="0.3">
      <c r="H189" s="5" t="s">
        <v>434</v>
      </c>
      <c r="I189" s="39"/>
      <c r="J189" s="18"/>
      <c r="L189" s="44">
        <f>Table13456781011121314151617181920212223242526272830[[#This Row],[الدولار]]+(Table13456781011121314151617181920212223242526272830[[#This Row],[اللبناني]]/90)</f>
        <v>0</v>
      </c>
      <c r="M189" s="6"/>
    </row>
    <row r="190" spans="8:13" s="11" customFormat="1" x14ac:dyDescent="0.3">
      <c r="H190" s="5" t="s">
        <v>434</v>
      </c>
      <c r="I190" s="39"/>
      <c r="J190" s="18"/>
      <c r="L190" s="44">
        <f>Table13456781011121314151617181920212223242526272830[[#This Row],[الدولار]]+(Table13456781011121314151617181920212223242526272830[[#This Row],[اللبناني]]/90)</f>
        <v>0</v>
      </c>
      <c r="M190" s="6"/>
    </row>
    <row r="191" spans="8:13" s="11" customFormat="1" x14ac:dyDescent="0.3">
      <c r="H191" s="5" t="s">
        <v>434</v>
      </c>
      <c r="I191" s="39"/>
      <c r="J191" s="18"/>
      <c r="L191" s="44">
        <f>Table13456781011121314151617181920212223242526272830[[#This Row],[الدولار]]+(Table13456781011121314151617181920212223242526272830[[#This Row],[اللبناني]]/90)</f>
        <v>0</v>
      </c>
      <c r="M191" s="6"/>
    </row>
    <row r="192" spans="8:13" s="11" customFormat="1" x14ac:dyDescent="0.3">
      <c r="H192" s="5" t="s">
        <v>434</v>
      </c>
      <c r="I192" s="39"/>
      <c r="J192" s="18"/>
      <c r="L192" s="44">
        <f>Table13456781011121314151617181920212223242526272830[[#This Row],[الدولار]]+(Table13456781011121314151617181920212223242526272830[[#This Row],[اللبناني]]/90)</f>
        <v>0</v>
      </c>
      <c r="M192" s="6"/>
    </row>
    <row r="193" spans="8:13" s="11" customFormat="1" x14ac:dyDescent="0.3">
      <c r="H193" s="5" t="s">
        <v>434</v>
      </c>
      <c r="I193" s="39"/>
      <c r="J193" s="18"/>
      <c r="L193" s="44">
        <f>Table13456781011121314151617181920212223242526272830[[#This Row],[الدولار]]+(Table13456781011121314151617181920212223242526272830[[#This Row],[اللبناني]]/90)</f>
        <v>0</v>
      </c>
      <c r="M193" s="6"/>
    </row>
    <row r="194" spans="8:13" s="11" customFormat="1" x14ac:dyDescent="0.3">
      <c r="H194" s="5" t="s">
        <v>434</v>
      </c>
      <c r="I194" s="39"/>
      <c r="J194" s="18"/>
      <c r="L194" s="44">
        <f>Table13456781011121314151617181920212223242526272830[[#This Row],[الدولار]]+(Table13456781011121314151617181920212223242526272830[[#This Row],[اللبناني]]/90)</f>
        <v>0</v>
      </c>
      <c r="M194" s="6"/>
    </row>
    <row r="195" spans="8:13" s="11" customFormat="1" x14ac:dyDescent="0.3">
      <c r="H195" s="5" t="s">
        <v>434</v>
      </c>
      <c r="I195" s="39"/>
      <c r="J195" s="18"/>
      <c r="L195" s="44">
        <f>Table13456781011121314151617181920212223242526272830[[#This Row],[الدولار]]+(Table13456781011121314151617181920212223242526272830[[#This Row],[اللبناني]]/90)</f>
        <v>0</v>
      </c>
      <c r="M195" s="6"/>
    </row>
    <row r="196" spans="8:13" s="11" customFormat="1" x14ac:dyDescent="0.3">
      <c r="H196" s="5" t="s">
        <v>434</v>
      </c>
      <c r="I196" s="39"/>
      <c r="J196" s="18"/>
      <c r="L196" s="44">
        <f>Table13456781011121314151617181920212223242526272830[[#This Row],[الدولار]]+(Table13456781011121314151617181920212223242526272830[[#This Row],[اللبناني]]/90)</f>
        <v>0</v>
      </c>
      <c r="M196" s="6"/>
    </row>
    <row r="197" spans="8:13" s="11" customFormat="1" x14ac:dyDescent="0.3">
      <c r="H197" s="5" t="s">
        <v>434</v>
      </c>
      <c r="I197" s="39"/>
      <c r="J197" s="18"/>
      <c r="L197" s="44">
        <f>Table13456781011121314151617181920212223242526272830[[#This Row],[الدولار]]+(Table13456781011121314151617181920212223242526272830[[#This Row],[اللبناني]]/90)</f>
        <v>0</v>
      </c>
      <c r="M197" s="6"/>
    </row>
    <row r="198" spans="8:13" s="11" customFormat="1" x14ac:dyDescent="0.3">
      <c r="H198" s="5" t="s">
        <v>434</v>
      </c>
      <c r="I198" s="39"/>
      <c r="J198" s="18"/>
      <c r="L198" s="44">
        <f>Table13456781011121314151617181920212223242526272830[[#This Row],[الدولار]]+(Table13456781011121314151617181920212223242526272830[[#This Row],[اللبناني]]/90)</f>
        <v>0</v>
      </c>
      <c r="M198" s="6"/>
    </row>
    <row r="199" spans="8:13" s="11" customFormat="1" x14ac:dyDescent="0.3">
      <c r="H199" s="5" t="s">
        <v>434</v>
      </c>
      <c r="I199" s="39"/>
      <c r="J199" s="18"/>
      <c r="L199" s="44">
        <f>Table13456781011121314151617181920212223242526272830[[#This Row],[الدولار]]+(Table13456781011121314151617181920212223242526272830[[#This Row],[اللبناني]]/90)</f>
        <v>0</v>
      </c>
      <c r="M199" s="6"/>
    </row>
    <row r="200" spans="8:13" s="11" customFormat="1" x14ac:dyDescent="0.3">
      <c r="H200" s="5" t="s">
        <v>434</v>
      </c>
      <c r="I200" s="39"/>
      <c r="J200" s="18"/>
      <c r="L200" s="44">
        <f>Table13456781011121314151617181920212223242526272830[[#This Row],[الدولار]]+(Table13456781011121314151617181920212223242526272830[[#This Row],[اللبناني]]/90)</f>
        <v>0</v>
      </c>
      <c r="M200" s="6"/>
    </row>
    <row r="201" spans="8:13" s="11" customFormat="1" x14ac:dyDescent="0.3">
      <c r="H201" s="5" t="s">
        <v>434</v>
      </c>
      <c r="I201" s="39"/>
      <c r="J201" s="18"/>
      <c r="L201" s="44">
        <f>Table13456781011121314151617181920212223242526272830[[#This Row],[الدولار]]+(Table13456781011121314151617181920212223242526272830[[#This Row],[اللبناني]]/90)</f>
        <v>0</v>
      </c>
      <c r="M201" s="6"/>
    </row>
    <row r="202" spans="8:13" s="11" customFormat="1" x14ac:dyDescent="0.3">
      <c r="H202" s="5" t="s">
        <v>434</v>
      </c>
      <c r="I202" s="39"/>
      <c r="J202" s="18"/>
      <c r="L202" s="44">
        <f>Table13456781011121314151617181920212223242526272830[[#This Row],[الدولار]]+(Table13456781011121314151617181920212223242526272830[[#This Row],[اللبناني]]/90)</f>
        <v>0</v>
      </c>
      <c r="M202" s="6"/>
    </row>
    <row r="203" spans="8:13" s="11" customFormat="1" x14ac:dyDescent="0.3">
      <c r="H203" s="5" t="s">
        <v>434</v>
      </c>
      <c r="I203" s="39"/>
      <c r="J203" s="18"/>
      <c r="L203" s="44">
        <f>Table13456781011121314151617181920212223242526272830[[#This Row],[الدولار]]+(Table13456781011121314151617181920212223242526272830[[#This Row],[اللبناني]]/90)</f>
        <v>0</v>
      </c>
      <c r="M203" s="6"/>
    </row>
    <row r="204" spans="8:13" s="11" customFormat="1" x14ac:dyDescent="0.3">
      <c r="H204" s="5" t="s">
        <v>434</v>
      </c>
      <c r="I204" s="39"/>
      <c r="J204" s="18"/>
      <c r="L204" s="44">
        <f>Table13456781011121314151617181920212223242526272830[[#This Row],[الدولار]]+(Table13456781011121314151617181920212223242526272830[[#This Row],[اللبناني]]/90)</f>
        <v>0</v>
      </c>
      <c r="M204" s="6"/>
    </row>
    <row r="205" spans="8:13" s="11" customFormat="1" x14ac:dyDescent="0.3">
      <c r="H205" s="5" t="s">
        <v>434</v>
      </c>
      <c r="I205" s="39"/>
      <c r="J205" s="18"/>
      <c r="L205" s="44">
        <f>Table13456781011121314151617181920212223242526272830[[#This Row],[الدولار]]+(Table13456781011121314151617181920212223242526272830[[#This Row],[اللبناني]]/90)</f>
        <v>0</v>
      </c>
      <c r="M205" s="6"/>
    </row>
    <row r="206" spans="8:13" s="11" customFormat="1" x14ac:dyDescent="0.3">
      <c r="H206" s="5" t="s">
        <v>434</v>
      </c>
      <c r="I206" s="39"/>
      <c r="J206" s="18"/>
      <c r="L206" s="44">
        <f>Table13456781011121314151617181920212223242526272830[[#This Row],[الدولار]]+(Table13456781011121314151617181920212223242526272830[[#This Row],[اللبناني]]/90)</f>
        <v>0</v>
      </c>
      <c r="M206" s="6"/>
    </row>
    <row r="207" spans="8:13" s="11" customFormat="1" x14ac:dyDescent="0.3">
      <c r="H207" s="5" t="s">
        <v>434</v>
      </c>
      <c r="I207" s="39"/>
      <c r="J207" s="18"/>
      <c r="L207" s="44">
        <f>Table13456781011121314151617181920212223242526272830[[#This Row],[الدولار]]+(Table13456781011121314151617181920212223242526272830[[#This Row],[اللبناني]]/90)</f>
        <v>0</v>
      </c>
      <c r="M207" s="6"/>
    </row>
    <row r="208" spans="8:13" s="11" customFormat="1" x14ac:dyDescent="0.3">
      <c r="H208" s="5" t="s">
        <v>434</v>
      </c>
      <c r="I208" s="39"/>
      <c r="J208" s="18"/>
      <c r="L208" s="44">
        <f>Table13456781011121314151617181920212223242526272830[[#This Row],[الدولار]]+(Table13456781011121314151617181920212223242526272830[[#This Row],[اللبناني]]/90)</f>
        <v>0</v>
      </c>
      <c r="M208" s="6"/>
    </row>
    <row r="209" spans="8:13" s="11" customFormat="1" x14ac:dyDescent="0.3">
      <c r="H209" s="5" t="s">
        <v>434</v>
      </c>
      <c r="I209" s="39"/>
      <c r="J209" s="18"/>
      <c r="L209" s="44">
        <f>Table13456781011121314151617181920212223242526272830[[#This Row],[الدولار]]+(Table13456781011121314151617181920212223242526272830[[#This Row],[اللبناني]]/90)</f>
        <v>0</v>
      </c>
      <c r="M209" s="6"/>
    </row>
    <row r="210" spans="8:13" s="11" customFormat="1" x14ac:dyDescent="0.3">
      <c r="H210" s="5" t="s">
        <v>434</v>
      </c>
      <c r="I210" s="39"/>
      <c r="J210" s="18"/>
      <c r="L210" s="44">
        <f>Table13456781011121314151617181920212223242526272830[[#This Row],[الدولار]]+(Table13456781011121314151617181920212223242526272830[[#This Row],[اللبناني]]/90)</f>
        <v>0</v>
      </c>
      <c r="M210" s="6"/>
    </row>
    <row r="211" spans="8:13" s="11" customFormat="1" x14ac:dyDescent="0.3">
      <c r="H211" s="5" t="s">
        <v>434</v>
      </c>
      <c r="I211" s="39"/>
      <c r="J211" s="18"/>
      <c r="L211" s="44">
        <f>Table13456781011121314151617181920212223242526272830[[#This Row],[الدولار]]+(Table13456781011121314151617181920212223242526272830[[#This Row],[اللبناني]]/90)</f>
        <v>0</v>
      </c>
      <c r="M211" s="6"/>
    </row>
    <row r="212" spans="8:13" s="11" customFormat="1" x14ac:dyDescent="0.3">
      <c r="H212" s="5" t="s">
        <v>434</v>
      </c>
      <c r="I212" s="39"/>
      <c r="J212" s="18"/>
      <c r="L212" s="44">
        <f>Table13456781011121314151617181920212223242526272830[[#This Row],[الدولار]]+(Table13456781011121314151617181920212223242526272830[[#This Row],[اللبناني]]/90)</f>
        <v>0</v>
      </c>
      <c r="M212" s="6"/>
    </row>
    <row r="213" spans="8:13" s="11" customFormat="1" x14ac:dyDescent="0.3">
      <c r="H213" s="5" t="s">
        <v>434</v>
      </c>
      <c r="I213" s="39"/>
      <c r="J213" s="18"/>
      <c r="L213" s="44">
        <f>Table13456781011121314151617181920212223242526272830[[#This Row],[الدولار]]+(Table13456781011121314151617181920212223242526272830[[#This Row],[اللبناني]]/90)</f>
        <v>0</v>
      </c>
      <c r="M213" s="6"/>
    </row>
    <row r="214" spans="8:13" s="11" customFormat="1" x14ac:dyDescent="0.3">
      <c r="H214" s="5" t="s">
        <v>434</v>
      </c>
      <c r="I214" s="39"/>
      <c r="J214" s="18"/>
      <c r="L214" s="44">
        <f>Table13456781011121314151617181920212223242526272830[[#This Row],[الدولار]]+(Table13456781011121314151617181920212223242526272830[[#This Row],[اللبناني]]/90)</f>
        <v>0</v>
      </c>
      <c r="M214" s="6"/>
    </row>
    <row r="215" spans="8:13" s="11" customFormat="1" x14ac:dyDescent="0.3">
      <c r="H215" s="5" t="s">
        <v>434</v>
      </c>
      <c r="I215" s="39"/>
      <c r="J215" s="18"/>
      <c r="L215" s="44">
        <f>Table13456781011121314151617181920212223242526272830[[#This Row],[الدولار]]+(Table13456781011121314151617181920212223242526272830[[#This Row],[اللبناني]]/90)</f>
        <v>0</v>
      </c>
      <c r="M215" s="6"/>
    </row>
    <row r="216" spans="8:13" s="11" customFormat="1" x14ac:dyDescent="0.3">
      <c r="H216" s="5" t="s">
        <v>434</v>
      </c>
      <c r="I216" s="39"/>
      <c r="J216" s="18"/>
      <c r="L216" s="44">
        <f>Table13456781011121314151617181920212223242526272830[[#This Row],[الدولار]]+(Table13456781011121314151617181920212223242526272830[[#This Row],[اللبناني]]/90)</f>
        <v>0</v>
      </c>
      <c r="M216" s="6"/>
    </row>
    <row r="217" spans="8:13" s="11" customFormat="1" x14ac:dyDescent="0.3">
      <c r="H217" s="5" t="s">
        <v>434</v>
      </c>
      <c r="I217" s="39"/>
      <c r="J217" s="18"/>
      <c r="L217" s="44">
        <f>Table13456781011121314151617181920212223242526272830[[#This Row],[الدولار]]+(Table13456781011121314151617181920212223242526272830[[#This Row],[اللبناني]]/90)</f>
        <v>0</v>
      </c>
      <c r="M217" s="6"/>
    </row>
    <row r="218" spans="8:13" s="11" customFormat="1" x14ac:dyDescent="0.3">
      <c r="H218" s="5" t="s">
        <v>434</v>
      </c>
      <c r="I218" s="39"/>
      <c r="J218" s="18"/>
      <c r="L218" s="44">
        <f>Table13456781011121314151617181920212223242526272830[[#This Row],[الدولار]]+(Table13456781011121314151617181920212223242526272830[[#This Row],[اللبناني]]/90)</f>
        <v>0</v>
      </c>
      <c r="M218" s="6"/>
    </row>
    <row r="219" spans="8:13" s="11" customFormat="1" x14ac:dyDescent="0.3">
      <c r="H219" s="5" t="s">
        <v>434</v>
      </c>
      <c r="I219" s="39"/>
      <c r="J219" s="18"/>
      <c r="L219" s="44">
        <f>Table13456781011121314151617181920212223242526272830[[#This Row],[الدولار]]+(Table13456781011121314151617181920212223242526272830[[#This Row],[اللبناني]]/90)</f>
        <v>0</v>
      </c>
      <c r="M219" s="6"/>
    </row>
    <row r="220" spans="8:13" s="11" customFormat="1" x14ac:dyDescent="0.3">
      <c r="H220" s="5" t="s">
        <v>434</v>
      </c>
      <c r="I220" s="39"/>
      <c r="J220" s="18"/>
      <c r="L220" s="44">
        <f>Table13456781011121314151617181920212223242526272830[[#This Row],[الدولار]]+(Table13456781011121314151617181920212223242526272830[[#This Row],[اللبناني]]/90)</f>
        <v>0</v>
      </c>
      <c r="M220" s="6"/>
    </row>
    <row r="221" spans="8:13" s="11" customFormat="1" x14ac:dyDescent="0.3">
      <c r="H221" s="5" t="s">
        <v>434</v>
      </c>
      <c r="I221" s="39"/>
      <c r="J221" s="18"/>
      <c r="L221" s="44">
        <f>Table13456781011121314151617181920212223242526272830[[#This Row],[الدولار]]+(Table13456781011121314151617181920212223242526272830[[#This Row],[اللبناني]]/90)</f>
        <v>0</v>
      </c>
      <c r="M221" s="6"/>
    </row>
    <row r="222" spans="8:13" s="11" customFormat="1" x14ac:dyDescent="0.3">
      <c r="H222" s="5" t="s">
        <v>434</v>
      </c>
      <c r="I222" s="39"/>
      <c r="J222" s="18"/>
      <c r="L222" s="44">
        <f>Table13456781011121314151617181920212223242526272830[[#This Row],[الدولار]]+(Table13456781011121314151617181920212223242526272830[[#This Row],[اللبناني]]/90)</f>
        <v>0</v>
      </c>
      <c r="M222" s="6"/>
    </row>
    <row r="223" spans="8:13" s="11" customFormat="1" x14ac:dyDescent="0.3">
      <c r="H223" s="5" t="s">
        <v>434</v>
      </c>
      <c r="I223" s="39"/>
      <c r="J223" s="18"/>
      <c r="L223" s="44">
        <f>Table13456781011121314151617181920212223242526272830[[#This Row],[الدولار]]+(Table13456781011121314151617181920212223242526272830[[#This Row],[اللبناني]]/90)</f>
        <v>0</v>
      </c>
      <c r="M223" s="6"/>
    </row>
    <row r="224" spans="8:13" s="11" customFormat="1" x14ac:dyDescent="0.3">
      <c r="H224" s="5" t="s">
        <v>434</v>
      </c>
      <c r="I224" s="39"/>
      <c r="J224" s="18"/>
      <c r="L224" s="44">
        <f>Table13456781011121314151617181920212223242526272830[[#This Row],[الدولار]]+(Table13456781011121314151617181920212223242526272830[[#This Row],[اللبناني]]/90)</f>
        <v>0</v>
      </c>
      <c r="M224" s="6"/>
    </row>
    <row r="225" spans="8:13" s="11" customFormat="1" x14ac:dyDescent="0.3">
      <c r="H225" s="5" t="s">
        <v>434</v>
      </c>
      <c r="I225" s="39"/>
      <c r="J225" s="18"/>
      <c r="L225" s="44">
        <f>Table13456781011121314151617181920212223242526272830[[#This Row],[الدولار]]+(Table13456781011121314151617181920212223242526272830[[#This Row],[اللبناني]]/90)</f>
        <v>0</v>
      </c>
      <c r="M225" s="6"/>
    </row>
    <row r="226" spans="8:13" s="11" customFormat="1" x14ac:dyDescent="0.3">
      <c r="H226" s="5" t="s">
        <v>434</v>
      </c>
      <c r="I226" s="39"/>
      <c r="J226" s="18"/>
      <c r="L226" s="44">
        <f>Table13456781011121314151617181920212223242526272830[[#This Row],[الدولار]]+(Table13456781011121314151617181920212223242526272830[[#This Row],[اللبناني]]/90)</f>
        <v>0</v>
      </c>
      <c r="M226" s="6"/>
    </row>
    <row r="227" spans="8:13" s="11" customFormat="1" x14ac:dyDescent="0.3">
      <c r="H227" s="5" t="s">
        <v>434</v>
      </c>
      <c r="I227" s="39"/>
      <c r="J227" s="18"/>
      <c r="L227" s="44">
        <f>Table13456781011121314151617181920212223242526272830[[#This Row],[الدولار]]+(Table13456781011121314151617181920212223242526272830[[#This Row],[اللبناني]]/90)</f>
        <v>0</v>
      </c>
      <c r="M227" s="6"/>
    </row>
    <row r="228" spans="8:13" s="11" customFormat="1" x14ac:dyDescent="0.3">
      <c r="H228" s="5" t="s">
        <v>434</v>
      </c>
      <c r="I228" s="39"/>
      <c r="J228" s="18"/>
      <c r="L228" s="44">
        <f>Table13456781011121314151617181920212223242526272830[[#This Row],[الدولار]]+(Table13456781011121314151617181920212223242526272830[[#This Row],[اللبناني]]/90)</f>
        <v>0</v>
      </c>
      <c r="M228" s="6"/>
    </row>
    <row r="229" spans="8:13" s="11" customFormat="1" x14ac:dyDescent="0.3">
      <c r="H229" s="5" t="s">
        <v>434</v>
      </c>
      <c r="I229" s="39"/>
      <c r="J229" s="18"/>
      <c r="L229" s="44">
        <f>Table13456781011121314151617181920212223242526272830[[#This Row],[الدولار]]+(Table13456781011121314151617181920212223242526272830[[#This Row],[اللبناني]]/90)</f>
        <v>0</v>
      </c>
      <c r="M229" s="6"/>
    </row>
    <row r="230" spans="8:13" s="11" customFormat="1" x14ac:dyDescent="0.3">
      <c r="H230" s="5" t="s">
        <v>434</v>
      </c>
      <c r="I230" s="39"/>
      <c r="J230" s="18"/>
      <c r="L230" s="44">
        <f>Table13456781011121314151617181920212223242526272830[[#This Row],[الدولار]]+(Table13456781011121314151617181920212223242526272830[[#This Row],[اللبناني]]/90)</f>
        <v>0</v>
      </c>
      <c r="M230" s="6"/>
    </row>
    <row r="231" spans="8:13" s="11" customFormat="1" x14ac:dyDescent="0.3">
      <c r="H231" s="5" t="s">
        <v>434</v>
      </c>
      <c r="I231" s="39"/>
      <c r="J231" s="18"/>
      <c r="L231" s="44">
        <f>Table13456781011121314151617181920212223242526272830[[#This Row],[الدولار]]+(Table13456781011121314151617181920212223242526272830[[#This Row],[اللبناني]]/90)</f>
        <v>0</v>
      </c>
      <c r="M231" s="6"/>
    </row>
    <row r="232" spans="8:13" s="11" customFormat="1" x14ac:dyDescent="0.3">
      <c r="H232" s="5" t="s">
        <v>434</v>
      </c>
      <c r="I232" s="39"/>
      <c r="J232" s="18"/>
      <c r="L232" s="44">
        <f>Table13456781011121314151617181920212223242526272830[[#This Row],[الدولار]]+(Table13456781011121314151617181920212223242526272830[[#This Row],[اللبناني]]/90)</f>
        <v>0</v>
      </c>
      <c r="M232" s="6"/>
    </row>
    <row r="233" spans="8:13" s="11" customFormat="1" x14ac:dyDescent="0.3">
      <c r="H233" s="5" t="s">
        <v>434</v>
      </c>
      <c r="I233" s="39"/>
      <c r="J233" s="18"/>
      <c r="L233" s="44">
        <f>Table13456781011121314151617181920212223242526272830[[#This Row],[الدولار]]+(Table13456781011121314151617181920212223242526272830[[#This Row],[اللبناني]]/90)</f>
        <v>0</v>
      </c>
      <c r="M233" s="6"/>
    </row>
    <row r="234" spans="8:13" s="11" customFormat="1" x14ac:dyDescent="0.3">
      <c r="H234" s="5" t="s">
        <v>434</v>
      </c>
      <c r="I234" s="39"/>
      <c r="J234" s="18"/>
      <c r="L234" s="44">
        <f>Table13456781011121314151617181920212223242526272830[[#This Row],[الدولار]]+(Table13456781011121314151617181920212223242526272830[[#This Row],[اللبناني]]/90)</f>
        <v>0</v>
      </c>
      <c r="M234" s="6"/>
    </row>
    <row r="235" spans="8:13" s="11" customFormat="1" x14ac:dyDescent="0.3">
      <c r="H235" s="5" t="s">
        <v>434</v>
      </c>
      <c r="I235" s="39"/>
      <c r="J235" s="18"/>
      <c r="L235" s="44">
        <f>Table13456781011121314151617181920212223242526272830[[#This Row],[الدولار]]+(Table13456781011121314151617181920212223242526272830[[#This Row],[اللبناني]]/90)</f>
        <v>0</v>
      </c>
      <c r="M235" s="6"/>
    </row>
    <row r="236" spans="8:13" s="11" customFormat="1" x14ac:dyDescent="0.3">
      <c r="H236" s="5" t="s">
        <v>434</v>
      </c>
      <c r="I236" s="39"/>
      <c r="J236" s="18"/>
      <c r="L236" s="44">
        <f>Table13456781011121314151617181920212223242526272830[[#This Row],[الدولار]]+(Table13456781011121314151617181920212223242526272830[[#This Row],[اللبناني]]/90)</f>
        <v>0</v>
      </c>
      <c r="M236" s="6"/>
    </row>
    <row r="237" spans="8:13" s="11" customFormat="1" x14ac:dyDescent="0.3">
      <c r="H237" s="5" t="s">
        <v>434</v>
      </c>
      <c r="I237" s="39"/>
      <c r="J237" s="18"/>
      <c r="L237" s="44">
        <f>Table13456781011121314151617181920212223242526272830[[#This Row],[الدولار]]+(Table13456781011121314151617181920212223242526272830[[#This Row],[اللبناني]]/90)</f>
        <v>0</v>
      </c>
      <c r="M237" s="6"/>
    </row>
    <row r="238" spans="8:13" s="11" customFormat="1" x14ac:dyDescent="0.3">
      <c r="H238" s="5" t="s">
        <v>434</v>
      </c>
      <c r="I238" s="39"/>
      <c r="J238" s="18"/>
      <c r="L238" s="44">
        <f>Table13456781011121314151617181920212223242526272830[[#This Row],[الدولار]]+(Table13456781011121314151617181920212223242526272830[[#This Row],[اللبناني]]/90)</f>
        <v>0</v>
      </c>
      <c r="M238" s="6"/>
    </row>
    <row r="239" spans="8:13" s="11" customFormat="1" x14ac:dyDescent="0.3">
      <c r="H239" s="5" t="s">
        <v>434</v>
      </c>
      <c r="I239" s="39"/>
      <c r="J239" s="18"/>
      <c r="L239" s="44">
        <f>Table13456781011121314151617181920212223242526272830[[#This Row],[الدولار]]+(Table13456781011121314151617181920212223242526272830[[#This Row],[اللبناني]]/90)</f>
        <v>0</v>
      </c>
      <c r="M239" s="6"/>
    </row>
    <row r="240" spans="8:13" s="11" customFormat="1" x14ac:dyDescent="0.3">
      <c r="H240" s="5" t="s">
        <v>434</v>
      </c>
      <c r="I240" s="39"/>
      <c r="J240" s="18"/>
      <c r="L240" s="44">
        <f>Table13456781011121314151617181920212223242526272830[[#This Row],[الدولار]]+(Table13456781011121314151617181920212223242526272830[[#This Row],[اللبناني]]/90)</f>
        <v>0</v>
      </c>
      <c r="M240" s="6"/>
    </row>
    <row r="241" spans="8:13" s="11" customFormat="1" x14ac:dyDescent="0.3">
      <c r="H241" s="5" t="s">
        <v>434</v>
      </c>
      <c r="I241" s="39"/>
      <c r="J241" s="18"/>
      <c r="L241" s="44">
        <f>Table13456781011121314151617181920212223242526272830[[#This Row],[الدولار]]+(Table13456781011121314151617181920212223242526272830[[#This Row],[اللبناني]]/90)</f>
        <v>0</v>
      </c>
      <c r="M241" s="6"/>
    </row>
    <row r="242" spans="8:13" s="11" customFormat="1" x14ac:dyDescent="0.3">
      <c r="H242" s="5" t="s">
        <v>434</v>
      </c>
      <c r="I242" s="39"/>
      <c r="J242" s="18"/>
      <c r="L242" s="44">
        <f>Table13456781011121314151617181920212223242526272830[[#This Row],[الدولار]]+(Table13456781011121314151617181920212223242526272830[[#This Row],[اللبناني]]/90)</f>
        <v>0</v>
      </c>
      <c r="M242" s="6"/>
    </row>
    <row r="243" spans="8:13" s="11" customFormat="1" x14ac:dyDescent="0.3">
      <c r="H243" s="5" t="s">
        <v>434</v>
      </c>
      <c r="I243" s="39"/>
      <c r="J243" s="18"/>
      <c r="L243" s="44">
        <f>Table13456781011121314151617181920212223242526272830[[#This Row],[الدولار]]+(Table13456781011121314151617181920212223242526272830[[#This Row],[اللبناني]]/90)</f>
        <v>0</v>
      </c>
      <c r="M243" s="6"/>
    </row>
    <row r="244" spans="8:13" s="11" customFormat="1" x14ac:dyDescent="0.3">
      <c r="H244" s="5" t="s">
        <v>434</v>
      </c>
      <c r="I244" s="39"/>
      <c r="J244" s="18"/>
      <c r="L244" s="44">
        <f>Table13456781011121314151617181920212223242526272830[[#This Row],[الدولار]]+(Table13456781011121314151617181920212223242526272830[[#This Row],[اللبناني]]/90)</f>
        <v>0</v>
      </c>
      <c r="M244" s="6"/>
    </row>
    <row r="245" spans="8:13" s="11" customFormat="1" x14ac:dyDescent="0.3">
      <c r="H245" s="5" t="s">
        <v>434</v>
      </c>
      <c r="I245" s="39"/>
      <c r="J245" s="18"/>
      <c r="L245" s="44">
        <f>Table13456781011121314151617181920212223242526272830[[#This Row],[الدولار]]+(Table13456781011121314151617181920212223242526272830[[#This Row],[اللبناني]]/90)</f>
        <v>0</v>
      </c>
      <c r="M245" s="6"/>
    </row>
    <row r="246" spans="8:13" s="11" customFormat="1" x14ac:dyDescent="0.3">
      <c r="H246" s="5" t="s">
        <v>434</v>
      </c>
      <c r="I246" s="39"/>
      <c r="J246" s="18"/>
      <c r="L246" s="44">
        <f>Table13456781011121314151617181920212223242526272830[[#This Row],[الدولار]]+(Table13456781011121314151617181920212223242526272830[[#This Row],[اللبناني]]/90)</f>
        <v>0</v>
      </c>
      <c r="M246" s="6"/>
    </row>
    <row r="247" spans="8:13" s="11" customFormat="1" x14ac:dyDescent="0.3">
      <c r="H247" s="5" t="s">
        <v>434</v>
      </c>
      <c r="I247" s="39"/>
      <c r="J247" s="18"/>
      <c r="L247" s="44">
        <f>Table13456781011121314151617181920212223242526272830[[#This Row],[الدولار]]+(Table13456781011121314151617181920212223242526272830[[#This Row],[اللبناني]]/90)</f>
        <v>0</v>
      </c>
      <c r="M247" s="6"/>
    </row>
    <row r="248" spans="8:13" s="11" customFormat="1" x14ac:dyDescent="0.3">
      <c r="H248" s="5" t="s">
        <v>434</v>
      </c>
      <c r="I248" s="39"/>
      <c r="J248" s="18"/>
      <c r="L248" s="44">
        <f>Table13456781011121314151617181920212223242526272830[[#This Row],[الدولار]]+(Table13456781011121314151617181920212223242526272830[[#This Row],[اللبناني]]/90)</f>
        <v>0</v>
      </c>
      <c r="M248" s="6"/>
    </row>
    <row r="249" spans="8:13" s="11" customFormat="1" x14ac:dyDescent="0.3">
      <c r="H249" s="5" t="s">
        <v>434</v>
      </c>
      <c r="I249" s="39"/>
      <c r="J249" s="18"/>
      <c r="L249" s="44">
        <f>Table13456781011121314151617181920212223242526272830[[#This Row],[الدولار]]+(Table13456781011121314151617181920212223242526272830[[#This Row],[اللبناني]]/90)</f>
        <v>0</v>
      </c>
      <c r="M249" s="6"/>
    </row>
    <row r="250" spans="8:13" s="11" customFormat="1" x14ac:dyDescent="0.3">
      <c r="H250" s="5" t="s">
        <v>434</v>
      </c>
      <c r="I250" s="39"/>
      <c r="J250" s="18"/>
      <c r="L250" s="44">
        <f>Table13456781011121314151617181920212223242526272830[[#This Row],[الدولار]]+(Table13456781011121314151617181920212223242526272830[[#This Row],[اللبناني]]/90)</f>
        <v>0</v>
      </c>
      <c r="M250" s="6"/>
    </row>
    <row r="251" spans="8:13" s="11" customFormat="1" x14ac:dyDescent="0.3">
      <c r="H251" s="5" t="s">
        <v>434</v>
      </c>
      <c r="I251" s="39"/>
      <c r="J251" s="18"/>
      <c r="L251" s="44">
        <f>Table13456781011121314151617181920212223242526272830[[#This Row],[الدولار]]+(Table13456781011121314151617181920212223242526272830[[#This Row],[اللبناني]]/90)</f>
        <v>0</v>
      </c>
      <c r="M251" s="6"/>
    </row>
    <row r="252" spans="8:13" s="11" customFormat="1" x14ac:dyDescent="0.3">
      <c r="H252" s="5" t="s">
        <v>434</v>
      </c>
      <c r="I252" s="39"/>
      <c r="J252" s="18"/>
      <c r="L252" s="44">
        <f>Table13456781011121314151617181920212223242526272830[[#This Row],[الدولار]]+(Table13456781011121314151617181920212223242526272830[[#This Row],[اللبناني]]/90)</f>
        <v>0</v>
      </c>
      <c r="M252" s="6"/>
    </row>
    <row r="253" spans="8:13" s="11" customFormat="1" x14ac:dyDescent="0.3">
      <c r="H253" s="5" t="s">
        <v>434</v>
      </c>
      <c r="I253" s="39"/>
      <c r="J253" s="18"/>
      <c r="L253" s="44">
        <f>Table13456781011121314151617181920212223242526272830[[#This Row],[الدولار]]+(Table13456781011121314151617181920212223242526272830[[#This Row],[اللبناني]]/90)</f>
        <v>0</v>
      </c>
      <c r="M253" s="6"/>
    </row>
    <row r="254" spans="8:13" s="11" customFormat="1" x14ac:dyDescent="0.3">
      <c r="H254" s="5" t="s">
        <v>434</v>
      </c>
      <c r="I254" s="39"/>
      <c r="J254" s="18"/>
      <c r="L254" s="44">
        <f>Table13456781011121314151617181920212223242526272830[[#This Row],[الدولار]]+(Table13456781011121314151617181920212223242526272830[[#This Row],[اللبناني]]/90)</f>
        <v>0</v>
      </c>
      <c r="M254" s="6"/>
    </row>
    <row r="255" spans="8:13" s="11" customFormat="1" x14ac:dyDescent="0.3">
      <c r="H255" s="5" t="s">
        <v>434</v>
      </c>
      <c r="I255" s="39"/>
      <c r="J255" s="18"/>
      <c r="L255" s="44">
        <f>Table13456781011121314151617181920212223242526272830[[#This Row],[الدولار]]+(Table13456781011121314151617181920212223242526272830[[#This Row],[اللبناني]]/90)</f>
        <v>0</v>
      </c>
      <c r="M255" s="6"/>
    </row>
    <row r="256" spans="8:13" s="11" customFormat="1" x14ac:dyDescent="0.3">
      <c r="H256" s="5" t="s">
        <v>434</v>
      </c>
      <c r="I256" s="39"/>
      <c r="J256" s="18"/>
      <c r="L256" s="44">
        <f>Table13456781011121314151617181920212223242526272830[[#This Row],[الدولار]]+(Table13456781011121314151617181920212223242526272830[[#This Row],[اللبناني]]/90)</f>
        <v>0</v>
      </c>
      <c r="M256" s="6"/>
    </row>
    <row r="257" spans="8:13" s="11" customFormat="1" x14ac:dyDescent="0.3">
      <c r="H257" s="5" t="s">
        <v>434</v>
      </c>
      <c r="I257" s="39"/>
      <c r="J257" s="18"/>
      <c r="L257" s="44">
        <f>Table13456781011121314151617181920212223242526272830[[#This Row],[الدولار]]+(Table13456781011121314151617181920212223242526272830[[#This Row],[اللبناني]]/90)</f>
        <v>0</v>
      </c>
      <c r="M257" s="6"/>
    </row>
    <row r="258" spans="8:13" s="11" customFormat="1" x14ac:dyDescent="0.3">
      <c r="H258" s="5" t="s">
        <v>434</v>
      </c>
      <c r="I258" s="39"/>
      <c r="J258" s="18"/>
      <c r="L258" s="44">
        <f>Table13456781011121314151617181920212223242526272830[[#This Row],[الدولار]]+(Table13456781011121314151617181920212223242526272830[[#This Row],[اللبناني]]/90)</f>
        <v>0</v>
      </c>
      <c r="M258" s="6"/>
    </row>
    <row r="259" spans="8:13" s="11" customFormat="1" x14ac:dyDescent="0.3">
      <c r="H259" s="5" t="s">
        <v>434</v>
      </c>
      <c r="I259" s="39"/>
      <c r="J259" s="18"/>
      <c r="L259" s="44">
        <f>Table13456781011121314151617181920212223242526272830[[#This Row],[الدولار]]+(Table13456781011121314151617181920212223242526272830[[#This Row],[اللبناني]]/90)</f>
        <v>0</v>
      </c>
      <c r="M259" s="6"/>
    </row>
    <row r="260" spans="8:13" s="11" customFormat="1" x14ac:dyDescent="0.3">
      <c r="H260" s="5" t="s">
        <v>434</v>
      </c>
      <c r="I260" s="39"/>
      <c r="J260" s="18"/>
      <c r="L260" s="44">
        <f>Table13456781011121314151617181920212223242526272830[[#This Row],[الدولار]]+(Table13456781011121314151617181920212223242526272830[[#This Row],[اللبناني]]/90)</f>
        <v>0</v>
      </c>
      <c r="M260" s="6"/>
    </row>
    <row r="261" spans="8:13" s="11" customFormat="1" x14ac:dyDescent="0.3">
      <c r="H261" s="5" t="s">
        <v>434</v>
      </c>
      <c r="I261" s="39"/>
      <c r="J261" s="18"/>
      <c r="L261" s="44">
        <f>Table13456781011121314151617181920212223242526272830[[#This Row],[الدولار]]+(Table13456781011121314151617181920212223242526272830[[#This Row],[اللبناني]]/90)</f>
        <v>0</v>
      </c>
      <c r="M261" s="6"/>
    </row>
    <row r="262" spans="8:13" s="11" customFormat="1" x14ac:dyDescent="0.3">
      <c r="H262" s="5" t="s">
        <v>434</v>
      </c>
      <c r="I262" s="39"/>
      <c r="J262" s="18"/>
      <c r="L262" s="44">
        <f>Table13456781011121314151617181920212223242526272830[[#This Row],[الدولار]]+(Table13456781011121314151617181920212223242526272830[[#This Row],[اللبناني]]/90)</f>
        <v>0</v>
      </c>
      <c r="M262" s="6"/>
    </row>
    <row r="263" spans="8:13" s="11" customFormat="1" x14ac:dyDescent="0.3">
      <c r="H263" s="5" t="s">
        <v>434</v>
      </c>
      <c r="I263" s="39"/>
      <c r="J263" s="18"/>
      <c r="L263" s="44">
        <f>Table13456781011121314151617181920212223242526272830[[#This Row],[الدولار]]+(Table13456781011121314151617181920212223242526272830[[#This Row],[اللبناني]]/90)</f>
        <v>0</v>
      </c>
      <c r="M263" s="6"/>
    </row>
    <row r="264" spans="8:13" s="11" customFormat="1" x14ac:dyDescent="0.3">
      <c r="H264" s="5" t="s">
        <v>434</v>
      </c>
      <c r="I264" s="39"/>
      <c r="J264" s="18"/>
      <c r="L264" s="44">
        <f>Table13456781011121314151617181920212223242526272830[[#This Row],[الدولار]]+(Table13456781011121314151617181920212223242526272830[[#This Row],[اللبناني]]/90)</f>
        <v>0</v>
      </c>
      <c r="M264" s="6"/>
    </row>
    <row r="265" spans="8:13" s="11" customFormat="1" x14ac:dyDescent="0.3">
      <c r="H265" s="5" t="s">
        <v>434</v>
      </c>
      <c r="I265" s="39"/>
      <c r="J265" s="18"/>
      <c r="L265" s="44">
        <f>Table13456781011121314151617181920212223242526272830[[#This Row],[الدولار]]+(Table13456781011121314151617181920212223242526272830[[#This Row],[اللبناني]]/90)</f>
        <v>0</v>
      </c>
      <c r="M265" s="6"/>
    </row>
    <row r="266" spans="8:13" s="11" customFormat="1" x14ac:dyDescent="0.3">
      <c r="H266" s="5" t="s">
        <v>434</v>
      </c>
      <c r="I266" s="39"/>
      <c r="J266" s="18"/>
      <c r="L266" s="44">
        <f>Table13456781011121314151617181920212223242526272830[[#This Row],[الدولار]]+(Table13456781011121314151617181920212223242526272830[[#This Row],[اللبناني]]/90)</f>
        <v>0</v>
      </c>
      <c r="M266" s="6"/>
    </row>
    <row r="267" spans="8:13" s="11" customFormat="1" x14ac:dyDescent="0.3">
      <c r="H267" s="5" t="s">
        <v>434</v>
      </c>
      <c r="I267" s="39"/>
      <c r="J267" s="18"/>
      <c r="L267" s="44">
        <f>Table13456781011121314151617181920212223242526272830[[#This Row],[الدولار]]+(Table13456781011121314151617181920212223242526272830[[#This Row],[اللبناني]]/90)</f>
        <v>0</v>
      </c>
      <c r="M267" s="6"/>
    </row>
    <row r="268" spans="8:13" s="11" customFormat="1" x14ac:dyDescent="0.3">
      <c r="H268" s="5" t="s">
        <v>434</v>
      </c>
      <c r="I268" s="39"/>
      <c r="J268" s="18"/>
      <c r="L268" s="44">
        <f>Table13456781011121314151617181920212223242526272830[[#This Row],[الدولار]]+(Table13456781011121314151617181920212223242526272830[[#This Row],[اللبناني]]/90)</f>
        <v>0</v>
      </c>
      <c r="M268" s="6"/>
    </row>
    <row r="269" spans="8:13" s="11" customFormat="1" x14ac:dyDescent="0.3">
      <c r="H269" s="5" t="s">
        <v>434</v>
      </c>
      <c r="I269" s="39"/>
      <c r="J269" s="18"/>
      <c r="L269" s="44">
        <f>Table13456781011121314151617181920212223242526272830[[#This Row],[الدولار]]+(Table13456781011121314151617181920212223242526272830[[#This Row],[اللبناني]]/90)</f>
        <v>0</v>
      </c>
      <c r="M269" s="6"/>
    </row>
    <row r="270" spans="8:13" s="11" customFormat="1" x14ac:dyDescent="0.3">
      <c r="H270" s="5" t="s">
        <v>434</v>
      </c>
      <c r="I270" s="39"/>
      <c r="J270" s="18"/>
      <c r="L270" s="44">
        <f>Table13456781011121314151617181920212223242526272830[[#This Row],[الدولار]]+(Table13456781011121314151617181920212223242526272830[[#This Row],[اللبناني]]/90)</f>
        <v>0</v>
      </c>
      <c r="M270" s="6"/>
    </row>
    <row r="271" spans="8:13" s="11" customFormat="1" x14ac:dyDescent="0.3">
      <c r="H271" s="5" t="s">
        <v>434</v>
      </c>
      <c r="I271" s="39"/>
      <c r="J271" s="18"/>
      <c r="L271" s="44">
        <f>Table13456781011121314151617181920212223242526272830[[#This Row],[الدولار]]+(Table13456781011121314151617181920212223242526272830[[#This Row],[اللبناني]]/90)</f>
        <v>0</v>
      </c>
      <c r="M271" s="6"/>
    </row>
    <row r="272" spans="8:13" s="11" customFormat="1" x14ac:dyDescent="0.3">
      <c r="H272" s="5" t="s">
        <v>434</v>
      </c>
      <c r="I272" s="39"/>
      <c r="J272" s="18"/>
      <c r="L272" s="44">
        <f>Table13456781011121314151617181920212223242526272830[[#This Row],[الدولار]]+(Table13456781011121314151617181920212223242526272830[[#This Row],[اللبناني]]/90)</f>
        <v>0</v>
      </c>
      <c r="M272" s="6"/>
    </row>
    <row r="273" spans="8:13" s="11" customFormat="1" x14ac:dyDescent="0.3">
      <c r="H273" s="5" t="s">
        <v>434</v>
      </c>
      <c r="I273" s="39"/>
      <c r="J273" s="18"/>
      <c r="L273" s="44">
        <f>Table13456781011121314151617181920212223242526272830[[#This Row],[الدولار]]+(Table13456781011121314151617181920212223242526272830[[#This Row],[اللبناني]]/90)</f>
        <v>0</v>
      </c>
      <c r="M273" s="6"/>
    </row>
    <row r="274" spans="8:13" s="11" customFormat="1" x14ac:dyDescent="0.3">
      <c r="H274" s="5" t="s">
        <v>434</v>
      </c>
      <c r="I274" s="39"/>
      <c r="J274" s="18"/>
      <c r="L274" s="44">
        <f>Table13456781011121314151617181920212223242526272830[[#This Row],[الدولار]]+(Table13456781011121314151617181920212223242526272830[[#This Row],[اللبناني]]/90)</f>
        <v>0</v>
      </c>
      <c r="M274" s="6"/>
    </row>
    <row r="275" spans="8:13" s="11" customFormat="1" x14ac:dyDescent="0.3">
      <c r="H275" s="5" t="s">
        <v>434</v>
      </c>
      <c r="I275" s="39"/>
      <c r="J275" s="18"/>
      <c r="L275" s="44">
        <f>Table13456781011121314151617181920212223242526272830[[#This Row],[الدولار]]+(Table13456781011121314151617181920212223242526272830[[#This Row],[اللبناني]]/90)</f>
        <v>0</v>
      </c>
      <c r="M275" s="6"/>
    </row>
    <row r="276" spans="8:13" s="11" customFormat="1" x14ac:dyDescent="0.3">
      <c r="H276" s="5" t="s">
        <v>434</v>
      </c>
      <c r="I276" s="39"/>
      <c r="J276" s="18"/>
      <c r="L276" s="44">
        <f>Table13456781011121314151617181920212223242526272830[[#This Row],[الدولار]]+(Table13456781011121314151617181920212223242526272830[[#This Row],[اللبناني]]/90)</f>
        <v>0</v>
      </c>
      <c r="M276" s="6"/>
    </row>
    <row r="277" spans="8:13" s="11" customFormat="1" x14ac:dyDescent="0.3">
      <c r="H277" s="5" t="s">
        <v>434</v>
      </c>
      <c r="I277" s="39"/>
      <c r="J277" s="18"/>
      <c r="L277" s="44">
        <f>Table13456781011121314151617181920212223242526272830[[#This Row],[الدولار]]+(Table13456781011121314151617181920212223242526272830[[#This Row],[اللبناني]]/90)</f>
        <v>0</v>
      </c>
      <c r="M277" s="6"/>
    </row>
    <row r="278" spans="8:13" s="11" customFormat="1" x14ac:dyDescent="0.3">
      <c r="H278" s="5" t="s">
        <v>434</v>
      </c>
      <c r="I278" s="39"/>
      <c r="J278" s="18"/>
      <c r="L278" s="44">
        <f>Table13456781011121314151617181920212223242526272830[[#This Row],[الدولار]]+(Table13456781011121314151617181920212223242526272830[[#This Row],[اللبناني]]/90)</f>
        <v>0</v>
      </c>
      <c r="M278" s="6"/>
    </row>
    <row r="279" spans="8:13" s="11" customFormat="1" x14ac:dyDescent="0.3">
      <c r="H279" s="5" t="s">
        <v>434</v>
      </c>
      <c r="I279" s="39"/>
      <c r="J279" s="18"/>
      <c r="L279" s="44">
        <f>Table13456781011121314151617181920212223242526272830[[#This Row],[الدولار]]+(Table13456781011121314151617181920212223242526272830[[#This Row],[اللبناني]]/90)</f>
        <v>0</v>
      </c>
      <c r="M279" s="6"/>
    </row>
    <row r="280" spans="8:13" s="11" customFormat="1" x14ac:dyDescent="0.3">
      <c r="H280" s="5" t="s">
        <v>434</v>
      </c>
      <c r="I280" s="39"/>
      <c r="J280" s="18"/>
      <c r="L280" s="44">
        <f>Table13456781011121314151617181920212223242526272830[[#This Row],[الدولار]]+(Table13456781011121314151617181920212223242526272830[[#This Row],[اللبناني]]/90)</f>
        <v>0</v>
      </c>
      <c r="M280" s="6"/>
    </row>
    <row r="281" spans="8:13" s="11" customFormat="1" x14ac:dyDescent="0.3">
      <c r="H281" s="5" t="s">
        <v>434</v>
      </c>
      <c r="I281" s="39"/>
      <c r="J281" s="18"/>
      <c r="L281" s="44">
        <f>Table13456781011121314151617181920212223242526272830[[#This Row],[الدولار]]+(Table13456781011121314151617181920212223242526272830[[#This Row],[اللبناني]]/90)</f>
        <v>0</v>
      </c>
      <c r="M281" s="6"/>
    </row>
    <row r="282" spans="8:13" s="11" customFormat="1" x14ac:dyDescent="0.3">
      <c r="H282" s="5" t="s">
        <v>434</v>
      </c>
      <c r="I282" s="39"/>
      <c r="J282" s="18"/>
      <c r="L282" s="44">
        <f>Table13456781011121314151617181920212223242526272830[[#This Row],[الدولار]]+(Table13456781011121314151617181920212223242526272830[[#This Row],[اللبناني]]/90)</f>
        <v>0</v>
      </c>
      <c r="M282" s="6"/>
    </row>
    <row r="283" spans="8:13" s="11" customFormat="1" x14ac:dyDescent="0.3">
      <c r="H283" s="5" t="s">
        <v>434</v>
      </c>
      <c r="I283" s="39"/>
      <c r="J283" s="18"/>
      <c r="L283" s="44">
        <f>Table13456781011121314151617181920212223242526272830[[#This Row],[الدولار]]+(Table13456781011121314151617181920212223242526272830[[#This Row],[اللبناني]]/90)</f>
        <v>0</v>
      </c>
      <c r="M283" s="6"/>
    </row>
    <row r="284" spans="8:13" s="11" customFormat="1" x14ac:dyDescent="0.3">
      <c r="H284" s="5" t="s">
        <v>434</v>
      </c>
      <c r="I284" s="39"/>
      <c r="J284" s="18"/>
      <c r="L284" s="44">
        <f>Table13456781011121314151617181920212223242526272830[[#This Row],[الدولار]]+(Table13456781011121314151617181920212223242526272830[[#This Row],[اللبناني]]/90)</f>
        <v>0</v>
      </c>
      <c r="M284" s="6"/>
    </row>
    <row r="285" spans="8:13" s="11" customFormat="1" x14ac:dyDescent="0.3">
      <c r="H285" s="5" t="s">
        <v>434</v>
      </c>
      <c r="I285" s="39"/>
      <c r="J285" s="18"/>
      <c r="L285" s="44">
        <f>Table13456781011121314151617181920212223242526272830[[#This Row],[الدولار]]+(Table13456781011121314151617181920212223242526272830[[#This Row],[اللبناني]]/90)</f>
        <v>0</v>
      </c>
      <c r="M285" s="6"/>
    </row>
    <row r="286" spans="8:13" s="11" customFormat="1" x14ac:dyDescent="0.3">
      <c r="H286" s="5" t="s">
        <v>434</v>
      </c>
      <c r="I286" s="39"/>
      <c r="J286" s="18"/>
      <c r="L286" s="44">
        <f>Table13456781011121314151617181920212223242526272830[[#This Row],[الدولار]]+(Table13456781011121314151617181920212223242526272830[[#This Row],[اللبناني]]/90)</f>
        <v>0</v>
      </c>
      <c r="M286" s="6"/>
    </row>
    <row r="287" spans="8:13" s="11" customFormat="1" x14ac:dyDescent="0.3">
      <c r="H287" s="5" t="s">
        <v>434</v>
      </c>
      <c r="I287" s="39"/>
      <c r="J287" s="18"/>
      <c r="L287" s="44">
        <f>Table13456781011121314151617181920212223242526272830[[#This Row],[الدولار]]+(Table13456781011121314151617181920212223242526272830[[#This Row],[اللبناني]]/90)</f>
        <v>0</v>
      </c>
      <c r="M287" s="6"/>
    </row>
    <row r="288" spans="8:13" s="11" customFormat="1" x14ac:dyDescent="0.3">
      <c r="H288" s="5" t="s">
        <v>434</v>
      </c>
      <c r="I288" s="39"/>
      <c r="J288" s="18"/>
      <c r="L288" s="44">
        <f>Table13456781011121314151617181920212223242526272830[[#This Row],[الدولار]]+(Table13456781011121314151617181920212223242526272830[[#This Row],[اللبناني]]/90)</f>
        <v>0</v>
      </c>
      <c r="M288" s="6"/>
    </row>
    <row r="289" spans="8:13" s="11" customFormat="1" x14ac:dyDescent="0.3">
      <c r="H289" s="5" t="s">
        <v>434</v>
      </c>
      <c r="I289" s="39"/>
      <c r="J289" s="18"/>
      <c r="L289" s="44">
        <f>Table13456781011121314151617181920212223242526272830[[#This Row],[الدولار]]+(Table13456781011121314151617181920212223242526272830[[#This Row],[اللبناني]]/90)</f>
        <v>0</v>
      </c>
      <c r="M289" s="6"/>
    </row>
    <row r="290" spans="8:13" s="11" customFormat="1" x14ac:dyDescent="0.3">
      <c r="H290" s="5" t="s">
        <v>434</v>
      </c>
      <c r="I290" s="39"/>
      <c r="J290" s="18"/>
      <c r="L290" s="44">
        <f>Table13456781011121314151617181920212223242526272830[[#This Row],[الدولار]]+(Table13456781011121314151617181920212223242526272830[[#This Row],[اللبناني]]/90)</f>
        <v>0</v>
      </c>
      <c r="M290" s="6"/>
    </row>
    <row r="291" spans="8:13" s="11" customFormat="1" x14ac:dyDescent="0.3">
      <c r="H291" s="5" t="s">
        <v>434</v>
      </c>
      <c r="I291" s="39"/>
      <c r="J291" s="18"/>
      <c r="L291" s="44">
        <f>Table13456781011121314151617181920212223242526272830[[#This Row],[الدولار]]+(Table13456781011121314151617181920212223242526272830[[#This Row],[اللبناني]]/90)</f>
        <v>0</v>
      </c>
      <c r="M291" s="6"/>
    </row>
    <row r="292" spans="8:13" s="11" customFormat="1" x14ac:dyDescent="0.3">
      <c r="H292" s="5" t="s">
        <v>434</v>
      </c>
      <c r="I292" s="39"/>
      <c r="J292" s="18"/>
      <c r="L292" s="44">
        <f>Table13456781011121314151617181920212223242526272830[[#This Row],[الدولار]]+(Table13456781011121314151617181920212223242526272830[[#This Row],[اللبناني]]/90)</f>
        <v>0</v>
      </c>
      <c r="M292" s="6"/>
    </row>
    <row r="293" spans="8:13" s="11" customFormat="1" x14ac:dyDescent="0.3">
      <c r="H293" s="5" t="s">
        <v>434</v>
      </c>
      <c r="I293" s="39"/>
      <c r="J293" s="18"/>
      <c r="L293" s="44">
        <f>Table13456781011121314151617181920212223242526272830[[#This Row],[الدولار]]+(Table13456781011121314151617181920212223242526272830[[#This Row],[اللبناني]]/90)</f>
        <v>0</v>
      </c>
      <c r="M293" s="6"/>
    </row>
    <row r="294" spans="8:13" s="11" customFormat="1" x14ac:dyDescent="0.3">
      <c r="H294" s="5" t="s">
        <v>434</v>
      </c>
      <c r="I294" s="39"/>
      <c r="J294" s="18"/>
      <c r="L294" s="44">
        <f>Table13456781011121314151617181920212223242526272830[[#This Row],[الدولار]]+(Table13456781011121314151617181920212223242526272830[[#This Row],[اللبناني]]/90)</f>
        <v>0</v>
      </c>
      <c r="M294" s="6"/>
    </row>
    <row r="295" spans="8:13" s="11" customFormat="1" x14ac:dyDescent="0.3">
      <c r="H295" s="5" t="s">
        <v>434</v>
      </c>
      <c r="I295" s="39"/>
      <c r="J295" s="18"/>
      <c r="L295" s="44">
        <f>Table13456781011121314151617181920212223242526272830[[#This Row],[الدولار]]+(Table13456781011121314151617181920212223242526272830[[#This Row],[اللبناني]]/90)</f>
        <v>0</v>
      </c>
      <c r="M295" s="6"/>
    </row>
    <row r="296" spans="8:13" s="11" customFormat="1" x14ac:dyDescent="0.3">
      <c r="H296" s="5" t="s">
        <v>434</v>
      </c>
      <c r="I296" s="39"/>
      <c r="J296" s="18"/>
      <c r="L296" s="44">
        <f>Table13456781011121314151617181920212223242526272830[[#This Row],[الدولار]]+(Table13456781011121314151617181920212223242526272830[[#This Row],[اللبناني]]/90)</f>
        <v>0</v>
      </c>
      <c r="M296" s="6"/>
    </row>
    <row r="297" spans="8:13" s="11" customFormat="1" x14ac:dyDescent="0.3">
      <c r="H297" s="5" t="s">
        <v>434</v>
      </c>
      <c r="I297" s="39"/>
      <c r="J297" s="18"/>
      <c r="L297" s="44">
        <f>Table13456781011121314151617181920212223242526272830[[#This Row],[الدولار]]+(Table13456781011121314151617181920212223242526272830[[#This Row],[اللبناني]]/90)</f>
        <v>0</v>
      </c>
      <c r="M297" s="6"/>
    </row>
    <row r="298" spans="8:13" s="11" customFormat="1" x14ac:dyDescent="0.3">
      <c r="H298" s="5" t="s">
        <v>434</v>
      </c>
      <c r="I298" s="39"/>
      <c r="J298" s="18"/>
      <c r="L298" s="44">
        <f>Table13456781011121314151617181920212223242526272830[[#This Row],[الدولار]]+(Table13456781011121314151617181920212223242526272830[[#This Row],[اللبناني]]/90)</f>
        <v>0</v>
      </c>
      <c r="M298" s="6"/>
    </row>
    <row r="299" spans="8:13" s="11" customFormat="1" x14ac:dyDescent="0.3">
      <c r="H299" s="5" t="s">
        <v>434</v>
      </c>
      <c r="I299" s="39"/>
      <c r="J299" s="18"/>
      <c r="L299" s="44">
        <f>Table13456781011121314151617181920212223242526272830[[#This Row],[الدولار]]+(Table13456781011121314151617181920212223242526272830[[#This Row],[اللبناني]]/90)</f>
        <v>0</v>
      </c>
      <c r="M299" s="6"/>
    </row>
    <row r="300" spans="8:13" s="11" customFormat="1" x14ac:dyDescent="0.3">
      <c r="H300" s="5" t="s">
        <v>434</v>
      </c>
      <c r="I300" s="39"/>
      <c r="J300" s="18"/>
      <c r="L300" s="44">
        <f>Table13456781011121314151617181920212223242526272830[[#This Row],[الدولار]]+(Table13456781011121314151617181920212223242526272830[[#This Row],[اللبناني]]/90)</f>
        <v>0</v>
      </c>
      <c r="M300" s="6"/>
    </row>
    <row r="301" spans="8:13" s="11" customFormat="1" x14ac:dyDescent="0.3">
      <c r="H301" s="5" t="s">
        <v>434</v>
      </c>
      <c r="I301" s="39"/>
      <c r="J301" s="18"/>
      <c r="L301" s="44">
        <f>Table13456781011121314151617181920212223242526272830[[#This Row],[الدولار]]+(Table13456781011121314151617181920212223242526272830[[#This Row],[اللبناني]]/90)</f>
        <v>0</v>
      </c>
      <c r="M301" s="6"/>
    </row>
    <row r="302" spans="8:13" s="11" customFormat="1" x14ac:dyDescent="0.3">
      <c r="H302" s="5" t="s">
        <v>434</v>
      </c>
      <c r="I302" s="39"/>
      <c r="J302" s="18"/>
      <c r="L302" s="44">
        <f>Table13456781011121314151617181920212223242526272830[[#This Row],[الدولار]]+(Table13456781011121314151617181920212223242526272830[[#This Row],[اللبناني]]/90)</f>
        <v>0</v>
      </c>
      <c r="M302" s="6"/>
    </row>
    <row r="303" spans="8:13" s="11" customFormat="1" x14ac:dyDescent="0.3">
      <c r="H303" s="5" t="s">
        <v>434</v>
      </c>
      <c r="I303" s="39"/>
      <c r="J303" s="18"/>
      <c r="L303" s="44">
        <f>Table13456781011121314151617181920212223242526272830[[#This Row],[الدولار]]+(Table13456781011121314151617181920212223242526272830[[#This Row],[اللبناني]]/90)</f>
        <v>0</v>
      </c>
      <c r="M303" s="6"/>
    </row>
    <row r="304" spans="8:13" s="11" customFormat="1" x14ac:dyDescent="0.3">
      <c r="H304" s="5" t="s">
        <v>434</v>
      </c>
      <c r="I304" s="39"/>
      <c r="J304" s="18"/>
      <c r="L304" s="44">
        <f>Table13456781011121314151617181920212223242526272830[[#This Row],[الدولار]]+(Table13456781011121314151617181920212223242526272830[[#This Row],[اللبناني]]/90)</f>
        <v>0</v>
      </c>
      <c r="M304" s="6"/>
    </row>
    <row r="305" spans="8:13" s="11" customFormat="1" x14ac:dyDescent="0.3">
      <c r="H305" s="5" t="s">
        <v>434</v>
      </c>
      <c r="I305" s="39"/>
      <c r="J305" s="18"/>
      <c r="L305" s="44">
        <f>Table13456781011121314151617181920212223242526272830[[#This Row],[الدولار]]+(Table13456781011121314151617181920212223242526272830[[#This Row],[اللبناني]]/90)</f>
        <v>0</v>
      </c>
      <c r="M305" s="6"/>
    </row>
    <row r="306" spans="8:13" s="11" customFormat="1" x14ac:dyDescent="0.3">
      <c r="H306" s="5" t="s">
        <v>434</v>
      </c>
      <c r="I306" s="39"/>
      <c r="J306" s="18"/>
      <c r="L306" s="44">
        <f>Table13456781011121314151617181920212223242526272830[[#This Row],[الدولار]]+(Table13456781011121314151617181920212223242526272830[[#This Row],[اللبناني]]/90)</f>
        <v>0</v>
      </c>
      <c r="M306" s="6"/>
    </row>
    <row r="307" spans="8:13" s="11" customFormat="1" x14ac:dyDescent="0.3">
      <c r="H307" s="5" t="s">
        <v>434</v>
      </c>
      <c r="I307" s="39"/>
      <c r="J307" s="18"/>
      <c r="L307" s="44">
        <f>Table13456781011121314151617181920212223242526272830[[#This Row],[الدولار]]+(Table13456781011121314151617181920212223242526272830[[#This Row],[اللبناني]]/90)</f>
        <v>0</v>
      </c>
      <c r="M307" s="6"/>
    </row>
    <row r="308" spans="8:13" s="11" customFormat="1" x14ac:dyDescent="0.3">
      <c r="H308" s="5" t="s">
        <v>434</v>
      </c>
      <c r="I308" s="39"/>
      <c r="J308" s="18"/>
      <c r="L308" s="44">
        <f>Table13456781011121314151617181920212223242526272830[[#This Row],[الدولار]]+(Table13456781011121314151617181920212223242526272830[[#This Row],[اللبناني]]/90)</f>
        <v>0</v>
      </c>
      <c r="M308" s="6"/>
    </row>
    <row r="309" spans="8:13" s="11" customFormat="1" x14ac:dyDescent="0.3">
      <c r="H309" s="5" t="s">
        <v>434</v>
      </c>
      <c r="I309" s="39"/>
      <c r="J309" s="18"/>
      <c r="L309" s="44">
        <f>Table13456781011121314151617181920212223242526272830[[#This Row],[الدولار]]+(Table13456781011121314151617181920212223242526272830[[#This Row],[اللبناني]]/90)</f>
        <v>0</v>
      </c>
      <c r="M309" s="6"/>
    </row>
    <row r="310" spans="8:13" s="11" customFormat="1" x14ac:dyDescent="0.3">
      <c r="H310" s="5" t="s">
        <v>434</v>
      </c>
      <c r="I310" s="39"/>
      <c r="J310" s="18"/>
      <c r="L310" s="44">
        <f>Table13456781011121314151617181920212223242526272830[[#This Row],[الدولار]]+(Table13456781011121314151617181920212223242526272830[[#This Row],[اللبناني]]/90)</f>
        <v>0</v>
      </c>
      <c r="M310" s="6"/>
    </row>
    <row r="311" spans="8:13" s="11" customFormat="1" x14ac:dyDescent="0.3">
      <c r="H311" s="5" t="s">
        <v>434</v>
      </c>
      <c r="I311" s="39"/>
      <c r="J311" s="18"/>
      <c r="L311" s="44">
        <f>Table13456781011121314151617181920212223242526272830[[#This Row],[الدولار]]+(Table13456781011121314151617181920212223242526272830[[#This Row],[اللبناني]]/90)</f>
        <v>0</v>
      </c>
      <c r="M311" s="6"/>
    </row>
    <row r="312" spans="8:13" s="11" customFormat="1" x14ac:dyDescent="0.3">
      <c r="H312" s="5" t="s">
        <v>434</v>
      </c>
      <c r="I312" s="39"/>
      <c r="J312" s="18"/>
      <c r="L312" s="44">
        <f>Table13456781011121314151617181920212223242526272830[[#This Row],[الدولار]]+(Table13456781011121314151617181920212223242526272830[[#This Row],[اللبناني]]/90)</f>
        <v>0</v>
      </c>
      <c r="M312" s="6"/>
    </row>
    <row r="313" spans="8:13" s="11" customFormat="1" x14ac:dyDescent="0.3">
      <c r="H313" s="5" t="s">
        <v>434</v>
      </c>
      <c r="I313" s="39"/>
      <c r="J313" s="18"/>
      <c r="L313" s="44">
        <f>Table13456781011121314151617181920212223242526272830[[#This Row],[الدولار]]+(Table13456781011121314151617181920212223242526272830[[#This Row],[اللبناني]]/90)</f>
        <v>0</v>
      </c>
      <c r="M313" s="6"/>
    </row>
    <row r="314" spans="8:13" s="11" customFormat="1" x14ac:dyDescent="0.3">
      <c r="H314" s="5" t="s">
        <v>434</v>
      </c>
      <c r="I314" s="39"/>
      <c r="J314" s="18"/>
      <c r="L314" s="44">
        <f>Table13456781011121314151617181920212223242526272830[[#This Row],[الدولار]]+(Table13456781011121314151617181920212223242526272830[[#This Row],[اللبناني]]/90)</f>
        <v>0</v>
      </c>
      <c r="M314" s="6"/>
    </row>
    <row r="315" spans="8:13" s="11" customFormat="1" x14ac:dyDescent="0.3">
      <c r="H315" s="5" t="s">
        <v>434</v>
      </c>
      <c r="I315" s="39"/>
      <c r="J315" s="18"/>
      <c r="L315" s="44">
        <f>Table13456781011121314151617181920212223242526272830[[#This Row],[الدولار]]+(Table13456781011121314151617181920212223242526272830[[#This Row],[اللبناني]]/90)</f>
        <v>0</v>
      </c>
      <c r="M315" s="6"/>
    </row>
    <row r="316" spans="8:13" s="11" customFormat="1" x14ac:dyDescent="0.3">
      <c r="H316" s="5" t="s">
        <v>434</v>
      </c>
      <c r="I316" s="39"/>
      <c r="J316" s="18"/>
      <c r="L316" s="44">
        <f>Table13456781011121314151617181920212223242526272830[[#This Row],[الدولار]]+(Table13456781011121314151617181920212223242526272830[[#This Row],[اللبناني]]/90)</f>
        <v>0</v>
      </c>
      <c r="M316" s="6"/>
    </row>
    <row r="317" spans="8:13" s="11" customFormat="1" x14ac:dyDescent="0.3">
      <c r="H317" s="5" t="s">
        <v>434</v>
      </c>
      <c r="I317" s="39"/>
      <c r="J317" s="18"/>
      <c r="L317" s="44">
        <f>Table13456781011121314151617181920212223242526272830[[#This Row],[الدولار]]+(Table13456781011121314151617181920212223242526272830[[#This Row],[اللبناني]]/90)</f>
        <v>0</v>
      </c>
      <c r="M317" s="6"/>
    </row>
    <row r="318" spans="8:13" s="11" customFormat="1" x14ac:dyDescent="0.3">
      <c r="H318" s="5" t="s">
        <v>434</v>
      </c>
      <c r="I318" s="39"/>
      <c r="J318" s="18"/>
      <c r="L318" s="44">
        <f>Table13456781011121314151617181920212223242526272830[[#This Row],[الدولار]]+(Table13456781011121314151617181920212223242526272830[[#This Row],[اللبناني]]/90)</f>
        <v>0</v>
      </c>
      <c r="M318" s="6"/>
    </row>
    <row r="319" spans="8:13" s="11" customFormat="1" x14ac:dyDescent="0.3">
      <c r="H319" s="5" t="s">
        <v>434</v>
      </c>
      <c r="I319" s="39"/>
      <c r="J319" s="18"/>
      <c r="L319" s="44">
        <f>Table13456781011121314151617181920212223242526272830[[#This Row],[الدولار]]+(Table13456781011121314151617181920212223242526272830[[#This Row],[اللبناني]]/90)</f>
        <v>0</v>
      </c>
      <c r="M319" s="6"/>
    </row>
    <row r="320" spans="8:13" s="11" customFormat="1" x14ac:dyDescent="0.3">
      <c r="H320" s="5" t="s">
        <v>434</v>
      </c>
      <c r="I320" s="39"/>
      <c r="J320" s="18"/>
      <c r="L320" s="44">
        <f>Table13456781011121314151617181920212223242526272830[[#This Row],[الدولار]]+(Table13456781011121314151617181920212223242526272830[[#This Row],[اللبناني]]/90)</f>
        <v>0</v>
      </c>
      <c r="M320" s="6"/>
    </row>
    <row r="321" spans="8:13" s="11" customFormat="1" x14ac:dyDescent="0.3">
      <c r="H321" s="5" t="s">
        <v>434</v>
      </c>
      <c r="I321" s="39"/>
      <c r="J321" s="18"/>
      <c r="L321" s="44">
        <f>Table13456781011121314151617181920212223242526272830[[#This Row],[الدولار]]+(Table13456781011121314151617181920212223242526272830[[#This Row],[اللبناني]]/90)</f>
        <v>0</v>
      </c>
      <c r="M321" s="6"/>
    </row>
    <row r="322" spans="8:13" s="11" customFormat="1" x14ac:dyDescent="0.3">
      <c r="H322" s="5" t="s">
        <v>434</v>
      </c>
      <c r="I322" s="39"/>
      <c r="J322" s="18"/>
      <c r="L322" s="44">
        <f>Table13456781011121314151617181920212223242526272830[[#This Row],[الدولار]]+(Table13456781011121314151617181920212223242526272830[[#This Row],[اللبناني]]/90)</f>
        <v>0</v>
      </c>
      <c r="M322" s="6"/>
    </row>
    <row r="323" spans="8:13" s="11" customFormat="1" x14ac:dyDescent="0.3">
      <c r="H323" s="5" t="s">
        <v>434</v>
      </c>
      <c r="I323" s="39"/>
      <c r="J323" s="18"/>
      <c r="L323" s="44">
        <f>Table13456781011121314151617181920212223242526272830[[#This Row],[الدولار]]+(Table13456781011121314151617181920212223242526272830[[#This Row],[اللبناني]]/90)</f>
        <v>0</v>
      </c>
      <c r="M323" s="6"/>
    </row>
    <row r="324" spans="8:13" s="11" customFormat="1" x14ac:dyDescent="0.3">
      <c r="H324" s="5" t="s">
        <v>434</v>
      </c>
      <c r="I324" s="39"/>
      <c r="J324" s="18"/>
      <c r="L324" s="44">
        <f>Table13456781011121314151617181920212223242526272830[[#This Row],[الدولار]]+(Table13456781011121314151617181920212223242526272830[[#This Row],[اللبناني]]/90)</f>
        <v>0</v>
      </c>
      <c r="M324" s="6"/>
    </row>
    <row r="325" spans="8:13" s="11" customFormat="1" x14ac:dyDescent="0.3">
      <c r="H325" s="5" t="s">
        <v>434</v>
      </c>
      <c r="I325" s="39"/>
      <c r="J325" s="18"/>
      <c r="L325" s="44">
        <f>Table13456781011121314151617181920212223242526272830[[#This Row],[الدولار]]+(Table13456781011121314151617181920212223242526272830[[#This Row],[اللبناني]]/90)</f>
        <v>0</v>
      </c>
      <c r="M325" s="6"/>
    </row>
    <row r="326" spans="8:13" s="11" customFormat="1" x14ac:dyDescent="0.3">
      <c r="H326" s="5" t="s">
        <v>434</v>
      </c>
      <c r="I326" s="39"/>
      <c r="J326" s="18"/>
      <c r="L326" s="44">
        <f>Table13456781011121314151617181920212223242526272830[[#This Row],[الدولار]]+(Table13456781011121314151617181920212223242526272830[[#This Row],[اللبناني]]/90)</f>
        <v>0</v>
      </c>
      <c r="M326" s="6"/>
    </row>
    <row r="327" spans="8:13" s="11" customFormat="1" x14ac:dyDescent="0.3">
      <c r="H327" s="5" t="s">
        <v>434</v>
      </c>
      <c r="I327" s="39"/>
      <c r="J327" s="18"/>
      <c r="L327" s="44">
        <f>Table13456781011121314151617181920212223242526272830[[#This Row],[الدولار]]+(Table13456781011121314151617181920212223242526272830[[#This Row],[اللبناني]]/90)</f>
        <v>0</v>
      </c>
      <c r="M327" s="6"/>
    </row>
    <row r="328" spans="8:13" s="11" customFormat="1" x14ac:dyDescent="0.3">
      <c r="H328" s="5" t="s">
        <v>434</v>
      </c>
      <c r="I328" s="39"/>
      <c r="J328" s="18"/>
      <c r="L328" s="44">
        <f>Table13456781011121314151617181920212223242526272830[[#This Row],[الدولار]]+(Table13456781011121314151617181920212223242526272830[[#This Row],[اللبناني]]/90)</f>
        <v>0</v>
      </c>
      <c r="M328" s="6"/>
    </row>
    <row r="329" spans="8:13" s="11" customFormat="1" x14ac:dyDescent="0.3">
      <c r="H329" s="5" t="s">
        <v>434</v>
      </c>
      <c r="I329" s="39"/>
      <c r="J329" s="18"/>
      <c r="L329" s="44">
        <f>Table13456781011121314151617181920212223242526272830[[#This Row],[الدولار]]+(Table13456781011121314151617181920212223242526272830[[#This Row],[اللبناني]]/90)</f>
        <v>0</v>
      </c>
      <c r="M329" s="6"/>
    </row>
    <row r="330" spans="8:13" s="11" customFormat="1" x14ac:dyDescent="0.3">
      <c r="H330" s="5" t="s">
        <v>434</v>
      </c>
      <c r="I330" s="39"/>
      <c r="J330" s="18"/>
      <c r="L330" s="44">
        <f>Table13456781011121314151617181920212223242526272830[[#This Row],[الدولار]]+(Table13456781011121314151617181920212223242526272830[[#This Row],[اللبناني]]/90)</f>
        <v>0</v>
      </c>
      <c r="M330" s="6"/>
    </row>
    <row r="331" spans="8:13" s="11" customFormat="1" x14ac:dyDescent="0.3">
      <c r="H331" s="5" t="s">
        <v>434</v>
      </c>
      <c r="I331" s="39"/>
      <c r="J331" s="18"/>
      <c r="L331" s="44">
        <f>Table13456781011121314151617181920212223242526272830[[#This Row],[الدولار]]+(Table13456781011121314151617181920212223242526272830[[#This Row],[اللبناني]]/90)</f>
        <v>0</v>
      </c>
      <c r="M331" s="6"/>
    </row>
    <row r="332" spans="8:13" s="11" customFormat="1" x14ac:dyDescent="0.3">
      <c r="H332" s="5" t="s">
        <v>434</v>
      </c>
      <c r="I332" s="39"/>
      <c r="J332" s="18"/>
      <c r="L332" s="44">
        <f>Table13456781011121314151617181920212223242526272830[[#This Row],[الدولار]]+(Table13456781011121314151617181920212223242526272830[[#This Row],[اللبناني]]/90)</f>
        <v>0</v>
      </c>
      <c r="M332" s="6"/>
    </row>
    <row r="333" spans="8:13" s="11" customFormat="1" x14ac:dyDescent="0.3">
      <c r="H333" s="5" t="s">
        <v>434</v>
      </c>
      <c r="I333" s="39"/>
      <c r="J333" s="18"/>
      <c r="L333" s="44">
        <f>Table13456781011121314151617181920212223242526272830[[#This Row],[الدولار]]+(Table13456781011121314151617181920212223242526272830[[#This Row],[اللبناني]]/90)</f>
        <v>0</v>
      </c>
      <c r="M333" s="6"/>
    </row>
    <row r="334" spans="8:13" s="11" customFormat="1" x14ac:dyDescent="0.3">
      <c r="H334" s="5" t="s">
        <v>434</v>
      </c>
      <c r="I334" s="39"/>
      <c r="J334" s="18"/>
      <c r="L334" s="44">
        <f>Table13456781011121314151617181920212223242526272830[[#This Row],[الدولار]]+(Table13456781011121314151617181920212223242526272830[[#This Row],[اللبناني]]/90)</f>
        <v>0</v>
      </c>
      <c r="M334" s="6"/>
    </row>
    <row r="335" spans="8:13" s="11" customFormat="1" x14ac:dyDescent="0.3">
      <c r="H335" s="5" t="s">
        <v>434</v>
      </c>
      <c r="I335" s="39"/>
      <c r="J335" s="18"/>
      <c r="L335" s="44">
        <f>Table13456781011121314151617181920212223242526272830[[#This Row],[الدولار]]+(Table13456781011121314151617181920212223242526272830[[#This Row],[اللبناني]]/90)</f>
        <v>0</v>
      </c>
      <c r="M335" s="6"/>
    </row>
    <row r="336" spans="8:13" s="11" customFormat="1" x14ac:dyDescent="0.3">
      <c r="H336" s="5" t="s">
        <v>434</v>
      </c>
      <c r="I336" s="39"/>
      <c r="J336" s="18"/>
      <c r="L336" s="44">
        <f>Table13456781011121314151617181920212223242526272830[[#This Row],[الدولار]]+(Table13456781011121314151617181920212223242526272830[[#This Row],[اللبناني]]/90)</f>
        <v>0</v>
      </c>
      <c r="M336" s="6"/>
    </row>
    <row r="337" spans="8:13" s="11" customFormat="1" x14ac:dyDescent="0.3">
      <c r="H337" s="5" t="s">
        <v>434</v>
      </c>
      <c r="I337" s="39"/>
      <c r="J337" s="18"/>
      <c r="L337" s="44">
        <f>Table13456781011121314151617181920212223242526272830[[#This Row],[الدولار]]+(Table13456781011121314151617181920212223242526272830[[#This Row],[اللبناني]]/90)</f>
        <v>0</v>
      </c>
      <c r="M337" s="6"/>
    </row>
    <row r="338" spans="8:13" s="11" customFormat="1" x14ac:dyDescent="0.3">
      <c r="H338" s="5" t="s">
        <v>434</v>
      </c>
      <c r="I338" s="39"/>
      <c r="J338" s="18"/>
      <c r="L338" s="44">
        <f>Table13456781011121314151617181920212223242526272830[[#This Row],[الدولار]]+(Table13456781011121314151617181920212223242526272830[[#This Row],[اللبناني]]/90)</f>
        <v>0</v>
      </c>
      <c r="M338" s="6"/>
    </row>
    <row r="339" spans="8:13" s="11" customFormat="1" x14ac:dyDescent="0.3">
      <c r="H339" s="5" t="s">
        <v>434</v>
      </c>
      <c r="I339" s="39"/>
      <c r="J339" s="18"/>
      <c r="L339" s="44">
        <f>Table13456781011121314151617181920212223242526272830[[#This Row],[الدولار]]+(Table13456781011121314151617181920212223242526272830[[#This Row],[اللبناني]]/90)</f>
        <v>0</v>
      </c>
      <c r="M339" s="6"/>
    </row>
    <row r="340" spans="8:13" s="11" customFormat="1" x14ac:dyDescent="0.3">
      <c r="H340" s="5" t="s">
        <v>434</v>
      </c>
      <c r="I340" s="39"/>
      <c r="J340" s="18"/>
      <c r="L340" s="44">
        <f>Table13456781011121314151617181920212223242526272830[[#This Row],[الدولار]]+(Table13456781011121314151617181920212223242526272830[[#This Row],[اللبناني]]/90)</f>
        <v>0</v>
      </c>
      <c r="M340" s="6"/>
    </row>
    <row r="341" spans="8:13" s="11" customFormat="1" x14ac:dyDescent="0.3">
      <c r="H341" s="5" t="s">
        <v>434</v>
      </c>
      <c r="I341" s="39"/>
      <c r="J341" s="18"/>
      <c r="L341" s="44">
        <f>Table13456781011121314151617181920212223242526272830[[#This Row],[الدولار]]+(Table13456781011121314151617181920212223242526272830[[#This Row],[اللبناني]]/90)</f>
        <v>0</v>
      </c>
      <c r="M341" s="6"/>
    </row>
    <row r="342" spans="8:13" s="11" customFormat="1" x14ac:dyDescent="0.3">
      <c r="H342" s="5" t="s">
        <v>434</v>
      </c>
      <c r="I342" s="39"/>
      <c r="J342" s="18"/>
      <c r="L342" s="44">
        <f>Table13456781011121314151617181920212223242526272830[[#This Row],[الدولار]]+(Table13456781011121314151617181920212223242526272830[[#This Row],[اللبناني]]/90)</f>
        <v>0</v>
      </c>
      <c r="M342" s="6"/>
    </row>
    <row r="343" spans="8:13" s="11" customFormat="1" x14ac:dyDescent="0.3">
      <c r="H343" s="5" t="s">
        <v>434</v>
      </c>
      <c r="I343" s="39"/>
      <c r="J343" s="18"/>
      <c r="L343" s="44">
        <f>Table13456781011121314151617181920212223242526272830[[#This Row],[الدولار]]+(Table13456781011121314151617181920212223242526272830[[#This Row],[اللبناني]]/90)</f>
        <v>0</v>
      </c>
      <c r="M343" s="6"/>
    </row>
    <row r="344" spans="8:13" s="11" customFormat="1" x14ac:dyDescent="0.3">
      <c r="H344" s="5" t="s">
        <v>434</v>
      </c>
      <c r="I344" s="39"/>
      <c r="J344" s="18"/>
      <c r="L344" s="44">
        <f>Table13456781011121314151617181920212223242526272830[[#This Row],[الدولار]]+(Table13456781011121314151617181920212223242526272830[[#This Row],[اللبناني]]/90)</f>
        <v>0</v>
      </c>
      <c r="M344" s="6"/>
    </row>
    <row r="345" spans="8:13" s="11" customFormat="1" x14ac:dyDescent="0.3">
      <c r="H345" s="5" t="s">
        <v>434</v>
      </c>
      <c r="I345" s="39"/>
      <c r="J345" s="18"/>
      <c r="L345" s="44">
        <f>Table13456781011121314151617181920212223242526272830[[#This Row],[الدولار]]+(Table13456781011121314151617181920212223242526272830[[#This Row],[اللبناني]]/90)</f>
        <v>0</v>
      </c>
      <c r="M345" s="6"/>
    </row>
    <row r="346" spans="8:13" s="11" customFormat="1" x14ac:dyDescent="0.3">
      <c r="H346" s="5" t="s">
        <v>434</v>
      </c>
      <c r="I346" s="39"/>
      <c r="J346" s="18"/>
      <c r="L346" s="44">
        <f>Table13456781011121314151617181920212223242526272830[[#This Row],[الدولار]]+(Table13456781011121314151617181920212223242526272830[[#This Row],[اللبناني]]/90)</f>
        <v>0</v>
      </c>
      <c r="M346" s="6"/>
    </row>
    <row r="347" spans="8:13" s="11" customFormat="1" x14ac:dyDescent="0.3">
      <c r="H347" s="5" t="s">
        <v>434</v>
      </c>
      <c r="I347" s="39"/>
      <c r="J347" s="18"/>
      <c r="L347" s="44">
        <f>Table13456781011121314151617181920212223242526272830[[#This Row],[الدولار]]+(Table13456781011121314151617181920212223242526272830[[#This Row],[اللبناني]]/90)</f>
        <v>0</v>
      </c>
      <c r="M347" s="6"/>
    </row>
    <row r="348" spans="8:13" s="11" customFormat="1" x14ac:dyDescent="0.3">
      <c r="H348" s="5" t="s">
        <v>434</v>
      </c>
      <c r="I348" s="39"/>
      <c r="J348" s="18"/>
      <c r="L348" s="44">
        <f>Table13456781011121314151617181920212223242526272830[[#This Row],[الدولار]]+(Table13456781011121314151617181920212223242526272830[[#This Row],[اللبناني]]/90)</f>
        <v>0</v>
      </c>
      <c r="M348" s="6"/>
    </row>
    <row r="349" spans="8:13" s="11" customFormat="1" x14ac:dyDescent="0.3">
      <c r="H349" s="5" t="s">
        <v>434</v>
      </c>
      <c r="I349" s="39"/>
      <c r="J349" s="18"/>
      <c r="L349" s="44">
        <f>Table13456781011121314151617181920212223242526272830[[#This Row],[الدولار]]+(Table13456781011121314151617181920212223242526272830[[#This Row],[اللبناني]]/90)</f>
        <v>0</v>
      </c>
      <c r="M349" s="6"/>
    </row>
    <row r="350" spans="8:13" s="11" customFormat="1" x14ac:dyDescent="0.3">
      <c r="H350" s="5" t="s">
        <v>434</v>
      </c>
      <c r="I350" s="39"/>
      <c r="J350" s="18"/>
      <c r="L350" s="44">
        <f>Table13456781011121314151617181920212223242526272830[[#This Row],[الدولار]]+(Table13456781011121314151617181920212223242526272830[[#This Row],[اللبناني]]/90)</f>
        <v>0</v>
      </c>
      <c r="M350" s="6"/>
    </row>
    <row r="351" spans="8:13" s="11" customFormat="1" x14ac:dyDescent="0.3">
      <c r="H351" s="5" t="s">
        <v>434</v>
      </c>
      <c r="I351" s="39"/>
      <c r="J351" s="18"/>
      <c r="L351" s="44">
        <f>Table13456781011121314151617181920212223242526272830[[#This Row],[الدولار]]+(Table13456781011121314151617181920212223242526272830[[#This Row],[اللبناني]]/90)</f>
        <v>0</v>
      </c>
      <c r="M351" s="6"/>
    </row>
    <row r="352" spans="8:13" s="11" customFormat="1" x14ac:dyDescent="0.3">
      <c r="H352" s="5" t="s">
        <v>434</v>
      </c>
      <c r="I352" s="39"/>
      <c r="J352" s="18"/>
      <c r="L352" s="44">
        <f>Table13456781011121314151617181920212223242526272830[[#This Row],[الدولار]]+(Table13456781011121314151617181920212223242526272830[[#This Row],[اللبناني]]/90)</f>
        <v>0</v>
      </c>
      <c r="M352" s="6"/>
    </row>
    <row r="353" spans="8:13" s="11" customFormat="1" x14ac:dyDescent="0.3">
      <c r="H353" s="5" t="s">
        <v>434</v>
      </c>
      <c r="I353" s="39"/>
      <c r="J353" s="18"/>
      <c r="L353" s="44">
        <f>Table13456781011121314151617181920212223242526272830[[#This Row],[الدولار]]+(Table13456781011121314151617181920212223242526272830[[#This Row],[اللبناني]]/90)</f>
        <v>0</v>
      </c>
      <c r="M353" s="6"/>
    </row>
    <row r="354" spans="8:13" s="11" customFormat="1" x14ac:dyDescent="0.3">
      <c r="H354" s="5" t="s">
        <v>434</v>
      </c>
      <c r="I354" s="39"/>
      <c r="J354" s="18"/>
      <c r="L354" s="44">
        <f>Table13456781011121314151617181920212223242526272830[[#This Row],[الدولار]]+(Table13456781011121314151617181920212223242526272830[[#This Row],[اللبناني]]/90)</f>
        <v>0</v>
      </c>
      <c r="M354" s="6"/>
    </row>
    <row r="355" spans="8:13" s="11" customFormat="1" x14ac:dyDescent="0.3">
      <c r="H355" s="5" t="s">
        <v>434</v>
      </c>
      <c r="I355" s="39"/>
      <c r="J355" s="18"/>
      <c r="L355" s="44">
        <f>Table13456781011121314151617181920212223242526272830[[#This Row],[الدولار]]+(Table13456781011121314151617181920212223242526272830[[#This Row],[اللبناني]]/90)</f>
        <v>0</v>
      </c>
      <c r="M355" s="6"/>
    </row>
    <row r="356" spans="8:13" s="11" customFormat="1" x14ac:dyDescent="0.3">
      <c r="H356" s="5" t="s">
        <v>434</v>
      </c>
      <c r="I356" s="39"/>
      <c r="J356" s="18"/>
      <c r="L356" s="44">
        <f>Table13456781011121314151617181920212223242526272830[[#This Row],[الدولار]]+(Table13456781011121314151617181920212223242526272830[[#This Row],[اللبناني]]/90)</f>
        <v>0</v>
      </c>
      <c r="M356" s="6"/>
    </row>
    <row r="357" spans="8:13" s="11" customFormat="1" x14ac:dyDescent="0.3">
      <c r="H357" s="5" t="s">
        <v>434</v>
      </c>
      <c r="I357" s="39"/>
      <c r="J357" s="18"/>
      <c r="L357" s="44">
        <f>Table13456781011121314151617181920212223242526272830[[#This Row],[الدولار]]+(Table13456781011121314151617181920212223242526272830[[#This Row],[اللبناني]]/90)</f>
        <v>0</v>
      </c>
      <c r="M357" s="6"/>
    </row>
    <row r="358" spans="8:13" s="11" customFormat="1" x14ac:dyDescent="0.3">
      <c r="H358" s="5" t="s">
        <v>434</v>
      </c>
      <c r="I358" s="39"/>
      <c r="J358" s="18"/>
      <c r="L358" s="44">
        <f>Table13456781011121314151617181920212223242526272830[[#This Row],[الدولار]]+(Table13456781011121314151617181920212223242526272830[[#This Row],[اللبناني]]/90)</f>
        <v>0</v>
      </c>
      <c r="M358" s="6"/>
    </row>
    <row r="359" spans="8:13" s="11" customFormat="1" x14ac:dyDescent="0.3">
      <c r="H359" s="5" t="s">
        <v>434</v>
      </c>
      <c r="I359" s="39"/>
      <c r="J359" s="18"/>
      <c r="L359" s="44">
        <f>Table13456781011121314151617181920212223242526272830[[#This Row],[الدولار]]+(Table13456781011121314151617181920212223242526272830[[#This Row],[اللبناني]]/90)</f>
        <v>0</v>
      </c>
      <c r="M359" s="6"/>
    </row>
    <row r="360" spans="8:13" s="11" customFormat="1" x14ac:dyDescent="0.3">
      <c r="H360" s="5" t="s">
        <v>434</v>
      </c>
      <c r="I360" s="39"/>
      <c r="J360" s="18"/>
      <c r="L360" s="44">
        <f>Table13456781011121314151617181920212223242526272830[[#This Row],[الدولار]]+(Table13456781011121314151617181920212223242526272830[[#This Row],[اللبناني]]/90)</f>
        <v>0</v>
      </c>
      <c r="M360" s="6"/>
    </row>
    <row r="361" spans="8:13" s="11" customFormat="1" x14ac:dyDescent="0.3">
      <c r="H361" s="5" t="s">
        <v>434</v>
      </c>
      <c r="I361" s="39"/>
      <c r="J361" s="18"/>
      <c r="L361" s="44">
        <f>Table13456781011121314151617181920212223242526272830[[#This Row],[الدولار]]+(Table13456781011121314151617181920212223242526272830[[#This Row],[اللبناني]]/90)</f>
        <v>0</v>
      </c>
      <c r="M361" s="6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.3" footer="0.3"/>
  <pageSetup paperSize="9" scale="65" fitToHeight="0" orientation="portrait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ECC4-A347-439E-BC1F-C3BB15F7D663}">
  <sheetPr>
    <pageSetUpPr fitToPage="1"/>
  </sheetPr>
  <dimension ref="A1:S361"/>
  <sheetViews>
    <sheetView rightToLeft="1" topLeftCell="A54" zoomScale="115" zoomScaleNormal="115" workbookViewId="0">
      <selection activeCell="I71" sqref="I71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8.44140625" style="2" bestFit="1" customWidth="1"/>
    <col min="4" max="4" width="10.44140625" style="2" customWidth="1"/>
    <col min="5" max="5" width="7" style="2" customWidth="1"/>
    <col min="6" max="6" width="11.44140625" style="2" bestFit="1" customWidth="1"/>
    <col min="7" max="7" width="2.44140625" style="2" customWidth="1"/>
    <col min="8" max="8" width="8.88671875" style="2" bestFit="1" customWidth="1"/>
    <col min="9" max="9" width="17.88671875" style="39" customWidth="1"/>
    <col min="10" max="10" width="12.109375" style="7" bestFit="1" customWidth="1"/>
    <col min="11" max="11" width="8.5546875" style="11" bestFit="1" customWidth="1"/>
    <col min="12" max="12" width="9" style="6" bestFit="1" customWidth="1"/>
    <col min="13" max="13" width="2.5546875" style="6" customWidth="1"/>
    <col min="14" max="14" width="9.44140625" style="2" bestFit="1" customWidth="1"/>
    <col min="15" max="15" width="5.109375" style="2" bestFit="1" customWidth="1"/>
    <col min="16" max="16" width="8.5546875" style="2" bestFit="1" customWidth="1"/>
    <col min="17" max="17" width="9.109375" style="2" bestFit="1" customWidth="1"/>
    <col min="18" max="18" width="5.109375" style="2" bestFit="1" customWidth="1"/>
    <col min="19" max="19" width="11.109375" style="2" bestFit="1" customWidth="1"/>
    <col min="20" max="16384" width="8.88671875" style="2"/>
  </cols>
  <sheetData>
    <row r="1" spans="1:19" x14ac:dyDescent="0.3">
      <c r="I1" s="39" t="s">
        <v>38</v>
      </c>
      <c r="J1" s="7">
        <f>SUM(J3:J18)</f>
        <v>-520</v>
      </c>
      <c r="K1" s="7">
        <f>SUM(K3:K18)</f>
        <v>270</v>
      </c>
      <c r="L1" s="7">
        <f>SUM(L3:L18)</f>
        <v>264.22222222222223</v>
      </c>
    </row>
    <row r="2" spans="1:19" x14ac:dyDescent="0.3">
      <c r="H2" s="2" t="s">
        <v>426</v>
      </c>
      <c r="I2" s="40" t="s">
        <v>6</v>
      </c>
      <c r="J2" s="3" t="s">
        <v>5</v>
      </c>
      <c r="K2" s="12" t="s">
        <v>4</v>
      </c>
      <c r="L2" s="12" t="s">
        <v>415</v>
      </c>
    </row>
    <row r="3" spans="1:19" x14ac:dyDescent="0.3">
      <c r="H3" s="5" t="s">
        <v>434</v>
      </c>
      <c r="I3" s="41"/>
      <c r="J3" s="20"/>
      <c r="K3" s="11">
        <v>60</v>
      </c>
      <c r="L3" s="44">
        <f t="shared" ref="L3:L18" si="0">K3+(J3/90)</f>
        <v>60</v>
      </c>
    </row>
    <row r="4" spans="1:19" x14ac:dyDescent="0.3">
      <c r="H4" s="5" t="s">
        <v>434</v>
      </c>
      <c r="I4" s="41"/>
      <c r="J4" s="20">
        <v>180</v>
      </c>
      <c r="L4" s="44">
        <f t="shared" si="0"/>
        <v>2</v>
      </c>
    </row>
    <row r="5" spans="1:19" x14ac:dyDescent="0.3">
      <c r="H5" s="5" t="s">
        <v>434</v>
      </c>
      <c r="I5" s="41"/>
      <c r="J5" s="20">
        <v>-700</v>
      </c>
      <c r="K5" s="11">
        <v>10</v>
      </c>
      <c r="L5" s="44">
        <f t="shared" si="0"/>
        <v>2.2222222222222223</v>
      </c>
    </row>
    <row r="6" spans="1:19" x14ac:dyDescent="0.3">
      <c r="H6" s="5" t="s">
        <v>434</v>
      </c>
      <c r="I6" s="41"/>
      <c r="J6" s="20"/>
      <c r="K6" s="11">
        <v>100</v>
      </c>
      <c r="L6" s="44">
        <f t="shared" si="0"/>
        <v>100</v>
      </c>
    </row>
    <row r="7" spans="1:19" x14ac:dyDescent="0.3">
      <c r="H7" s="5" t="s">
        <v>434</v>
      </c>
      <c r="I7" s="41"/>
      <c r="J7" s="20"/>
      <c r="K7" s="11">
        <v>100</v>
      </c>
      <c r="L7" s="44">
        <f t="shared" si="0"/>
        <v>100</v>
      </c>
    </row>
    <row r="8" spans="1:19" x14ac:dyDescent="0.3">
      <c r="H8" s="5" t="s">
        <v>434</v>
      </c>
      <c r="I8" s="41"/>
      <c r="J8" s="20"/>
      <c r="L8" s="44">
        <f t="shared" si="0"/>
        <v>0</v>
      </c>
    </row>
    <row r="9" spans="1:19" x14ac:dyDescent="0.3">
      <c r="H9" s="5" t="s">
        <v>434</v>
      </c>
      <c r="I9" s="41"/>
      <c r="J9" s="20"/>
      <c r="L9" s="44">
        <f t="shared" si="0"/>
        <v>0</v>
      </c>
    </row>
    <row r="10" spans="1:19" x14ac:dyDescent="0.3">
      <c r="H10" s="5" t="s">
        <v>434</v>
      </c>
      <c r="I10" s="41"/>
      <c r="J10" s="20"/>
      <c r="L10" s="44">
        <f t="shared" si="0"/>
        <v>0</v>
      </c>
    </row>
    <row r="11" spans="1:19" s="6" customFormat="1" x14ac:dyDescent="0.3">
      <c r="A11" s="2"/>
      <c r="B11" s="2"/>
      <c r="C11" s="2"/>
      <c r="D11" s="2"/>
      <c r="E11" s="2"/>
      <c r="F11" s="2"/>
      <c r="G11" s="2"/>
      <c r="H11" s="5" t="s">
        <v>434</v>
      </c>
      <c r="I11" s="42"/>
      <c r="J11" s="20"/>
      <c r="K11" s="11"/>
      <c r="L11" s="44">
        <f t="shared" si="0"/>
        <v>0</v>
      </c>
      <c r="N11" s="2"/>
      <c r="O11" s="2"/>
      <c r="P11" s="2"/>
      <c r="Q11" s="2"/>
      <c r="R11" s="2"/>
      <c r="S11" s="2"/>
    </row>
    <row r="12" spans="1:19" s="6" customFormat="1" x14ac:dyDescent="0.3">
      <c r="A12" s="2"/>
      <c r="B12" s="2"/>
      <c r="C12" s="2"/>
      <c r="D12" s="2"/>
      <c r="E12" s="2"/>
      <c r="F12" s="2"/>
      <c r="G12" s="2"/>
      <c r="H12" s="5" t="s">
        <v>434</v>
      </c>
      <c r="I12" s="41"/>
      <c r="J12" s="20"/>
      <c r="K12" s="11"/>
      <c r="L12" s="44">
        <f t="shared" si="0"/>
        <v>0</v>
      </c>
      <c r="N12" s="2"/>
      <c r="O12" s="2"/>
      <c r="P12" s="2"/>
      <c r="Q12" s="2"/>
      <c r="R12" s="2"/>
      <c r="S12" s="2"/>
    </row>
    <row r="13" spans="1:19" s="6" customFormat="1" x14ac:dyDescent="0.3">
      <c r="A13" s="2"/>
      <c r="B13" s="2"/>
      <c r="C13" s="2"/>
      <c r="D13" s="2"/>
      <c r="E13" s="2"/>
      <c r="F13" s="2"/>
      <c r="G13" s="2"/>
      <c r="H13" s="5" t="s">
        <v>434</v>
      </c>
      <c r="I13" s="41"/>
      <c r="J13" s="20"/>
      <c r="K13" s="11"/>
      <c r="L13" s="44">
        <f t="shared" si="0"/>
        <v>0</v>
      </c>
      <c r="N13" s="2"/>
      <c r="O13" s="2"/>
      <c r="P13" s="2"/>
      <c r="Q13" s="2"/>
      <c r="R13" s="2"/>
      <c r="S13" s="2"/>
    </row>
    <row r="14" spans="1:19" s="6" customFormat="1" x14ac:dyDescent="0.3">
      <c r="A14" s="2"/>
      <c r="B14" s="2"/>
      <c r="C14" s="2"/>
      <c r="D14" s="2"/>
      <c r="E14" s="2"/>
      <c r="F14" s="2"/>
      <c r="G14" s="2"/>
      <c r="H14" s="5" t="s">
        <v>434</v>
      </c>
      <c r="I14" s="41"/>
      <c r="J14" s="20"/>
      <c r="K14" s="11"/>
      <c r="L14" s="44">
        <f t="shared" si="0"/>
        <v>0</v>
      </c>
      <c r="N14" s="2"/>
      <c r="O14" s="2"/>
      <c r="P14" s="2"/>
      <c r="Q14" s="2"/>
      <c r="R14" s="2"/>
      <c r="S14" s="2"/>
    </row>
    <row r="15" spans="1:19" s="6" customFormat="1" x14ac:dyDescent="0.3">
      <c r="A15" s="2"/>
      <c r="B15" s="2"/>
      <c r="C15" s="2"/>
      <c r="D15" s="2"/>
      <c r="E15" s="2"/>
      <c r="F15" s="2"/>
      <c r="G15" s="2"/>
      <c r="H15" s="5" t="s">
        <v>434</v>
      </c>
      <c r="I15" s="41"/>
      <c r="J15" s="20"/>
      <c r="K15" s="11"/>
      <c r="L15" s="44">
        <f t="shared" si="0"/>
        <v>0</v>
      </c>
      <c r="N15" s="2"/>
      <c r="O15" s="2"/>
      <c r="P15" s="2"/>
      <c r="Q15" s="2"/>
      <c r="R15" s="2"/>
      <c r="S15" s="2"/>
    </row>
    <row r="16" spans="1:19" s="6" customFormat="1" x14ac:dyDescent="0.3">
      <c r="A16" s="2"/>
      <c r="B16" s="2"/>
      <c r="C16" s="2"/>
      <c r="D16" s="2"/>
      <c r="E16" s="2"/>
      <c r="F16" s="2"/>
      <c r="G16" s="2"/>
      <c r="H16" s="5" t="s">
        <v>434</v>
      </c>
      <c r="I16" s="41"/>
      <c r="J16" s="20"/>
      <c r="K16" s="11"/>
      <c r="L16" s="44">
        <f t="shared" si="0"/>
        <v>0</v>
      </c>
      <c r="N16" s="2"/>
      <c r="O16" s="2"/>
      <c r="P16" s="2"/>
      <c r="Q16" s="2"/>
      <c r="R16" s="2"/>
      <c r="S16" s="2"/>
    </row>
    <row r="17" spans="1:19" s="6" customFormat="1" x14ac:dyDescent="0.3">
      <c r="A17" s="2"/>
      <c r="B17" s="2"/>
      <c r="C17" s="2"/>
      <c r="D17" s="2"/>
      <c r="E17" s="2"/>
      <c r="F17" s="2"/>
      <c r="G17" s="2"/>
      <c r="H17" s="5" t="s">
        <v>434</v>
      </c>
      <c r="I17" s="41"/>
      <c r="J17" s="20"/>
      <c r="K17" s="11"/>
      <c r="L17" s="44">
        <f t="shared" si="0"/>
        <v>0</v>
      </c>
      <c r="N17" s="2"/>
      <c r="O17" s="2"/>
      <c r="P17" s="2"/>
      <c r="Q17" s="2"/>
      <c r="R17" s="2"/>
      <c r="S17" s="2"/>
    </row>
    <row r="18" spans="1:19" s="6" customFormat="1" x14ac:dyDescent="0.3">
      <c r="A18" s="2" t="s">
        <v>530</v>
      </c>
      <c r="B18" s="2"/>
      <c r="C18" s="2"/>
      <c r="D18" s="2"/>
      <c r="E18" s="2"/>
      <c r="F18" s="2"/>
      <c r="G18" s="2"/>
      <c r="H18" s="5" t="s">
        <v>434</v>
      </c>
      <c r="I18" s="41"/>
      <c r="J18" s="20"/>
      <c r="K18" s="11"/>
      <c r="L18" s="44">
        <f t="shared" si="0"/>
        <v>0</v>
      </c>
      <c r="N18" s="2"/>
      <c r="O18" s="2"/>
      <c r="P18" s="2"/>
      <c r="Q18" s="2"/>
      <c r="R18" s="2"/>
      <c r="S18" s="2"/>
    </row>
    <row r="19" spans="1:19" s="6" customFormat="1" x14ac:dyDescent="0.3">
      <c r="A19" s="49" t="s">
        <v>542</v>
      </c>
      <c r="B19" s="2"/>
      <c r="C19" s="2"/>
      <c r="D19" s="2"/>
      <c r="E19" s="2"/>
      <c r="F19" s="2"/>
      <c r="G19" s="2"/>
      <c r="H19" s="2"/>
      <c r="I19" s="39"/>
      <c r="J19" s="7"/>
      <c r="K19" s="11"/>
      <c r="N19" s="2"/>
      <c r="O19" s="2"/>
      <c r="P19" s="2"/>
      <c r="Q19" s="2"/>
      <c r="R19" s="2"/>
      <c r="S19" s="2"/>
    </row>
    <row r="20" spans="1:19" x14ac:dyDescent="0.3">
      <c r="A20" s="65" t="s">
        <v>29</v>
      </c>
      <c r="B20" s="65"/>
      <c r="C20" s="65"/>
      <c r="D20" s="65"/>
      <c r="E20" s="65"/>
      <c r="F20" s="65"/>
      <c r="I20" s="39" t="s">
        <v>38</v>
      </c>
      <c r="J20" s="7">
        <f>SUM(Table1345678101112131415161718192021222324252627283031[اللبناني])</f>
        <v>-65</v>
      </c>
      <c r="K20" s="7">
        <f>SUM(Table1345678101112131415161718192021222324252627283031[الدولار])</f>
        <v>-6391</v>
      </c>
      <c r="L20" s="7">
        <f>SUM(Table1345678101112131415161718192021222324252627283031[مبيع $])</f>
        <v>-6391.7222222222235</v>
      </c>
      <c r="N20" s="65" t="s">
        <v>33</v>
      </c>
      <c r="O20" s="65"/>
      <c r="P20" s="65"/>
      <c r="Q20" s="65"/>
      <c r="R20" s="65"/>
      <c r="S20" s="65"/>
    </row>
    <row r="21" spans="1:19" x14ac:dyDescent="0.3">
      <c r="A21" s="1" t="s">
        <v>2</v>
      </c>
      <c r="B21" s="1" t="s">
        <v>0</v>
      </c>
      <c r="C21" s="1" t="s">
        <v>1</v>
      </c>
      <c r="D21" s="1" t="s">
        <v>3</v>
      </c>
      <c r="E21" s="1" t="s">
        <v>0</v>
      </c>
      <c r="F21" s="1" t="s">
        <v>1</v>
      </c>
      <c r="H21" s="2" t="s">
        <v>426</v>
      </c>
      <c r="I21" s="40" t="s">
        <v>6</v>
      </c>
      <c r="J21" s="3" t="s">
        <v>5</v>
      </c>
      <c r="K21" s="12" t="s">
        <v>4</v>
      </c>
      <c r="L21" s="12" t="s">
        <v>415</v>
      </c>
      <c r="M21" s="2"/>
      <c r="N21" s="1" t="s">
        <v>2</v>
      </c>
      <c r="O21" s="1" t="s">
        <v>0</v>
      </c>
      <c r="P21" s="1" t="s">
        <v>1</v>
      </c>
      <c r="Q21" s="1" t="s">
        <v>3</v>
      </c>
      <c r="R21" s="1" t="s">
        <v>0</v>
      </c>
      <c r="S21" s="1" t="s">
        <v>1</v>
      </c>
    </row>
    <row r="22" spans="1:19" x14ac:dyDescent="0.3">
      <c r="A22" s="15">
        <v>1</v>
      </c>
      <c r="B22" s="2">
        <v>9</v>
      </c>
      <c r="C22" s="21">
        <f>A22*B22</f>
        <v>9</v>
      </c>
      <c r="D22" s="17">
        <v>5</v>
      </c>
      <c r="E22" s="2">
        <v>36</v>
      </c>
      <c r="F22" s="23">
        <f>D22*E22</f>
        <v>180</v>
      </c>
      <c r="G22" s="5"/>
      <c r="H22" s="5" t="s">
        <v>434</v>
      </c>
      <c r="I22" s="41" t="s">
        <v>547</v>
      </c>
      <c r="J22" s="20">
        <v>-650</v>
      </c>
      <c r="K22" s="11">
        <v>20</v>
      </c>
      <c r="L22" s="44">
        <f>Table1345678101112131415161718192021222324252627283031[[#This Row],[الدولار]]+(Table1345678101112131415161718192021222324252627283031[[#This Row],[اللبناني]]/90)</f>
        <v>12.777777777777779</v>
      </c>
      <c r="N22" s="15">
        <v>1</v>
      </c>
      <c r="O22" s="2">
        <v>11</v>
      </c>
      <c r="P22" s="21">
        <f>N22*O22</f>
        <v>11</v>
      </c>
      <c r="Q22" s="17">
        <v>5</v>
      </c>
      <c r="R22" s="2">
        <v>35</v>
      </c>
      <c r="S22" s="23">
        <f>Q22*R22</f>
        <v>175</v>
      </c>
    </row>
    <row r="23" spans="1:19" x14ac:dyDescent="0.3">
      <c r="A23" s="15">
        <v>5</v>
      </c>
      <c r="C23" s="21">
        <f t="shared" ref="C23:C27" si="1">A23*B23</f>
        <v>0</v>
      </c>
      <c r="D23" s="17">
        <v>10</v>
      </c>
      <c r="E23" s="2">
        <v>20</v>
      </c>
      <c r="F23" s="23">
        <f t="shared" ref="F23:F26" si="2">D23*E23</f>
        <v>200</v>
      </c>
      <c r="G23" s="5"/>
      <c r="H23" s="5" t="s">
        <v>434</v>
      </c>
      <c r="I23" s="41" t="s">
        <v>83</v>
      </c>
      <c r="J23" s="20">
        <v>220</v>
      </c>
      <c r="L23" s="44">
        <f>Table1345678101112131415161718192021222324252627283031[[#This Row],[الدولار]]+(Table1345678101112131415161718192021222324252627283031[[#This Row],[اللبناني]]/90)</f>
        <v>2.4444444444444446</v>
      </c>
      <c r="N23" s="15">
        <v>5</v>
      </c>
      <c r="O23" s="2">
        <v>1</v>
      </c>
      <c r="P23" s="21">
        <f t="shared" ref="P23:P27" si="3">N23*O23</f>
        <v>5</v>
      </c>
      <c r="Q23" s="17">
        <v>10</v>
      </c>
      <c r="R23" s="2">
        <v>18</v>
      </c>
      <c r="S23" s="23">
        <f t="shared" ref="S23:S26" si="4">Q23*R23</f>
        <v>180</v>
      </c>
    </row>
    <row r="24" spans="1:19" x14ac:dyDescent="0.3">
      <c r="A24" s="15">
        <v>10</v>
      </c>
      <c r="B24" s="2">
        <v>21</v>
      </c>
      <c r="C24" s="21">
        <f t="shared" si="1"/>
        <v>210</v>
      </c>
      <c r="D24" s="17">
        <v>20</v>
      </c>
      <c r="E24" s="2">
        <v>22</v>
      </c>
      <c r="F24" s="23">
        <f t="shared" si="2"/>
        <v>440</v>
      </c>
      <c r="G24" s="5"/>
      <c r="H24" s="5" t="s">
        <v>434</v>
      </c>
      <c r="I24" s="41" t="s">
        <v>363</v>
      </c>
      <c r="J24" s="20">
        <v>90</v>
      </c>
      <c r="K24" s="11">
        <v>2</v>
      </c>
      <c r="L24" s="44">
        <f>Table1345678101112131415161718192021222324252627283031[[#This Row],[الدولار]]+(Table1345678101112131415161718192021222324252627283031[[#This Row],[اللبناني]]/90)</f>
        <v>3</v>
      </c>
      <c r="N24" s="15">
        <v>10</v>
      </c>
      <c r="O24" s="2">
        <v>24</v>
      </c>
      <c r="P24" s="21">
        <f t="shared" si="3"/>
        <v>240</v>
      </c>
      <c r="Q24" s="17">
        <v>20</v>
      </c>
      <c r="R24" s="2">
        <v>20</v>
      </c>
      <c r="S24" s="23">
        <f t="shared" si="4"/>
        <v>400</v>
      </c>
    </row>
    <row r="25" spans="1:19" x14ac:dyDescent="0.3">
      <c r="A25" s="15">
        <v>20</v>
      </c>
      <c r="B25" s="2">
        <v>26</v>
      </c>
      <c r="C25" s="21">
        <f t="shared" si="1"/>
        <v>520</v>
      </c>
      <c r="D25" s="17">
        <v>50</v>
      </c>
      <c r="E25" s="2">
        <v>11</v>
      </c>
      <c r="F25" s="23">
        <f t="shared" si="2"/>
        <v>550</v>
      </c>
      <c r="G25" s="5"/>
      <c r="H25" s="5" t="s">
        <v>434</v>
      </c>
      <c r="I25" s="41" t="s">
        <v>548</v>
      </c>
      <c r="J25" s="20">
        <v>44400</v>
      </c>
      <c r="L25" s="44">
        <f>Table1345678101112131415161718192021222324252627283031[[#This Row],[الدولار]]+(Table1345678101112131415161718192021222324252627283031[[#This Row],[اللبناني]]/90)</f>
        <v>493.33333333333331</v>
      </c>
      <c r="N25" s="15">
        <v>20</v>
      </c>
      <c r="O25" s="2">
        <v>25</v>
      </c>
      <c r="P25" s="21">
        <f t="shared" si="3"/>
        <v>500</v>
      </c>
      <c r="Q25" s="17">
        <v>50</v>
      </c>
      <c r="R25" s="2">
        <v>5</v>
      </c>
      <c r="S25" s="23">
        <f t="shared" si="4"/>
        <v>250</v>
      </c>
    </row>
    <row r="26" spans="1:19" x14ac:dyDescent="0.3">
      <c r="A26" s="15">
        <v>50</v>
      </c>
      <c r="B26" s="2">
        <v>8</v>
      </c>
      <c r="C26" s="21">
        <f t="shared" si="1"/>
        <v>400</v>
      </c>
      <c r="D26" s="17">
        <v>100</v>
      </c>
      <c r="E26" s="2">
        <v>57</v>
      </c>
      <c r="F26" s="23">
        <f t="shared" si="2"/>
        <v>5700</v>
      </c>
      <c r="G26" s="5"/>
      <c r="H26" s="5" t="s">
        <v>436</v>
      </c>
      <c r="I26" s="42" t="s">
        <v>549</v>
      </c>
      <c r="J26" s="20">
        <v>-44400</v>
      </c>
      <c r="L26" s="44">
        <f>Table1345678101112131415161718192021222324252627283031[[#This Row],[الدولار]]+(Table1345678101112131415161718192021222324252627283031[[#This Row],[اللبناني]]/90)</f>
        <v>-493.33333333333331</v>
      </c>
      <c r="N26" s="15">
        <v>50</v>
      </c>
      <c r="O26" s="2">
        <v>9</v>
      </c>
      <c r="P26" s="21">
        <f t="shared" si="3"/>
        <v>450</v>
      </c>
      <c r="Q26" s="17">
        <v>100</v>
      </c>
      <c r="R26" s="2">
        <v>62</v>
      </c>
      <c r="S26" s="23">
        <f t="shared" si="4"/>
        <v>6200</v>
      </c>
    </row>
    <row r="27" spans="1:19" x14ac:dyDescent="0.3">
      <c r="A27" s="15">
        <v>100</v>
      </c>
      <c r="B27" s="2">
        <v>60</v>
      </c>
      <c r="C27" s="21">
        <f t="shared" si="1"/>
        <v>6000</v>
      </c>
      <c r="D27" s="1" t="s">
        <v>1</v>
      </c>
      <c r="E27" s="1"/>
      <c r="F27" s="19">
        <f>SUM(F22:F26)</f>
        <v>7070</v>
      </c>
      <c r="G27" s="5"/>
      <c r="H27" s="5" t="s">
        <v>434</v>
      </c>
      <c r="I27" s="41" t="s">
        <v>550</v>
      </c>
      <c r="J27" s="20"/>
      <c r="K27" s="11">
        <v>20</v>
      </c>
      <c r="L27" s="44">
        <f>Table1345678101112131415161718192021222324252627283031[[#This Row],[الدولار]]+(Table1345678101112131415161718192021222324252627283031[[#This Row],[اللبناني]]/90)</f>
        <v>20</v>
      </c>
      <c r="N27" s="15">
        <v>100</v>
      </c>
      <c r="O27" s="2">
        <v>11</v>
      </c>
      <c r="P27" s="21">
        <f t="shared" si="3"/>
        <v>1100</v>
      </c>
      <c r="Q27" s="1" t="s">
        <v>1</v>
      </c>
      <c r="R27" s="1"/>
      <c r="S27" s="19">
        <f>SUM(S22:S26)</f>
        <v>7205</v>
      </c>
    </row>
    <row r="28" spans="1:19" x14ac:dyDescent="0.3">
      <c r="A28" s="1" t="s">
        <v>1</v>
      </c>
      <c r="B28" s="1"/>
      <c r="C28" s="22">
        <f>SUM(C22:C27)</f>
        <v>7139</v>
      </c>
      <c r="H28" s="5" t="s">
        <v>434</v>
      </c>
      <c r="I28" s="41" t="s">
        <v>551</v>
      </c>
      <c r="J28" s="20"/>
      <c r="K28" s="11">
        <v>4</v>
      </c>
      <c r="L28" s="44">
        <f>Table1345678101112131415161718192021222324252627283031[[#This Row],[الدولار]]+(Table1345678101112131415161718192021222324252627283031[[#This Row],[اللبناني]]/90)</f>
        <v>4</v>
      </c>
      <c r="N28" s="1" t="s">
        <v>1</v>
      </c>
      <c r="O28" s="1"/>
      <c r="P28" s="22">
        <f>SUM(P22:P27)</f>
        <v>2306</v>
      </c>
      <c r="S28" s="20"/>
    </row>
    <row r="29" spans="1:19" x14ac:dyDescent="0.3">
      <c r="B29" s="2">
        <v>0</v>
      </c>
      <c r="C29" s="27"/>
      <c r="D29" s="66" t="s">
        <v>40</v>
      </c>
      <c r="E29" s="66"/>
      <c r="F29" s="24">
        <f ca="1">INDIRECT("'"&amp;$A$19&amp;"'!J20")+J1</f>
        <v>855</v>
      </c>
      <c r="H29" s="5" t="s">
        <v>434</v>
      </c>
      <c r="I29" s="41" t="s">
        <v>151</v>
      </c>
      <c r="J29" s="20"/>
      <c r="K29" s="11">
        <v>365</v>
      </c>
      <c r="L29" s="44">
        <f>Table1345678101112131415161718192021222324252627283031[[#This Row],[الدولار]]+(Table1345678101112131415161718192021222324252627283031[[#This Row],[اللبناني]]/90)</f>
        <v>365</v>
      </c>
      <c r="P29" s="27"/>
      <c r="Q29" s="66" t="s">
        <v>40</v>
      </c>
      <c r="R29" s="66"/>
      <c r="S29" s="24">
        <f>SUM(Table1345678101112131415161718192021222324252627283031[اللبناني])</f>
        <v>-65</v>
      </c>
    </row>
    <row r="30" spans="1:19" x14ac:dyDescent="0.3">
      <c r="A30" s="66" t="s">
        <v>39</v>
      </c>
      <c r="B30" s="66"/>
      <c r="C30" s="12">
        <f ca="1">INDIRECT("'"&amp;$A$19&amp;"'!K20")+K1</f>
        <v>6090</v>
      </c>
      <c r="F30" s="20"/>
      <c r="H30" s="5" t="s">
        <v>434</v>
      </c>
      <c r="I30" s="41" t="s">
        <v>552</v>
      </c>
      <c r="J30" s="20"/>
      <c r="K30" s="11">
        <v>400</v>
      </c>
      <c r="L30" s="44">
        <f>Table1345678101112131415161718192021222324252627283031[[#This Row],[الدولار]]+(Table1345678101112131415161718192021222324252627283031[[#This Row],[اللبناني]]/90)</f>
        <v>400</v>
      </c>
      <c r="N30" s="66" t="s">
        <v>39</v>
      </c>
      <c r="O30" s="66"/>
      <c r="P30" s="12">
        <f>SUM(Table1345678101112131415161718192021222324252627283031[الدولار])</f>
        <v>-6391</v>
      </c>
      <c r="S30" s="20"/>
    </row>
    <row r="31" spans="1:19" x14ac:dyDescent="0.3">
      <c r="C31" s="27"/>
      <c r="D31" s="1" t="s">
        <v>27</v>
      </c>
      <c r="E31" s="1"/>
      <c r="F31" s="24">
        <f ca="1">F27-F29-INDIRECT("'"&amp;$A$19&amp;"'!f27")</f>
        <v>0</v>
      </c>
      <c r="H31" s="5" t="s">
        <v>434</v>
      </c>
      <c r="I31" s="41" t="s">
        <v>553</v>
      </c>
      <c r="J31" s="20"/>
      <c r="K31" s="11">
        <v>170</v>
      </c>
      <c r="L31" s="44">
        <f>Table1345678101112131415161718192021222324252627283031[[#This Row],[الدولار]]+(Table1345678101112131415161718192021222324252627283031[[#This Row],[اللبناني]]/90)</f>
        <v>170</v>
      </c>
      <c r="P31" s="27"/>
      <c r="Q31" s="1" t="s">
        <v>27</v>
      </c>
      <c r="R31" s="1"/>
      <c r="S31" s="24">
        <f>S27-S29-F27</f>
        <v>200</v>
      </c>
    </row>
    <row r="32" spans="1:19" x14ac:dyDescent="0.3">
      <c r="A32" s="1" t="s">
        <v>27</v>
      </c>
      <c r="B32" s="1"/>
      <c r="C32" s="12">
        <f ca="1">C28-C30-INDIRECT("'"&amp;$A$19&amp;"'!c28")</f>
        <v>0</v>
      </c>
      <c r="H32" s="5" t="s">
        <v>436</v>
      </c>
      <c r="I32" s="41" t="s">
        <v>571</v>
      </c>
      <c r="J32" s="20"/>
      <c r="K32" s="11">
        <v>-935</v>
      </c>
      <c r="L32" s="44">
        <f>Table1345678101112131415161718192021222324252627283031[[#This Row],[الدولار]]+(Table1345678101112131415161718192021222324252627283031[[#This Row],[اللبناني]]/90)</f>
        <v>-935</v>
      </c>
      <c r="N32" s="1" t="s">
        <v>27</v>
      </c>
      <c r="O32" s="1"/>
      <c r="P32" s="12">
        <f>P28-P30-C28</f>
        <v>1558</v>
      </c>
    </row>
    <row r="33" spans="3:13" x14ac:dyDescent="0.3">
      <c r="C33" s="14"/>
      <c r="D33" s="14"/>
      <c r="F33" s="14"/>
      <c r="H33" s="5" t="s">
        <v>436</v>
      </c>
      <c r="I33" s="43" t="s">
        <v>22</v>
      </c>
      <c r="J33" s="18">
        <v>2000</v>
      </c>
      <c r="L33" s="44">
        <f>Table1345678101112131415161718192021222324252627283031[[#This Row],[الدولار]]+(Table1345678101112131415161718192021222324252627283031[[#This Row],[اللبناني]]/90)</f>
        <v>22.222222222222221</v>
      </c>
    </row>
    <row r="34" spans="3:13" x14ac:dyDescent="0.3">
      <c r="C34" s="14"/>
      <c r="D34" s="14"/>
      <c r="F34" s="14"/>
      <c r="H34" s="5" t="s">
        <v>435</v>
      </c>
      <c r="I34" s="43" t="s">
        <v>78</v>
      </c>
      <c r="J34" s="18">
        <v>-2000</v>
      </c>
      <c r="L34" s="44">
        <f>Table1345678101112131415161718192021222324252627283031[[#This Row],[الدولار]]+(Table1345678101112131415161718192021222324252627283031[[#This Row],[اللبناني]]/90)</f>
        <v>-22.222222222222221</v>
      </c>
    </row>
    <row r="35" spans="3:13" x14ac:dyDescent="0.3">
      <c r="C35" s="14"/>
      <c r="D35" s="14"/>
      <c r="F35" s="14"/>
      <c r="H35" s="5" t="s">
        <v>434</v>
      </c>
      <c r="I35" s="41" t="s">
        <v>554</v>
      </c>
      <c r="J35" s="18">
        <v>-135</v>
      </c>
      <c r="K35" s="11">
        <v>10</v>
      </c>
      <c r="L35" s="44">
        <f>Table1345678101112131415161718192021222324252627283031[[#This Row],[الدولار]]+(Table1345678101112131415161718192021222324252627283031[[#This Row],[اللبناني]]/90)</f>
        <v>8.5</v>
      </c>
    </row>
    <row r="36" spans="3:13" s="11" customFormat="1" x14ac:dyDescent="0.3">
      <c r="C36" s="14"/>
      <c r="D36" s="14"/>
      <c r="E36" s="2"/>
      <c r="F36" s="14"/>
      <c r="G36" s="2"/>
      <c r="H36" s="5" t="s">
        <v>434</v>
      </c>
      <c r="I36" s="43" t="s">
        <v>332</v>
      </c>
      <c r="J36" s="20">
        <v>60</v>
      </c>
      <c r="L36" s="44">
        <f>Table1345678101112131415161718192021222324252627283031[[#This Row],[الدولار]]+(Table1345678101112131415161718192021222324252627283031[[#This Row],[اللبناني]]/90)</f>
        <v>0.66666666666666663</v>
      </c>
      <c r="M36" s="6"/>
    </row>
    <row r="37" spans="3:13" s="11" customFormat="1" x14ac:dyDescent="0.3">
      <c r="C37" s="14"/>
      <c r="D37" s="2"/>
      <c r="E37" s="2"/>
      <c r="F37" s="14"/>
      <c r="G37" s="2"/>
      <c r="H37" s="5" t="s">
        <v>434</v>
      </c>
      <c r="I37" s="43" t="s">
        <v>555</v>
      </c>
      <c r="J37" s="20">
        <v>280</v>
      </c>
      <c r="K37" s="11">
        <v>10</v>
      </c>
      <c r="L37" s="44">
        <f>Table1345678101112131415161718192021222324252627283031[[#This Row],[الدولار]]+(Table1345678101112131415161718192021222324252627283031[[#This Row],[اللبناني]]/90)</f>
        <v>13.111111111111111</v>
      </c>
      <c r="M37" s="6"/>
    </row>
    <row r="38" spans="3:13" s="11" customFormat="1" x14ac:dyDescent="0.3">
      <c r="C38" s="14"/>
      <c r="D38" s="2"/>
      <c r="E38" s="2"/>
      <c r="F38" s="2"/>
      <c r="G38" s="2"/>
      <c r="H38" s="5" t="s">
        <v>434</v>
      </c>
      <c r="I38" s="43" t="s">
        <v>111</v>
      </c>
      <c r="J38" s="20">
        <v>30</v>
      </c>
      <c r="L38" s="44">
        <f>Table1345678101112131415161718192021222324252627283031[[#This Row],[الدولار]]+(Table1345678101112131415161718192021222324252627283031[[#This Row],[اللبناني]]/90)</f>
        <v>0.33333333333333331</v>
      </c>
      <c r="M38" s="6"/>
    </row>
    <row r="39" spans="3:13" s="11" customFormat="1" x14ac:dyDescent="0.3">
      <c r="C39" s="2"/>
      <c r="D39" s="2"/>
      <c r="E39" s="2"/>
      <c r="F39" s="6"/>
      <c r="G39" s="2"/>
      <c r="H39" s="5" t="s">
        <v>434</v>
      </c>
      <c r="I39" s="41" t="s">
        <v>556</v>
      </c>
      <c r="J39" s="20"/>
      <c r="K39" s="11">
        <v>10</v>
      </c>
      <c r="L39" s="44">
        <f>Table1345678101112131415161718192021222324252627283031[[#This Row],[الدولار]]+(Table1345678101112131415161718192021222324252627283031[[#This Row],[اللبناني]]/90)</f>
        <v>10</v>
      </c>
      <c r="M39" s="6"/>
    </row>
    <row r="40" spans="3:13" s="11" customFormat="1" x14ac:dyDescent="0.3">
      <c r="C40" s="6"/>
      <c r="D40" s="2"/>
      <c r="E40" s="2"/>
      <c r="F40" s="2"/>
      <c r="G40" s="2"/>
      <c r="H40" s="5" t="s">
        <v>436</v>
      </c>
      <c r="I40" s="41" t="s">
        <v>549</v>
      </c>
      <c r="J40" s="20"/>
      <c r="K40" s="11">
        <v>-6000</v>
      </c>
      <c r="L40" s="44">
        <f>Table1345678101112131415161718192021222324252627283031[[#This Row],[الدولار]]+(Table1345678101112131415161718192021222324252627283031[[#This Row],[اللبناني]]/90)</f>
        <v>-6000</v>
      </c>
      <c r="M40" s="6"/>
    </row>
    <row r="41" spans="3:13" s="11" customFormat="1" x14ac:dyDescent="0.3">
      <c r="C41" s="2"/>
      <c r="D41" s="2"/>
      <c r="E41" s="2"/>
      <c r="F41" s="6"/>
      <c r="G41" s="2"/>
      <c r="H41" s="5" t="s">
        <v>434</v>
      </c>
      <c r="I41" s="41" t="s">
        <v>366</v>
      </c>
      <c r="J41" s="20">
        <v>-540</v>
      </c>
      <c r="K41" s="11">
        <v>20</v>
      </c>
      <c r="L41" s="44">
        <f>Table1345678101112131415161718192021222324252627283031[[#This Row],[الدولار]]+(Table1345678101112131415161718192021222324252627283031[[#This Row],[اللبناني]]/90)</f>
        <v>14</v>
      </c>
      <c r="M41" s="6"/>
    </row>
    <row r="42" spans="3:13" s="11" customFormat="1" x14ac:dyDescent="0.3">
      <c r="C42" s="6"/>
      <c r="D42" s="2"/>
      <c r="E42" s="2"/>
      <c r="F42" s="2"/>
      <c r="G42" s="2"/>
      <c r="H42" s="5" t="s">
        <v>434</v>
      </c>
      <c r="I42" s="41" t="s">
        <v>111</v>
      </c>
      <c r="J42" s="20">
        <v>50</v>
      </c>
      <c r="L42" s="44">
        <f>Table1345678101112131415161718192021222324252627283031[[#This Row],[الدولار]]+(Table1345678101112131415161718192021222324252627283031[[#This Row],[اللبناني]]/90)</f>
        <v>0.55555555555555558</v>
      </c>
      <c r="M42" s="6"/>
    </row>
    <row r="43" spans="3:13" s="11" customFormat="1" x14ac:dyDescent="0.3">
      <c r="C43" s="2"/>
      <c r="D43" s="2"/>
      <c r="E43" s="2"/>
      <c r="F43" s="2"/>
      <c r="G43" s="2"/>
      <c r="H43" s="5" t="s">
        <v>434</v>
      </c>
      <c r="I43" s="41" t="s">
        <v>557</v>
      </c>
      <c r="J43" s="20">
        <v>1100</v>
      </c>
      <c r="K43" s="11">
        <v>200</v>
      </c>
      <c r="L43" s="44">
        <f>Table1345678101112131415161718192021222324252627283031[[#This Row],[الدولار]]+(Table1345678101112131415161718192021222324252627283031[[#This Row],[اللبناني]]/90)</f>
        <v>212.22222222222223</v>
      </c>
      <c r="M43" s="6"/>
    </row>
    <row r="44" spans="3:13" s="11" customFormat="1" x14ac:dyDescent="0.3">
      <c r="C44" s="2"/>
      <c r="D44" s="2"/>
      <c r="E44" s="2"/>
      <c r="F44" s="2"/>
      <c r="G44" s="2"/>
      <c r="H44" s="5" t="s">
        <v>434</v>
      </c>
      <c r="I44" s="41" t="s">
        <v>558</v>
      </c>
      <c r="J44" s="20">
        <v>340</v>
      </c>
      <c r="L44" s="44">
        <f>Table1345678101112131415161718192021222324252627283031[[#This Row],[الدولار]]+(Table1345678101112131415161718192021222324252627283031[[#This Row],[اللبناني]]/90)</f>
        <v>3.7777777777777777</v>
      </c>
      <c r="M44" s="6"/>
    </row>
    <row r="45" spans="3:13" s="11" customFormat="1" x14ac:dyDescent="0.3">
      <c r="C45" s="2"/>
      <c r="D45" s="2"/>
      <c r="E45" s="2"/>
      <c r="F45" s="2"/>
      <c r="G45" s="2"/>
      <c r="H45" s="5" t="s">
        <v>434</v>
      </c>
      <c r="I45" s="41" t="s">
        <v>559</v>
      </c>
      <c r="J45" s="20"/>
      <c r="K45" s="11">
        <v>15</v>
      </c>
      <c r="L45" s="44">
        <f>Table1345678101112131415161718192021222324252627283031[[#This Row],[الدولار]]+(Table1345678101112131415161718192021222324252627283031[[#This Row],[اللبناني]]/90)</f>
        <v>15</v>
      </c>
      <c r="M45" s="6"/>
    </row>
    <row r="46" spans="3:13" s="11" customFormat="1" x14ac:dyDescent="0.3">
      <c r="C46" s="2"/>
      <c r="D46" s="2"/>
      <c r="E46" s="2"/>
      <c r="F46" s="2"/>
      <c r="G46" s="2"/>
      <c r="H46" s="5" t="s">
        <v>434</v>
      </c>
      <c r="I46" s="41" t="s">
        <v>127</v>
      </c>
      <c r="J46" s="18">
        <v>380</v>
      </c>
      <c r="L46" s="44">
        <f>Table1345678101112131415161718192021222324252627283031[[#This Row],[الدولار]]+(Table1345678101112131415161718192021222324252627283031[[#This Row],[اللبناني]]/90)</f>
        <v>4.2222222222222223</v>
      </c>
      <c r="M46" s="6"/>
    </row>
    <row r="47" spans="3:13" s="11" customFormat="1" x14ac:dyDescent="0.3">
      <c r="C47" s="2"/>
      <c r="D47" s="2"/>
      <c r="E47" s="2"/>
      <c r="F47" s="2"/>
      <c r="G47" s="2"/>
      <c r="H47" s="5" t="s">
        <v>434</v>
      </c>
      <c r="I47" s="39" t="s">
        <v>560</v>
      </c>
      <c r="J47" s="18"/>
      <c r="K47" s="11">
        <v>330</v>
      </c>
      <c r="L47" s="44">
        <f>Table1345678101112131415161718192021222324252627283031[[#This Row],[الدولار]]+(Table1345678101112131415161718192021222324252627283031[[#This Row],[اللبناني]]/90)</f>
        <v>330</v>
      </c>
      <c r="M47" s="6"/>
    </row>
    <row r="48" spans="3:13" s="11" customFormat="1" x14ac:dyDescent="0.3">
      <c r="C48" s="2"/>
      <c r="D48" s="2"/>
      <c r="E48" s="2"/>
      <c r="F48" s="2"/>
      <c r="G48" s="2"/>
      <c r="H48" s="5" t="s">
        <v>434</v>
      </c>
      <c r="I48" s="39" t="s">
        <v>561</v>
      </c>
      <c r="J48" s="18">
        <v>180</v>
      </c>
      <c r="L48" s="44">
        <f>Table1345678101112131415161718192021222324252627283031[[#This Row],[الدولار]]+(Table1345678101112131415161718192021222324252627283031[[#This Row],[اللبناني]]/90)</f>
        <v>2</v>
      </c>
      <c r="M48" s="6"/>
    </row>
    <row r="49" spans="3:19" s="11" customFormat="1" x14ac:dyDescent="0.3">
      <c r="C49" s="2"/>
      <c r="D49" s="2"/>
      <c r="E49" s="2"/>
      <c r="F49" s="2"/>
      <c r="G49" s="2"/>
      <c r="H49" s="5" t="s">
        <v>434</v>
      </c>
      <c r="I49" s="39" t="s">
        <v>562</v>
      </c>
      <c r="J49" s="18">
        <v>-360</v>
      </c>
      <c r="K49" s="11">
        <v>20</v>
      </c>
      <c r="L49" s="44">
        <f>Table1345678101112131415161718192021222324252627283031[[#This Row],[الدولار]]+(Table1345678101112131415161718192021222324252627283031[[#This Row],[اللبناني]]/90)</f>
        <v>16</v>
      </c>
      <c r="M49" s="6"/>
      <c r="S49" s="19"/>
    </row>
    <row r="50" spans="3:19" s="11" customFormat="1" x14ac:dyDescent="0.3">
      <c r="C50" s="2"/>
      <c r="D50" s="2"/>
      <c r="E50" s="2"/>
      <c r="F50" s="2"/>
      <c r="G50" s="2"/>
      <c r="H50" s="5" t="s">
        <v>434</v>
      </c>
      <c r="I50" s="39" t="s">
        <v>96</v>
      </c>
      <c r="J50" s="18"/>
      <c r="K50" s="11">
        <v>605</v>
      </c>
      <c r="L50" s="44">
        <f>Table1345678101112131415161718192021222324252627283031[[#This Row],[الدولار]]+(Table1345678101112131415161718192021222324252627283031[[#This Row],[اللبناني]]/90)</f>
        <v>605</v>
      </c>
      <c r="M50" s="6"/>
    </row>
    <row r="51" spans="3:19" s="11" customFormat="1" x14ac:dyDescent="0.3">
      <c r="C51" s="2"/>
      <c r="D51" s="2"/>
      <c r="E51" s="2"/>
      <c r="F51" s="2"/>
      <c r="G51" s="2"/>
      <c r="H51" s="5" t="s">
        <v>434</v>
      </c>
      <c r="I51" s="39" t="s">
        <v>563</v>
      </c>
      <c r="J51" s="18">
        <v>300</v>
      </c>
      <c r="L51" s="44">
        <f>Table1345678101112131415161718192021222324252627283031[[#This Row],[الدولار]]+(Table1345678101112131415161718192021222324252627283031[[#This Row],[اللبناني]]/90)</f>
        <v>3.3333333333333335</v>
      </c>
      <c r="M51" s="6"/>
    </row>
    <row r="52" spans="3:19" s="11" customFormat="1" x14ac:dyDescent="0.3">
      <c r="H52" s="5" t="s">
        <v>434</v>
      </c>
      <c r="I52" s="39" t="s">
        <v>84</v>
      </c>
      <c r="J52" s="18">
        <v>400</v>
      </c>
      <c r="K52" s="11">
        <v>2</v>
      </c>
      <c r="L52" s="44">
        <f>Table1345678101112131415161718192021222324252627283031[[#This Row],[الدولار]]+(Table1345678101112131415161718192021222324252627283031[[#This Row],[اللبناني]]/90)</f>
        <v>6.4444444444444446</v>
      </c>
      <c r="M52" s="6"/>
    </row>
    <row r="53" spans="3:19" s="11" customFormat="1" x14ac:dyDescent="0.3">
      <c r="H53" s="5" t="s">
        <v>434</v>
      </c>
      <c r="I53" s="39" t="s">
        <v>279</v>
      </c>
      <c r="J53" s="18"/>
      <c r="K53" s="11">
        <v>30</v>
      </c>
      <c r="L53" s="44">
        <f>Table1345678101112131415161718192021222324252627283031[[#This Row],[الدولار]]+(Table1345678101112131415161718192021222324252627283031[[#This Row],[اللبناني]]/90)</f>
        <v>30</v>
      </c>
      <c r="M53" s="6"/>
    </row>
    <row r="54" spans="3:19" s="11" customFormat="1" x14ac:dyDescent="0.3">
      <c r="H54" s="5" t="s">
        <v>435</v>
      </c>
      <c r="I54" s="39" t="s">
        <v>9</v>
      </c>
      <c r="J54" s="18">
        <v>-2000</v>
      </c>
      <c r="L54" s="44">
        <f>Table1345678101112131415161718192021222324252627283031[[#This Row],[الدولار]]+(Table1345678101112131415161718192021222324252627283031[[#This Row],[اللبناني]]/90)</f>
        <v>-22.222222222222221</v>
      </c>
      <c r="M54" s="6"/>
    </row>
    <row r="55" spans="3:19" s="11" customFormat="1" x14ac:dyDescent="0.3">
      <c r="H55" s="5" t="s">
        <v>435</v>
      </c>
      <c r="I55" s="39" t="s">
        <v>70</v>
      </c>
      <c r="J55" s="18">
        <v>-300</v>
      </c>
      <c r="L55" s="44">
        <f>Table1345678101112131415161718192021222324252627283031[[#This Row],[الدولار]]+(Table1345678101112131415161718192021222324252627283031[[#This Row],[اللبناني]]/90)</f>
        <v>-3.3333333333333335</v>
      </c>
      <c r="M55" s="6"/>
    </row>
    <row r="56" spans="3:19" s="11" customFormat="1" x14ac:dyDescent="0.3">
      <c r="H56" s="5" t="s">
        <v>436</v>
      </c>
      <c r="I56" s="39" t="s">
        <v>564</v>
      </c>
      <c r="J56" s="18"/>
      <c r="K56" s="11">
        <v>-270</v>
      </c>
      <c r="L56" s="44">
        <f>Table1345678101112131415161718192021222324252627283031[[#This Row],[الدولار]]+(Table1345678101112131415161718192021222324252627283031[[#This Row],[اللبناني]]/90)</f>
        <v>-270</v>
      </c>
      <c r="M56" s="6"/>
    </row>
    <row r="57" spans="3:19" s="11" customFormat="1" x14ac:dyDescent="0.3">
      <c r="H57" s="5" t="s">
        <v>434</v>
      </c>
      <c r="I57" s="39" t="s">
        <v>565</v>
      </c>
      <c r="J57" s="18">
        <v>120</v>
      </c>
      <c r="L57" s="44">
        <f>Table1345678101112131415161718192021222324252627283031[[#This Row],[الدولار]]+(Table1345678101112131415161718192021222324252627283031[[#This Row],[اللبناني]]/90)</f>
        <v>1.3333333333333333</v>
      </c>
      <c r="M57" s="6"/>
    </row>
    <row r="58" spans="3:19" s="11" customFormat="1" x14ac:dyDescent="0.3">
      <c r="H58" s="5" t="s">
        <v>434</v>
      </c>
      <c r="I58" s="39" t="s">
        <v>566</v>
      </c>
      <c r="J58" s="18">
        <v>100</v>
      </c>
      <c r="L58" s="44">
        <f>Table1345678101112131415161718192021222324252627283031[[#This Row],[الدولار]]+(Table1345678101112131415161718192021222324252627283031[[#This Row],[اللبناني]]/90)</f>
        <v>1.1111111111111112</v>
      </c>
      <c r="M58" s="6"/>
    </row>
    <row r="59" spans="3:19" s="11" customFormat="1" x14ac:dyDescent="0.3">
      <c r="H59" s="5" t="s">
        <v>434</v>
      </c>
      <c r="I59" s="39" t="s">
        <v>31</v>
      </c>
      <c r="J59" s="18">
        <v>200</v>
      </c>
      <c r="L59" s="44">
        <f>Table1345678101112131415161718192021222324252627283031[[#This Row],[الدولار]]+(Table1345678101112131415161718192021222324252627283031[[#This Row],[اللبناني]]/90)</f>
        <v>2.2222222222222223</v>
      </c>
      <c r="M59" s="6"/>
    </row>
    <row r="60" spans="3:19" s="11" customFormat="1" x14ac:dyDescent="0.3">
      <c r="H60" s="5" t="s">
        <v>434</v>
      </c>
      <c r="I60" s="39" t="s">
        <v>567</v>
      </c>
      <c r="J60" s="18">
        <v>50</v>
      </c>
      <c r="L60" s="44">
        <f>Table1345678101112131415161718192021222324252627283031[[#This Row],[الدولار]]+(Table1345678101112131415161718192021222324252627283031[[#This Row],[اللبناني]]/90)</f>
        <v>0.55555555555555558</v>
      </c>
      <c r="M60" s="6"/>
    </row>
    <row r="61" spans="3:19" s="11" customFormat="1" x14ac:dyDescent="0.3">
      <c r="H61" s="5" t="s">
        <v>434</v>
      </c>
      <c r="I61" s="39" t="s">
        <v>568</v>
      </c>
      <c r="J61" s="18">
        <v>70</v>
      </c>
      <c r="L61" s="44">
        <f>Table1345678101112131415161718192021222324252627283031[[#This Row],[الدولار]]+(Table1345678101112131415161718192021222324252627283031[[#This Row],[اللبناني]]/90)</f>
        <v>0.77777777777777779</v>
      </c>
      <c r="M61" s="6"/>
    </row>
    <row r="62" spans="3:19" s="11" customFormat="1" x14ac:dyDescent="0.3">
      <c r="H62" s="5" t="s">
        <v>434</v>
      </c>
      <c r="I62" s="39" t="s">
        <v>552</v>
      </c>
      <c r="J62" s="18">
        <v>450</v>
      </c>
      <c r="K62" s="11">
        <v>131</v>
      </c>
      <c r="L62" s="44">
        <f>Table1345678101112131415161718192021222324252627283031[[#This Row],[الدولار]]+(Table1345678101112131415161718192021222324252627283031[[#This Row],[اللبناني]]/90)</f>
        <v>136</v>
      </c>
      <c r="M62" s="6"/>
    </row>
    <row r="63" spans="3:19" s="11" customFormat="1" x14ac:dyDescent="0.3">
      <c r="H63" s="5" t="s">
        <v>434</v>
      </c>
      <c r="I63" s="39" t="s">
        <v>569</v>
      </c>
      <c r="J63" s="18">
        <v>-600</v>
      </c>
      <c r="L63" s="44">
        <f>Table1345678101112131415161718192021222324252627283031[[#This Row],[الدولار]]+(Table1345678101112131415161718192021222324252627283031[[#This Row],[اللبناني]]/90)</f>
        <v>-6.666666666666667</v>
      </c>
      <c r="M63" s="6"/>
    </row>
    <row r="64" spans="3:19" s="11" customFormat="1" x14ac:dyDescent="0.3">
      <c r="H64" s="5" t="s">
        <v>434</v>
      </c>
      <c r="I64" s="39" t="s">
        <v>570</v>
      </c>
      <c r="J64" s="18">
        <v>300</v>
      </c>
      <c r="L64" s="44">
        <f>Table1345678101112131415161718192021222324252627283031[[#This Row],[الدولار]]+(Table1345678101112131415161718192021222324252627283031[[#This Row],[اللبناني]]/90)</f>
        <v>3.3333333333333335</v>
      </c>
      <c r="M64" s="6"/>
      <c r="P64" s="22"/>
      <c r="S64" s="19"/>
    </row>
    <row r="65" spans="4:19" s="11" customFormat="1" x14ac:dyDescent="0.3">
      <c r="D65" s="54"/>
      <c r="H65" s="5" t="s">
        <v>434</v>
      </c>
      <c r="I65" s="39"/>
      <c r="J65" s="50"/>
      <c r="K65" s="51">
        <v>8</v>
      </c>
      <c r="L65" s="44">
        <f>Table1345678101112131415161718192021222324252627283031[[#This Row],[الدولار]]+(Table1345678101112131415161718192021222324252627283031[[#This Row],[اللبناني]]/90)</f>
        <v>8</v>
      </c>
      <c r="M65" s="6"/>
      <c r="N65" s="11" t="s">
        <v>193</v>
      </c>
      <c r="P65" s="22">
        <v>2306</v>
      </c>
      <c r="S65" s="19">
        <v>7205</v>
      </c>
    </row>
    <row r="66" spans="4:19" s="11" customFormat="1" x14ac:dyDescent="0.3">
      <c r="D66" s="54"/>
      <c r="H66" s="5" t="s">
        <v>434</v>
      </c>
      <c r="I66" s="39" t="s">
        <v>572</v>
      </c>
      <c r="J66" s="52"/>
      <c r="K66" s="53">
        <v>55</v>
      </c>
      <c r="L66" s="44">
        <f>Table1345678101112131415161718192021222324252627283031[[#This Row],[الدولار]]+(Table1345678101112131415161718192021222324252627283031[[#This Row],[اللبناني]]/90)</f>
        <v>55</v>
      </c>
      <c r="M66" s="6"/>
    </row>
    <row r="67" spans="4:19" s="11" customFormat="1" x14ac:dyDescent="0.3">
      <c r="D67" s="54"/>
      <c r="H67" s="5" t="s">
        <v>434</v>
      </c>
      <c r="I67" s="39" t="s">
        <v>573</v>
      </c>
      <c r="J67" s="50"/>
      <c r="K67" s="51">
        <v>-73</v>
      </c>
      <c r="L67" s="44">
        <f>Table1345678101112131415161718192021222324252627283031[[#This Row],[الدولار]]+(Table1345678101112131415161718192021222324252627283031[[#This Row],[اللبناني]]/90)</f>
        <v>-73</v>
      </c>
      <c r="M67" s="6"/>
    </row>
    <row r="68" spans="4:19" s="11" customFormat="1" x14ac:dyDescent="0.3">
      <c r="D68" s="54"/>
      <c r="H68" s="5" t="s">
        <v>434</v>
      </c>
      <c r="I68" s="39"/>
      <c r="J68" s="52">
        <v>-200</v>
      </c>
      <c r="K68" s="53">
        <v>10</v>
      </c>
      <c r="L68" s="44">
        <f>Table1345678101112131415161718192021222324252627283031[[#This Row],[الدولار]]+(Table1345678101112131415161718192021222324252627283031[[#This Row],[اللبناني]]/90)</f>
        <v>7.7777777777777777</v>
      </c>
      <c r="M68" s="6"/>
    </row>
    <row r="69" spans="4:19" s="11" customFormat="1" x14ac:dyDescent="0.3">
      <c r="D69" s="54"/>
      <c r="H69" s="5" t="s">
        <v>436</v>
      </c>
      <c r="I69" s="39"/>
      <c r="J69" s="50"/>
      <c r="K69" s="51">
        <v>-1550</v>
      </c>
      <c r="L69" s="44">
        <f>Table1345678101112131415161718192021222324252627283031[[#This Row],[الدولار]]+(Table1345678101112131415161718192021222324252627283031[[#This Row],[اللبناني]]/90)</f>
        <v>-1550</v>
      </c>
      <c r="M69" s="6"/>
    </row>
    <row r="70" spans="4:19" s="11" customFormat="1" x14ac:dyDescent="0.3">
      <c r="H70" s="5" t="s">
        <v>434</v>
      </c>
      <c r="I70" s="39" t="s">
        <v>582</v>
      </c>
      <c r="J70" s="18"/>
      <c r="K70" s="11">
        <v>100</v>
      </c>
      <c r="L70" s="44">
        <f>Table1345678101112131415161718192021222324252627283031[[#This Row],[الدولار]]+(Table1345678101112131415161718192021222324252627283031[[#This Row],[اللبناني]]/90)</f>
        <v>100</v>
      </c>
      <c r="M70" s="6"/>
    </row>
    <row r="71" spans="4:19" s="11" customFormat="1" x14ac:dyDescent="0.3">
      <c r="H71" s="5" t="s">
        <v>436</v>
      </c>
      <c r="I71" s="39" t="s">
        <v>571</v>
      </c>
      <c r="J71" s="18"/>
      <c r="K71" s="11">
        <v>-100</v>
      </c>
      <c r="L71" s="44">
        <f>Table1345678101112131415161718192021222324252627283031[[#This Row],[الدولار]]+(Table1345678101112131415161718192021222324252627283031[[#This Row],[اللبناني]]/90)</f>
        <v>-100</v>
      </c>
      <c r="M71" s="6"/>
    </row>
    <row r="72" spans="4:19" s="11" customFormat="1" x14ac:dyDescent="0.3">
      <c r="H72" s="5" t="s">
        <v>434</v>
      </c>
      <c r="I72" s="39"/>
      <c r="J72" s="18"/>
      <c r="L72" s="44">
        <f>Table1345678101112131415161718192021222324252627283031[[#This Row],[الدولار]]+(Table1345678101112131415161718192021222324252627283031[[#This Row],[اللبناني]]/90)</f>
        <v>0</v>
      </c>
      <c r="M72" s="6"/>
    </row>
    <row r="73" spans="4:19" s="11" customFormat="1" x14ac:dyDescent="0.3">
      <c r="H73" s="5" t="s">
        <v>434</v>
      </c>
      <c r="I73" s="39"/>
      <c r="J73" s="18"/>
      <c r="L73" s="44">
        <f>Table1345678101112131415161718192021222324252627283031[[#This Row],[الدولار]]+(Table1345678101112131415161718192021222324252627283031[[#This Row],[اللبناني]]/90)</f>
        <v>0</v>
      </c>
      <c r="M73" s="6"/>
    </row>
    <row r="74" spans="4:19" s="11" customFormat="1" x14ac:dyDescent="0.3">
      <c r="H74" s="5" t="s">
        <v>434</v>
      </c>
      <c r="I74" s="39"/>
      <c r="J74" s="18"/>
      <c r="L74" s="44">
        <f>Table1345678101112131415161718192021222324252627283031[[#This Row],[الدولار]]+(Table1345678101112131415161718192021222324252627283031[[#This Row],[اللبناني]]/90)</f>
        <v>0</v>
      </c>
      <c r="M74" s="6"/>
    </row>
    <row r="75" spans="4:19" s="11" customFormat="1" x14ac:dyDescent="0.3">
      <c r="H75" s="5" t="s">
        <v>434</v>
      </c>
      <c r="I75" s="39"/>
      <c r="J75" s="18"/>
      <c r="L75" s="44">
        <f>Table1345678101112131415161718192021222324252627283031[[#This Row],[الدولار]]+(Table1345678101112131415161718192021222324252627283031[[#This Row],[اللبناني]]/90)</f>
        <v>0</v>
      </c>
      <c r="M75" s="6"/>
    </row>
    <row r="76" spans="4:19" s="11" customFormat="1" x14ac:dyDescent="0.3">
      <c r="H76" s="5" t="s">
        <v>434</v>
      </c>
      <c r="I76" s="39"/>
      <c r="J76" s="18"/>
      <c r="L76" s="44">
        <f>Table1345678101112131415161718192021222324252627283031[[#This Row],[الدولار]]+(Table1345678101112131415161718192021222324252627283031[[#This Row],[اللبناني]]/90)</f>
        <v>0</v>
      </c>
      <c r="M76" s="6"/>
    </row>
    <row r="77" spans="4:19" s="11" customFormat="1" x14ac:dyDescent="0.3">
      <c r="H77" s="5" t="s">
        <v>434</v>
      </c>
      <c r="I77" s="39"/>
      <c r="J77" s="18"/>
      <c r="L77" s="44">
        <f>Table1345678101112131415161718192021222324252627283031[[#This Row],[الدولار]]+(Table1345678101112131415161718192021222324252627283031[[#This Row],[اللبناني]]/90)</f>
        <v>0</v>
      </c>
      <c r="M77" s="6"/>
    </row>
    <row r="78" spans="4:19" s="11" customFormat="1" x14ac:dyDescent="0.3">
      <c r="H78" s="5" t="s">
        <v>434</v>
      </c>
      <c r="I78" s="39"/>
      <c r="J78" s="18"/>
      <c r="L78" s="44">
        <f>Table1345678101112131415161718192021222324252627283031[[#This Row],[الدولار]]+(Table1345678101112131415161718192021222324252627283031[[#This Row],[اللبناني]]/90)</f>
        <v>0</v>
      </c>
      <c r="M78" s="6"/>
    </row>
    <row r="79" spans="4:19" s="11" customFormat="1" x14ac:dyDescent="0.3">
      <c r="H79" s="5" t="s">
        <v>434</v>
      </c>
      <c r="I79" s="39"/>
      <c r="J79" s="18"/>
      <c r="L79" s="44">
        <f>Table1345678101112131415161718192021222324252627283031[[#This Row],[الدولار]]+(Table1345678101112131415161718192021222324252627283031[[#This Row],[اللبناني]]/90)</f>
        <v>0</v>
      </c>
      <c r="M79" s="6"/>
    </row>
    <row r="80" spans="4:19" s="11" customFormat="1" x14ac:dyDescent="0.3">
      <c r="H80" s="5" t="s">
        <v>434</v>
      </c>
      <c r="I80" s="39"/>
      <c r="J80" s="18"/>
      <c r="L80" s="44">
        <f>Table1345678101112131415161718192021222324252627283031[[#This Row],[الدولار]]+(Table1345678101112131415161718192021222324252627283031[[#This Row],[اللبناني]]/90)</f>
        <v>0</v>
      </c>
      <c r="M80" s="6"/>
    </row>
    <row r="81" spans="8:19" s="11" customFormat="1" x14ac:dyDescent="0.3">
      <c r="H81" s="5" t="s">
        <v>434</v>
      </c>
      <c r="I81" s="39"/>
      <c r="J81" s="18"/>
      <c r="L81" s="44">
        <f>Table1345678101112131415161718192021222324252627283031[[#This Row],[الدولار]]+(Table1345678101112131415161718192021222324252627283031[[#This Row],[اللبناني]]/90)</f>
        <v>0</v>
      </c>
      <c r="M81" s="6"/>
      <c r="S81" s="24"/>
    </row>
    <row r="82" spans="8:19" s="11" customFormat="1" x14ac:dyDescent="0.3">
      <c r="H82" s="5" t="s">
        <v>434</v>
      </c>
      <c r="I82" s="39"/>
      <c r="J82" s="18"/>
      <c r="L82" s="44">
        <f>Table1345678101112131415161718192021222324252627283031[[#This Row],[الدولار]]+(Table1345678101112131415161718192021222324252627283031[[#This Row],[اللبناني]]/90)</f>
        <v>0</v>
      </c>
      <c r="M82" s="6"/>
    </row>
    <row r="83" spans="8:19" s="11" customFormat="1" x14ac:dyDescent="0.3">
      <c r="H83" s="5" t="s">
        <v>434</v>
      </c>
      <c r="I83" s="39"/>
      <c r="J83" s="18"/>
      <c r="L83" s="44">
        <f>Table1345678101112131415161718192021222324252627283031[[#This Row],[الدولار]]+(Table1345678101112131415161718192021222324252627283031[[#This Row],[اللبناني]]/90)</f>
        <v>0</v>
      </c>
      <c r="M83" s="6"/>
    </row>
    <row r="84" spans="8:19" s="11" customFormat="1" x14ac:dyDescent="0.3">
      <c r="H84" s="5" t="s">
        <v>434</v>
      </c>
      <c r="I84" s="39"/>
      <c r="J84" s="18"/>
      <c r="L84" s="44">
        <f>Table1345678101112131415161718192021222324252627283031[[#This Row],[الدولار]]+(Table1345678101112131415161718192021222324252627283031[[#This Row],[اللبناني]]/90)</f>
        <v>0</v>
      </c>
      <c r="M84" s="6"/>
    </row>
    <row r="85" spans="8:19" s="11" customFormat="1" x14ac:dyDescent="0.3">
      <c r="H85" s="5" t="s">
        <v>434</v>
      </c>
      <c r="I85" s="39"/>
      <c r="J85" s="18"/>
      <c r="L85" s="44">
        <f>Table1345678101112131415161718192021222324252627283031[[#This Row],[الدولار]]+(Table1345678101112131415161718192021222324252627283031[[#This Row],[اللبناني]]/90)</f>
        <v>0</v>
      </c>
      <c r="M85" s="6"/>
    </row>
    <row r="86" spans="8:19" s="11" customFormat="1" x14ac:dyDescent="0.3">
      <c r="H86" s="5" t="s">
        <v>434</v>
      </c>
      <c r="I86" s="39"/>
      <c r="J86" s="18"/>
      <c r="L86" s="44">
        <f>Table1345678101112131415161718192021222324252627283031[[#This Row],[الدولار]]+(Table1345678101112131415161718192021222324252627283031[[#This Row],[اللبناني]]/90)</f>
        <v>0</v>
      </c>
      <c r="M86" s="6"/>
    </row>
    <row r="87" spans="8:19" s="11" customFormat="1" x14ac:dyDescent="0.3">
      <c r="H87" s="5" t="s">
        <v>434</v>
      </c>
      <c r="I87" s="39"/>
      <c r="J87" s="18"/>
      <c r="L87" s="44">
        <f>Table1345678101112131415161718192021222324252627283031[[#This Row],[الدولار]]+(Table1345678101112131415161718192021222324252627283031[[#This Row],[اللبناني]]/90)</f>
        <v>0</v>
      </c>
      <c r="M87" s="6"/>
    </row>
    <row r="88" spans="8:19" s="11" customFormat="1" x14ac:dyDescent="0.3">
      <c r="H88" s="5" t="s">
        <v>434</v>
      </c>
      <c r="I88" s="39"/>
      <c r="J88" s="18"/>
      <c r="L88" s="44">
        <f>Table1345678101112131415161718192021222324252627283031[[#This Row],[الدولار]]+(Table1345678101112131415161718192021222324252627283031[[#This Row],[اللبناني]]/90)</f>
        <v>0</v>
      </c>
      <c r="M88" s="6"/>
    </row>
    <row r="89" spans="8:19" s="11" customFormat="1" x14ac:dyDescent="0.3">
      <c r="H89" s="5" t="s">
        <v>434</v>
      </c>
      <c r="I89" s="39"/>
      <c r="J89" s="18"/>
      <c r="L89" s="44">
        <f>Table1345678101112131415161718192021222324252627283031[[#This Row],[الدولار]]+(Table1345678101112131415161718192021222324252627283031[[#This Row],[اللبناني]]/90)</f>
        <v>0</v>
      </c>
      <c r="M89" s="6"/>
    </row>
    <row r="90" spans="8:19" s="11" customFormat="1" x14ac:dyDescent="0.3">
      <c r="H90" s="5" t="s">
        <v>434</v>
      </c>
      <c r="I90" s="39"/>
      <c r="J90" s="18"/>
      <c r="L90" s="44">
        <f>Table1345678101112131415161718192021222324252627283031[[#This Row],[الدولار]]+(Table1345678101112131415161718192021222324252627283031[[#This Row],[اللبناني]]/90)</f>
        <v>0</v>
      </c>
      <c r="M90" s="6"/>
    </row>
    <row r="91" spans="8:19" s="11" customFormat="1" x14ac:dyDescent="0.3">
      <c r="H91" s="5" t="s">
        <v>434</v>
      </c>
      <c r="I91" s="39"/>
      <c r="J91" s="18"/>
      <c r="L91" s="44">
        <f>Table1345678101112131415161718192021222324252627283031[[#This Row],[الدولار]]+(Table1345678101112131415161718192021222324252627283031[[#This Row],[اللبناني]]/90)</f>
        <v>0</v>
      </c>
      <c r="M91" s="6"/>
    </row>
    <row r="92" spans="8:19" s="11" customFormat="1" x14ac:dyDescent="0.3">
      <c r="H92" s="5" t="s">
        <v>434</v>
      </c>
      <c r="I92" s="39"/>
      <c r="J92" s="18"/>
      <c r="L92" s="44">
        <f>Table1345678101112131415161718192021222324252627283031[[#This Row],[الدولار]]+(Table1345678101112131415161718192021222324252627283031[[#This Row],[اللبناني]]/90)</f>
        <v>0</v>
      </c>
      <c r="M92" s="6"/>
    </row>
    <row r="93" spans="8:19" s="11" customFormat="1" x14ac:dyDescent="0.3">
      <c r="H93" s="5" t="s">
        <v>434</v>
      </c>
      <c r="I93" s="39"/>
      <c r="J93" s="18"/>
      <c r="L93" s="44">
        <f>Table1345678101112131415161718192021222324252627283031[[#This Row],[الدولار]]+(Table1345678101112131415161718192021222324252627283031[[#This Row],[اللبناني]]/90)</f>
        <v>0</v>
      </c>
      <c r="M93" s="6"/>
    </row>
    <row r="94" spans="8:19" s="11" customFormat="1" x14ac:dyDescent="0.3">
      <c r="H94" s="5" t="s">
        <v>434</v>
      </c>
      <c r="I94" s="39"/>
      <c r="J94" s="18"/>
      <c r="L94" s="44">
        <f>Table1345678101112131415161718192021222324252627283031[[#This Row],[الدولار]]+(Table1345678101112131415161718192021222324252627283031[[#This Row],[اللبناني]]/90)</f>
        <v>0</v>
      </c>
      <c r="M94" s="6"/>
    </row>
    <row r="95" spans="8:19" s="11" customFormat="1" x14ac:dyDescent="0.3">
      <c r="H95" s="5" t="s">
        <v>434</v>
      </c>
      <c r="I95" s="39"/>
      <c r="J95" s="18"/>
      <c r="L95" s="44">
        <f>Table1345678101112131415161718192021222324252627283031[[#This Row],[الدولار]]+(Table1345678101112131415161718192021222324252627283031[[#This Row],[اللبناني]]/90)</f>
        <v>0</v>
      </c>
      <c r="M95" s="6"/>
    </row>
    <row r="96" spans="8:19" s="11" customFormat="1" x14ac:dyDescent="0.3">
      <c r="H96" s="5" t="s">
        <v>434</v>
      </c>
      <c r="I96" s="39"/>
      <c r="J96" s="18"/>
      <c r="L96" s="44">
        <f>Table1345678101112131415161718192021222324252627283031[[#This Row],[الدولار]]+(Table1345678101112131415161718192021222324252627283031[[#This Row],[اللبناني]]/90)</f>
        <v>0</v>
      </c>
      <c r="M96" s="6"/>
    </row>
    <row r="97" spans="8:13" s="11" customFormat="1" x14ac:dyDescent="0.3">
      <c r="H97" s="5" t="s">
        <v>434</v>
      </c>
      <c r="I97" s="39"/>
      <c r="J97" s="18"/>
      <c r="L97" s="44">
        <f>Table1345678101112131415161718192021222324252627283031[[#This Row],[الدولار]]+(Table1345678101112131415161718192021222324252627283031[[#This Row],[اللبناني]]/90)</f>
        <v>0</v>
      </c>
      <c r="M97" s="6"/>
    </row>
    <row r="98" spans="8:13" s="11" customFormat="1" x14ac:dyDescent="0.3">
      <c r="H98" s="5" t="s">
        <v>434</v>
      </c>
      <c r="I98" s="39"/>
      <c r="J98" s="18"/>
      <c r="L98" s="44">
        <f>Table1345678101112131415161718192021222324252627283031[[#This Row],[الدولار]]+(Table1345678101112131415161718192021222324252627283031[[#This Row],[اللبناني]]/90)</f>
        <v>0</v>
      </c>
      <c r="M98" s="6"/>
    </row>
    <row r="99" spans="8:13" s="11" customFormat="1" x14ac:dyDescent="0.3">
      <c r="H99" s="5" t="s">
        <v>434</v>
      </c>
      <c r="I99" s="39"/>
      <c r="J99" s="18"/>
      <c r="L99" s="44">
        <f>Table1345678101112131415161718192021222324252627283031[[#This Row],[الدولار]]+(Table1345678101112131415161718192021222324252627283031[[#This Row],[اللبناني]]/90)</f>
        <v>0</v>
      </c>
      <c r="M99" s="6"/>
    </row>
    <row r="100" spans="8:13" s="11" customFormat="1" x14ac:dyDescent="0.3">
      <c r="H100" s="5" t="s">
        <v>434</v>
      </c>
      <c r="I100" s="39"/>
      <c r="J100" s="18"/>
      <c r="L100" s="44">
        <f>Table1345678101112131415161718192021222324252627283031[[#This Row],[الدولار]]+(Table1345678101112131415161718192021222324252627283031[[#This Row],[اللبناني]]/90)</f>
        <v>0</v>
      </c>
      <c r="M100" s="6"/>
    </row>
    <row r="101" spans="8:13" s="11" customFormat="1" x14ac:dyDescent="0.3">
      <c r="H101" s="5" t="s">
        <v>434</v>
      </c>
      <c r="I101" s="39"/>
      <c r="J101" s="18"/>
      <c r="L101" s="44">
        <f>Table1345678101112131415161718192021222324252627283031[[#This Row],[الدولار]]+(Table1345678101112131415161718192021222324252627283031[[#This Row],[اللبناني]]/90)</f>
        <v>0</v>
      </c>
      <c r="M101" s="6"/>
    </row>
    <row r="102" spans="8:13" s="11" customFormat="1" x14ac:dyDescent="0.3">
      <c r="H102" s="5" t="s">
        <v>434</v>
      </c>
      <c r="I102" s="39"/>
      <c r="J102" s="18"/>
      <c r="L102" s="44">
        <f>Table1345678101112131415161718192021222324252627283031[[#This Row],[الدولار]]+(Table1345678101112131415161718192021222324252627283031[[#This Row],[اللبناني]]/90)</f>
        <v>0</v>
      </c>
      <c r="M102" s="6"/>
    </row>
    <row r="103" spans="8:13" s="11" customFormat="1" x14ac:dyDescent="0.3">
      <c r="H103" s="5" t="s">
        <v>434</v>
      </c>
      <c r="I103" s="39"/>
      <c r="J103" s="18"/>
      <c r="L103" s="44">
        <f>Table1345678101112131415161718192021222324252627283031[[#This Row],[الدولار]]+(Table1345678101112131415161718192021222324252627283031[[#This Row],[اللبناني]]/90)</f>
        <v>0</v>
      </c>
      <c r="M103" s="6"/>
    </row>
    <row r="104" spans="8:13" s="11" customFormat="1" x14ac:dyDescent="0.3">
      <c r="H104" s="5" t="s">
        <v>434</v>
      </c>
      <c r="I104" s="39"/>
      <c r="J104" s="18"/>
      <c r="L104" s="44">
        <f>Table1345678101112131415161718192021222324252627283031[[#This Row],[الدولار]]+(Table1345678101112131415161718192021222324252627283031[[#This Row],[اللبناني]]/90)</f>
        <v>0</v>
      </c>
      <c r="M104" s="6"/>
    </row>
    <row r="105" spans="8:13" s="11" customFormat="1" x14ac:dyDescent="0.3">
      <c r="H105" s="5" t="s">
        <v>434</v>
      </c>
      <c r="I105" s="39"/>
      <c r="J105" s="18"/>
      <c r="L105" s="44">
        <f>Table1345678101112131415161718192021222324252627283031[[#This Row],[الدولار]]+(Table1345678101112131415161718192021222324252627283031[[#This Row],[اللبناني]]/90)</f>
        <v>0</v>
      </c>
      <c r="M105" s="6"/>
    </row>
    <row r="106" spans="8:13" s="11" customFormat="1" x14ac:dyDescent="0.3">
      <c r="H106" s="5" t="s">
        <v>434</v>
      </c>
      <c r="I106" s="39"/>
      <c r="J106" s="18"/>
      <c r="L106" s="44">
        <f>Table1345678101112131415161718192021222324252627283031[[#This Row],[الدولار]]+(Table1345678101112131415161718192021222324252627283031[[#This Row],[اللبناني]]/90)</f>
        <v>0</v>
      </c>
      <c r="M106" s="6"/>
    </row>
    <row r="107" spans="8:13" s="11" customFormat="1" x14ac:dyDescent="0.3">
      <c r="H107" s="5" t="s">
        <v>434</v>
      </c>
      <c r="I107" s="39"/>
      <c r="J107" s="18"/>
      <c r="L107" s="44">
        <f>Table1345678101112131415161718192021222324252627283031[[#This Row],[الدولار]]+(Table1345678101112131415161718192021222324252627283031[[#This Row],[اللبناني]]/90)</f>
        <v>0</v>
      </c>
      <c r="M107" s="6"/>
    </row>
    <row r="108" spans="8:13" s="11" customFormat="1" x14ac:dyDescent="0.3">
      <c r="H108" s="5" t="s">
        <v>434</v>
      </c>
      <c r="I108" s="39"/>
      <c r="J108" s="18"/>
      <c r="L108" s="44">
        <f>Table1345678101112131415161718192021222324252627283031[[#This Row],[الدولار]]+(Table1345678101112131415161718192021222324252627283031[[#This Row],[اللبناني]]/90)</f>
        <v>0</v>
      </c>
      <c r="M108" s="6"/>
    </row>
    <row r="109" spans="8:13" s="11" customFormat="1" x14ac:dyDescent="0.3">
      <c r="H109" s="5" t="s">
        <v>434</v>
      </c>
      <c r="I109" s="39"/>
      <c r="J109" s="18"/>
      <c r="L109" s="44">
        <f>Table1345678101112131415161718192021222324252627283031[[#This Row],[الدولار]]+(Table1345678101112131415161718192021222324252627283031[[#This Row],[اللبناني]]/90)</f>
        <v>0</v>
      </c>
      <c r="M109" s="6"/>
    </row>
    <row r="110" spans="8:13" s="11" customFormat="1" x14ac:dyDescent="0.3">
      <c r="H110" s="5" t="s">
        <v>434</v>
      </c>
      <c r="I110" s="39"/>
      <c r="J110" s="18"/>
      <c r="L110" s="44">
        <f>Table1345678101112131415161718192021222324252627283031[[#This Row],[الدولار]]+(Table1345678101112131415161718192021222324252627283031[[#This Row],[اللبناني]]/90)</f>
        <v>0</v>
      </c>
      <c r="M110" s="6"/>
    </row>
    <row r="111" spans="8:13" s="11" customFormat="1" x14ac:dyDescent="0.3">
      <c r="H111" s="5" t="s">
        <v>434</v>
      </c>
      <c r="I111" s="39"/>
      <c r="J111" s="18"/>
      <c r="L111" s="44">
        <f>Table1345678101112131415161718192021222324252627283031[[#This Row],[الدولار]]+(Table1345678101112131415161718192021222324252627283031[[#This Row],[اللبناني]]/90)</f>
        <v>0</v>
      </c>
      <c r="M111" s="6"/>
    </row>
    <row r="112" spans="8:13" s="11" customFormat="1" x14ac:dyDescent="0.3">
      <c r="H112" s="5" t="s">
        <v>434</v>
      </c>
      <c r="I112" s="39"/>
      <c r="J112" s="18"/>
      <c r="L112" s="44">
        <f>Table1345678101112131415161718192021222324252627283031[[#This Row],[الدولار]]+(Table1345678101112131415161718192021222324252627283031[[#This Row],[اللبناني]]/90)</f>
        <v>0</v>
      </c>
      <c r="M112" s="6"/>
    </row>
    <row r="113" spans="8:13" s="11" customFormat="1" x14ac:dyDescent="0.3">
      <c r="H113" s="5" t="s">
        <v>434</v>
      </c>
      <c r="I113" s="39"/>
      <c r="J113" s="18"/>
      <c r="L113" s="44">
        <f>Table1345678101112131415161718192021222324252627283031[[#This Row],[الدولار]]+(Table1345678101112131415161718192021222324252627283031[[#This Row],[اللبناني]]/90)</f>
        <v>0</v>
      </c>
      <c r="M113" s="6"/>
    </row>
    <row r="114" spans="8:13" s="11" customFormat="1" x14ac:dyDescent="0.3">
      <c r="H114" s="5" t="s">
        <v>434</v>
      </c>
      <c r="I114" s="39"/>
      <c r="J114" s="18"/>
      <c r="L114" s="44">
        <f>Table1345678101112131415161718192021222324252627283031[[#This Row],[الدولار]]+(Table1345678101112131415161718192021222324252627283031[[#This Row],[اللبناني]]/90)</f>
        <v>0</v>
      </c>
      <c r="M114" s="6"/>
    </row>
    <row r="115" spans="8:13" s="11" customFormat="1" x14ac:dyDescent="0.3">
      <c r="H115" s="5" t="s">
        <v>434</v>
      </c>
      <c r="I115" s="39"/>
      <c r="J115" s="18"/>
      <c r="L115" s="44">
        <f>Table1345678101112131415161718192021222324252627283031[[#This Row],[الدولار]]+(Table1345678101112131415161718192021222324252627283031[[#This Row],[اللبناني]]/90)</f>
        <v>0</v>
      </c>
      <c r="M115" s="6"/>
    </row>
    <row r="116" spans="8:13" s="11" customFormat="1" x14ac:dyDescent="0.3">
      <c r="H116" s="5" t="s">
        <v>434</v>
      </c>
      <c r="I116" s="39"/>
      <c r="J116" s="18"/>
      <c r="L116" s="44">
        <f>Table1345678101112131415161718192021222324252627283031[[#This Row],[الدولار]]+(Table1345678101112131415161718192021222324252627283031[[#This Row],[اللبناني]]/90)</f>
        <v>0</v>
      </c>
      <c r="M116" s="6"/>
    </row>
    <row r="117" spans="8:13" s="11" customFormat="1" x14ac:dyDescent="0.3">
      <c r="H117" s="5" t="s">
        <v>434</v>
      </c>
      <c r="I117" s="39"/>
      <c r="J117" s="18"/>
      <c r="L117" s="44">
        <f>Table1345678101112131415161718192021222324252627283031[[#This Row],[الدولار]]+(Table1345678101112131415161718192021222324252627283031[[#This Row],[اللبناني]]/90)</f>
        <v>0</v>
      </c>
      <c r="M117" s="6"/>
    </row>
    <row r="118" spans="8:13" s="11" customFormat="1" x14ac:dyDescent="0.3">
      <c r="H118" s="5" t="s">
        <v>434</v>
      </c>
      <c r="I118" s="39"/>
      <c r="J118" s="18"/>
      <c r="L118" s="44">
        <f>Table1345678101112131415161718192021222324252627283031[[#This Row],[الدولار]]+(Table1345678101112131415161718192021222324252627283031[[#This Row],[اللبناني]]/90)</f>
        <v>0</v>
      </c>
      <c r="M118" s="6"/>
    </row>
    <row r="119" spans="8:13" s="11" customFormat="1" x14ac:dyDescent="0.3">
      <c r="H119" s="5" t="s">
        <v>434</v>
      </c>
      <c r="I119" s="39"/>
      <c r="J119" s="18"/>
      <c r="L119" s="44">
        <f>Table1345678101112131415161718192021222324252627283031[[#This Row],[الدولار]]+(Table1345678101112131415161718192021222324252627283031[[#This Row],[اللبناني]]/90)</f>
        <v>0</v>
      </c>
      <c r="M119" s="6"/>
    </row>
    <row r="120" spans="8:13" s="11" customFormat="1" x14ac:dyDescent="0.3">
      <c r="H120" s="5" t="s">
        <v>434</v>
      </c>
      <c r="I120" s="39"/>
      <c r="J120" s="18"/>
      <c r="L120" s="44">
        <f>Table1345678101112131415161718192021222324252627283031[[#This Row],[الدولار]]+(Table1345678101112131415161718192021222324252627283031[[#This Row],[اللبناني]]/90)</f>
        <v>0</v>
      </c>
      <c r="M120" s="6"/>
    </row>
    <row r="121" spans="8:13" s="11" customFormat="1" x14ac:dyDescent="0.3">
      <c r="H121" s="5" t="s">
        <v>434</v>
      </c>
      <c r="I121" s="39"/>
      <c r="J121" s="18"/>
      <c r="L121" s="44">
        <f>Table1345678101112131415161718192021222324252627283031[[#This Row],[الدولار]]+(Table1345678101112131415161718192021222324252627283031[[#This Row],[اللبناني]]/90)</f>
        <v>0</v>
      </c>
      <c r="M121" s="6"/>
    </row>
    <row r="122" spans="8:13" s="11" customFormat="1" x14ac:dyDescent="0.3">
      <c r="H122" s="5" t="s">
        <v>434</v>
      </c>
      <c r="I122" s="39"/>
      <c r="J122" s="18"/>
      <c r="L122" s="44">
        <f>Table1345678101112131415161718192021222324252627283031[[#This Row],[الدولار]]+(Table1345678101112131415161718192021222324252627283031[[#This Row],[اللبناني]]/90)</f>
        <v>0</v>
      </c>
      <c r="M122" s="6"/>
    </row>
    <row r="123" spans="8:13" s="11" customFormat="1" x14ac:dyDescent="0.3">
      <c r="H123" s="5" t="s">
        <v>434</v>
      </c>
      <c r="I123" s="39"/>
      <c r="J123" s="18"/>
      <c r="L123" s="44">
        <f>Table1345678101112131415161718192021222324252627283031[[#This Row],[الدولار]]+(Table1345678101112131415161718192021222324252627283031[[#This Row],[اللبناني]]/90)</f>
        <v>0</v>
      </c>
      <c r="M123" s="6"/>
    </row>
    <row r="124" spans="8:13" s="11" customFormat="1" x14ac:dyDescent="0.3">
      <c r="H124" s="5" t="s">
        <v>434</v>
      </c>
      <c r="I124" s="39"/>
      <c r="J124" s="18"/>
      <c r="L124" s="44">
        <f>Table1345678101112131415161718192021222324252627283031[[#This Row],[الدولار]]+(Table1345678101112131415161718192021222324252627283031[[#This Row],[اللبناني]]/90)</f>
        <v>0</v>
      </c>
      <c r="M124" s="6"/>
    </row>
    <row r="125" spans="8:13" s="11" customFormat="1" x14ac:dyDescent="0.3">
      <c r="H125" s="5" t="s">
        <v>434</v>
      </c>
      <c r="I125" s="39"/>
      <c r="J125" s="18"/>
      <c r="L125" s="44">
        <f>Table1345678101112131415161718192021222324252627283031[[#This Row],[الدولار]]+(Table1345678101112131415161718192021222324252627283031[[#This Row],[اللبناني]]/90)</f>
        <v>0</v>
      </c>
      <c r="M125" s="6"/>
    </row>
    <row r="126" spans="8:13" s="11" customFormat="1" x14ac:dyDescent="0.3">
      <c r="H126" s="5" t="s">
        <v>434</v>
      </c>
      <c r="I126" s="39"/>
      <c r="J126" s="18"/>
      <c r="L126" s="44">
        <f>Table1345678101112131415161718192021222324252627283031[[#This Row],[الدولار]]+(Table1345678101112131415161718192021222324252627283031[[#This Row],[اللبناني]]/90)</f>
        <v>0</v>
      </c>
      <c r="M126" s="6"/>
    </row>
    <row r="127" spans="8:13" s="11" customFormat="1" x14ac:dyDescent="0.3">
      <c r="H127" s="5" t="s">
        <v>434</v>
      </c>
      <c r="I127" s="39"/>
      <c r="J127" s="18"/>
      <c r="L127" s="44">
        <f>Table1345678101112131415161718192021222324252627283031[[#This Row],[الدولار]]+(Table1345678101112131415161718192021222324252627283031[[#This Row],[اللبناني]]/90)</f>
        <v>0</v>
      </c>
      <c r="M127" s="6"/>
    </row>
    <row r="128" spans="8:13" s="11" customFormat="1" x14ac:dyDescent="0.3">
      <c r="H128" s="5" t="s">
        <v>434</v>
      </c>
      <c r="I128" s="39"/>
      <c r="J128" s="18"/>
      <c r="L128" s="44">
        <f>Table1345678101112131415161718192021222324252627283031[[#This Row],[الدولار]]+(Table1345678101112131415161718192021222324252627283031[[#This Row],[اللبناني]]/90)</f>
        <v>0</v>
      </c>
      <c r="M128" s="6"/>
    </row>
    <row r="129" spans="8:13" s="11" customFormat="1" x14ac:dyDescent="0.3">
      <c r="H129" s="5" t="s">
        <v>434</v>
      </c>
      <c r="I129" s="39"/>
      <c r="J129" s="18"/>
      <c r="L129" s="44">
        <f>Table1345678101112131415161718192021222324252627283031[[#This Row],[الدولار]]+(Table1345678101112131415161718192021222324252627283031[[#This Row],[اللبناني]]/90)</f>
        <v>0</v>
      </c>
      <c r="M129" s="6"/>
    </row>
    <row r="130" spans="8:13" s="11" customFormat="1" x14ac:dyDescent="0.3">
      <c r="H130" s="5" t="s">
        <v>434</v>
      </c>
      <c r="I130" s="39"/>
      <c r="J130" s="18"/>
      <c r="L130" s="44">
        <f>Table1345678101112131415161718192021222324252627283031[[#This Row],[الدولار]]+(Table1345678101112131415161718192021222324252627283031[[#This Row],[اللبناني]]/90)</f>
        <v>0</v>
      </c>
      <c r="M130" s="6"/>
    </row>
    <row r="131" spans="8:13" s="11" customFormat="1" x14ac:dyDescent="0.3">
      <c r="H131" s="5" t="s">
        <v>434</v>
      </c>
      <c r="I131" s="39"/>
      <c r="J131" s="18"/>
      <c r="L131" s="44">
        <f>Table1345678101112131415161718192021222324252627283031[[#This Row],[الدولار]]+(Table1345678101112131415161718192021222324252627283031[[#This Row],[اللبناني]]/90)</f>
        <v>0</v>
      </c>
      <c r="M131" s="6"/>
    </row>
    <row r="132" spans="8:13" s="11" customFormat="1" x14ac:dyDescent="0.3">
      <c r="H132" s="5" t="s">
        <v>434</v>
      </c>
      <c r="I132" s="39"/>
      <c r="J132" s="18"/>
      <c r="L132" s="44">
        <f>Table1345678101112131415161718192021222324252627283031[[#This Row],[الدولار]]+(Table1345678101112131415161718192021222324252627283031[[#This Row],[اللبناني]]/90)</f>
        <v>0</v>
      </c>
      <c r="M132" s="6"/>
    </row>
    <row r="133" spans="8:13" s="11" customFormat="1" x14ac:dyDescent="0.3">
      <c r="H133" s="5" t="s">
        <v>434</v>
      </c>
      <c r="I133" s="39"/>
      <c r="J133" s="18"/>
      <c r="L133" s="44">
        <f>Table1345678101112131415161718192021222324252627283031[[#This Row],[الدولار]]+(Table1345678101112131415161718192021222324252627283031[[#This Row],[اللبناني]]/90)</f>
        <v>0</v>
      </c>
      <c r="M133" s="6"/>
    </row>
    <row r="134" spans="8:13" s="11" customFormat="1" x14ac:dyDescent="0.3">
      <c r="H134" s="5" t="s">
        <v>434</v>
      </c>
      <c r="I134" s="39"/>
      <c r="J134" s="18"/>
      <c r="L134" s="44">
        <f>Table1345678101112131415161718192021222324252627283031[[#This Row],[الدولار]]+(Table1345678101112131415161718192021222324252627283031[[#This Row],[اللبناني]]/90)</f>
        <v>0</v>
      </c>
      <c r="M134" s="6"/>
    </row>
    <row r="135" spans="8:13" s="11" customFormat="1" x14ac:dyDescent="0.3">
      <c r="H135" s="5" t="s">
        <v>434</v>
      </c>
      <c r="I135" s="39"/>
      <c r="J135" s="18"/>
      <c r="L135" s="44">
        <f>Table1345678101112131415161718192021222324252627283031[[#This Row],[الدولار]]+(Table1345678101112131415161718192021222324252627283031[[#This Row],[اللبناني]]/90)</f>
        <v>0</v>
      </c>
      <c r="M135" s="6"/>
    </row>
    <row r="136" spans="8:13" s="11" customFormat="1" x14ac:dyDescent="0.3">
      <c r="H136" s="5" t="s">
        <v>434</v>
      </c>
      <c r="I136" s="39"/>
      <c r="J136" s="18"/>
      <c r="L136" s="44">
        <f>Table1345678101112131415161718192021222324252627283031[[#This Row],[الدولار]]+(Table1345678101112131415161718192021222324252627283031[[#This Row],[اللبناني]]/90)</f>
        <v>0</v>
      </c>
      <c r="M136" s="6"/>
    </row>
    <row r="137" spans="8:13" s="11" customFormat="1" x14ac:dyDescent="0.3">
      <c r="H137" s="5" t="s">
        <v>434</v>
      </c>
      <c r="I137" s="39"/>
      <c r="J137" s="18"/>
      <c r="L137" s="44">
        <f>Table1345678101112131415161718192021222324252627283031[[#This Row],[الدولار]]+(Table1345678101112131415161718192021222324252627283031[[#This Row],[اللبناني]]/90)</f>
        <v>0</v>
      </c>
      <c r="M137" s="6"/>
    </row>
    <row r="138" spans="8:13" s="11" customFormat="1" x14ac:dyDescent="0.3">
      <c r="H138" s="5" t="s">
        <v>434</v>
      </c>
      <c r="I138" s="39"/>
      <c r="J138" s="18"/>
      <c r="L138" s="44">
        <f>Table1345678101112131415161718192021222324252627283031[[#This Row],[الدولار]]+(Table1345678101112131415161718192021222324252627283031[[#This Row],[اللبناني]]/90)</f>
        <v>0</v>
      </c>
      <c r="M138" s="6"/>
    </row>
    <row r="139" spans="8:13" s="11" customFormat="1" x14ac:dyDescent="0.3">
      <c r="H139" s="5" t="s">
        <v>434</v>
      </c>
      <c r="I139" s="39"/>
      <c r="J139" s="18"/>
      <c r="L139" s="44">
        <f>Table1345678101112131415161718192021222324252627283031[[#This Row],[الدولار]]+(Table1345678101112131415161718192021222324252627283031[[#This Row],[اللبناني]]/90)</f>
        <v>0</v>
      </c>
      <c r="M139" s="6"/>
    </row>
    <row r="140" spans="8:13" s="11" customFormat="1" x14ac:dyDescent="0.3">
      <c r="H140" s="5" t="s">
        <v>434</v>
      </c>
      <c r="I140" s="39"/>
      <c r="J140" s="18"/>
      <c r="L140" s="44">
        <f>Table1345678101112131415161718192021222324252627283031[[#This Row],[الدولار]]+(Table1345678101112131415161718192021222324252627283031[[#This Row],[اللبناني]]/90)</f>
        <v>0</v>
      </c>
      <c r="M140" s="6"/>
    </row>
    <row r="141" spans="8:13" s="11" customFormat="1" x14ac:dyDescent="0.3">
      <c r="H141" s="5" t="s">
        <v>434</v>
      </c>
      <c r="I141" s="39"/>
      <c r="J141" s="18"/>
      <c r="L141" s="44">
        <f>Table1345678101112131415161718192021222324252627283031[[#This Row],[الدولار]]+(Table1345678101112131415161718192021222324252627283031[[#This Row],[اللبناني]]/90)</f>
        <v>0</v>
      </c>
      <c r="M141" s="6"/>
    </row>
    <row r="142" spans="8:13" s="11" customFormat="1" x14ac:dyDescent="0.3">
      <c r="H142" s="5" t="s">
        <v>434</v>
      </c>
      <c r="I142" s="39"/>
      <c r="J142" s="18"/>
      <c r="L142" s="44">
        <f>Table1345678101112131415161718192021222324252627283031[[#This Row],[الدولار]]+(Table1345678101112131415161718192021222324252627283031[[#This Row],[اللبناني]]/90)</f>
        <v>0</v>
      </c>
      <c r="M142" s="6"/>
    </row>
    <row r="143" spans="8:13" s="11" customFormat="1" x14ac:dyDescent="0.3">
      <c r="H143" s="5" t="s">
        <v>434</v>
      </c>
      <c r="I143" s="39"/>
      <c r="J143" s="18"/>
      <c r="L143" s="44">
        <f>Table1345678101112131415161718192021222324252627283031[[#This Row],[الدولار]]+(Table1345678101112131415161718192021222324252627283031[[#This Row],[اللبناني]]/90)</f>
        <v>0</v>
      </c>
      <c r="M143" s="6"/>
    </row>
    <row r="144" spans="8:13" s="11" customFormat="1" x14ac:dyDescent="0.3">
      <c r="H144" s="5" t="s">
        <v>434</v>
      </c>
      <c r="I144" s="39"/>
      <c r="J144" s="18"/>
      <c r="L144" s="44">
        <f>Table1345678101112131415161718192021222324252627283031[[#This Row],[الدولار]]+(Table1345678101112131415161718192021222324252627283031[[#This Row],[اللبناني]]/90)</f>
        <v>0</v>
      </c>
      <c r="M144" s="6"/>
    </row>
    <row r="145" spans="8:13" s="11" customFormat="1" x14ac:dyDescent="0.3">
      <c r="H145" s="5" t="s">
        <v>434</v>
      </c>
      <c r="I145" s="39"/>
      <c r="J145" s="18"/>
      <c r="L145" s="44">
        <f>Table1345678101112131415161718192021222324252627283031[[#This Row],[الدولار]]+(Table1345678101112131415161718192021222324252627283031[[#This Row],[اللبناني]]/90)</f>
        <v>0</v>
      </c>
      <c r="M145" s="6"/>
    </row>
    <row r="146" spans="8:13" s="11" customFormat="1" x14ac:dyDescent="0.3">
      <c r="H146" s="5" t="s">
        <v>434</v>
      </c>
      <c r="I146" s="39"/>
      <c r="J146" s="18"/>
      <c r="L146" s="44">
        <f>Table1345678101112131415161718192021222324252627283031[[#This Row],[الدولار]]+(Table1345678101112131415161718192021222324252627283031[[#This Row],[اللبناني]]/90)</f>
        <v>0</v>
      </c>
      <c r="M146" s="6"/>
    </row>
    <row r="147" spans="8:13" s="11" customFormat="1" x14ac:dyDescent="0.3">
      <c r="H147" s="5" t="s">
        <v>434</v>
      </c>
      <c r="I147" s="39"/>
      <c r="J147" s="18"/>
      <c r="L147" s="44">
        <f>Table1345678101112131415161718192021222324252627283031[[#This Row],[الدولار]]+(Table1345678101112131415161718192021222324252627283031[[#This Row],[اللبناني]]/90)</f>
        <v>0</v>
      </c>
      <c r="M147" s="6"/>
    </row>
    <row r="148" spans="8:13" s="11" customFormat="1" x14ac:dyDescent="0.3">
      <c r="H148" s="5" t="s">
        <v>434</v>
      </c>
      <c r="I148" s="39"/>
      <c r="J148" s="18"/>
      <c r="L148" s="44">
        <f>Table1345678101112131415161718192021222324252627283031[[#This Row],[الدولار]]+(Table1345678101112131415161718192021222324252627283031[[#This Row],[اللبناني]]/90)</f>
        <v>0</v>
      </c>
      <c r="M148" s="6"/>
    </row>
    <row r="149" spans="8:13" s="11" customFormat="1" x14ac:dyDescent="0.3">
      <c r="H149" s="5" t="s">
        <v>434</v>
      </c>
      <c r="I149" s="39"/>
      <c r="J149" s="18"/>
      <c r="L149" s="44">
        <f>Table1345678101112131415161718192021222324252627283031[[#This Row],[الدولار]]+(Table1345678101112131415161718192021222324252627283031[[#This Row],[اللبناني]]/90)</f>
        <v>0</v>
      </c>
      <c r="M149" s="6"/>
    </row>
    <row r="150" spans="8:13" s="11" customFormat="1" x14ac:dyDescent="0.3">
      <c r="H150" s="5" t="s">
        <v>434</v>
      </c>
      <c r="I150" s="39"/>
      <c r="J150" s="18"/>
      <c r="L150" s="44">
        <f>Table1345678101112131415161718192021222324252627283031[[#This Row],[الدولار]]+(Table1345678101112131415161718192021222324252627283031[[#This Row],[اللبناني]]/90)</f>
        <v>0</v>
      </c>
      <c r="M150" s="6"/>
    </row>
    <row r="151" spans="8:13" s="11" customFormat="1" x14ac:dyDescent="0.3">
      <c r="H151" s="5" t="s">
        <v>434</v>
      </c>
      <c r="I151" s="39"/>
      <c r="J151" s="18"/>
      <c r="L151" s="44">
        <f>Table1345678101112131415161718192021222324252627283031[[#This Row],[الدولار]]+(Table1345678101112131415161718192021222324252627283031[[#This Row],[اللبناني]]/90)</f>
        <v>0</v>
      </c>
      <c r="M151" s="6"/>
    </row>
    <row r="152" spans="8:13" s="11" customFormat="1" x14ac:dyDescent="0.3">
      <c r="H152" s="5" t="s">
        <v>434</v>
      </c>
      <c r="I152" s="39"/>
      <c r="J152" s="18"/>
      <c r="L152" s="44">
        <f>Table1345678101112131415161718192021222324252627283031[[#This Row],[الدولار]]+(Table1345678101112131415161718192021222324252627283031[[#This Row],[اللبناني]]/90)</f>
        <v>0</v>
      </c>
      <c r="M152" s="6"/>
    </row>
    <row r="153" spans="8:13" s="11" customFormat="1" x14ac:dyDescent="0.3">
      <c r="H153" s="5" t="s">
        <v>434</v>
      </c>
      <c r="I153" s="39"/>
      <c r="J153" s="18"/>
      <c r="L153" s="44">
        <f>Table1345678101112131415161718192021222324252627283031[[#This Row],[الدولار]]+(Table1345678101112131415161718192021222324252627283031[[#This Row],[اللبناني]]/90)</f>
        <v>0</v>
      </c>
      <c r="M153" s="6"/>
    </row>
    <row r="154" spans="8:13" s="11" customFormat="1" x14ac:dyDescent="0.3">
      <c r="H154" s="5" t="s">
        <v>434</v>
      </c>
      <c r="I154" s="39"/>
      <c r="J154" s="18"/>
      <c r="L154" s="44">
        <f>Table1345678101112131415161718192021222324252627283031[[#This Row],[الدولار]]+(Table1345678101112131415161718192021222324252627283031[[#This Row],[اللبناني]]/90)</f>
        <v>0</v>
      </c>
      <c r="M154" s="6"/>
    </row>
    <row r="155" spans="8:13" s="11" customFormat="1" x14ac:dyDescent="0.3">
      <c r="H155" s="5" t="s">
        <v>434</v>
      </c>
      <c r="I155" s="39"/>
      <c r="J155" s="18"/>
      <c r="L155" s="44">
        <f>Table1345678101112131415161718192021222324252627283031[[#This Row],[الدولار]]+(Table1345678101112131415161718192021222324252627283031[[#This Row],[اللبناني]]/90)</f>
        <v>0</v>
      </c>
      <c r="M155" s="6"/>
    </row>
    <row r="156" spans="8:13" s="11" customFormat="1" x14ac:dyDescent="0.3">
      <c r="H156" s="5" t="s">
        <v>434</v>
      </c>
      <c r="I156" s="39"/>
      <c r="J156" s="18"/>
      <c r="L156" s="44">
        <f>Table1345678101112131415161718192021222324252627283031[[#This Row],[الدولار]]+(Table1345678101112131415161718192021222324252627283031[[#This Row],[اللبناني]]/90)</f>
        <v>0</v>
      </c>
      <c r="M156" s="6"/>
    </row>
    <row r="157" spans="8:13" s="11" customFormat="1" x14ac:dyDescent="0.3">
      <c r="H157" s="5" t="s">
        <v>434</v>
      </c>
      <c r="I157" s="39"/>
      <c r="J157" s="18"/>
      <c r="L157" s="44">
        <f>Table1345678101112131415161718192021222324252627283031[[#This Row],[الدولار]]+(Table1345678101112131415161718192021222324252627283031[[#This Row],[اللبناني]]/90)</f>
        <v>0</v>
      </c>
      <c r="M157" s="6"/>
    </row>
    <row r="158" spans="8:13" s="11" customFormat="1" x14ac:dyDescent="0.3">
      <c r="H158" s="5" t="s">
        <v>434</v>
      </c>
      <c r="I158" s="39"/>
      <c r="J158" s="18"/>
      <c r="L158" s="44">
        <f>Table1345678101112131415161718192021222324252627283031[[#This Row],[الدولار]]+(Table1345678101112131415161718192021222324252627283031[[#This Row],[اللبناني]]/90)</f>
        <v>0</v>
      </c>
      <c r="M158" s="6"/>
    </row>
    <row r="159" spans="8:13" s="11" customFormat="1" x14ac:dyDescent="0.3">
      <c r="H159" s="5" t="s">
        <v>434</v>
      </c>
      <c r="I159" s="39"/>
      <c r="J159" s="18"/>
      <c r="L159" s="44">
        <f>Table1345678101112131415161718192021222324252627283031[[#This Row],[الدولار]]+(Table1345678101112131415161718192021222324252627283031[[#This Row],[اللبناني]]/90)</f>
        <v>0</v>
      </c>
      <c r="M159" s="6"/>
    </row>
    <row r="160" spans="8:13" s="11" customFormat="1" x14ac:dyDescent="0.3">
      <c r="H160" s="5" t="s">
        <v>434</v>
      </c>
      <c r="I160" s="39"/>
      <c r="J160" s="18"/>
      <c r="L160" s="44">
        <f>Table1345678101112131415161718192021222324252627283031[[#This Row],[الدولار]]+(Table1345678101112131415161718192021222324252627283031[[#This Row],[اللبناني]]/90)</f>
        <v>0</v>
      </c>
      <c r="M160" s="6"/>
    </row>
    <row r="161" spans="8:13" s="11" customFormat="1" x14ac:dyDescent="0.3">
      <c r="H161" s="5" t="s">
        <v>434</v>
      </c>
      <c r="I161" s="39"/>
      <c r="J161" s="18"/>
      <c r="L161" s="44">
        <f>Table1345678101112131415161718192021222324252627283031[[#This Row],[الدولار]]+(Table1345678101112131415161718192021222324252627283031[[#This Row],[اللبناني]]/90)</f>
        <v>0</v>
      </c>
      <c r="M161" s="6"/>
    </row>
    <row r="162" spans="8:13" s="11" customFormat="1" x14ac:dyDescent="0.3">
      <c r="H162" s="5" t="s">
        <v>434</v>
      </c>
      <c r="I162" s="39"/>
      <c r="J162" s="18"/>
      <c r="L162" s="44">
        <f>Table1345678101112131415161718192021222324252627283031[[#This Row],[الدولار]]+(Table1345678101112131415161718192021222324252627283031[[#This Row],[اللبناني]]/90)</f>
        <v>0</v>
      </c>
      <c r="M162" s="6"/>
    </row>
    <row r="163" spans="8:13" s="11" customFormat="1" x14ac:dyDescent="0.3">
      <c r="H163" s="5" t="s">
        <v>434</v>
      </c>
      <c r="I163" s="39"/>
      <c r="J163" s="18"/>
      <c r="L163" s="44">
        <f>Table1345678101112131415161718192021222324252627283031[[#This Row],[الدولار]]+(Table1345678101112131415161718192021222324252627283031[[#This Row],[اللبناني]]/90)</f>
        <v>0</v>
      </c>
      <c r="M163" s="6"/>
    </row>
    <row r="164" spans="8:13" s="11" customFormat="1" x14ac:dyDescent="0.3">
      <c r="H164" s="5" t="s">
        <v>434</v>
      </c>
      <c r="I164" s="39"/>
      <c r="J164" s="18"/>
      <c r="L164" s="44">
        <f>Table1345678101112131415161718192021222324252627283031[[#This Row],[الدولار]]+(Table1345678101112131415161718192021222324252627283031[[#This Row],[اللبناني]]/90)</f>
        <v>0</v>
      </c>
      <c r="M164" s="6"/>
    </row>
    <row r="165" spans="8:13" s="11" customFormat="1" x14ac:dyDescent="0.3">
      <c r="H165" s="5" t="s">
        <v>434</v>
      </c>
      <c r="I165" s="39"/>
      <c r="J165" s="18"/>
      <c r="L165" s="44">
        <f>Table1345678101112131415161718192021222324252627283031[[#This Row],[الدولار]]+(Table1345678101112131415161718192021222324252627283031[[#This Row],[اللبناني]]/90)</f>
        <v>0</v>
      </c>
      <c r="M165" s="6"/>
    </row>
    <row r="166" spans="8:13" s="11" customFormat="1" x14ac:dyDescent="0.3">
      <c r="H166" s="5" t="s">
        <v>434</v>
      </c>
      <c r="I166" s="39"/>
      <c r="J166" s="18"/>
      <c r="L166" s="44">
        <f>Table1345678101112131415161718192021222324252627283031[[#This Row],[الدولار]]+(Table1345678101112131415161718192021222324252627283031[[#This Row],[اللبناني]]/90)</f>
        <v>0</v>
      </c>
      <c r="M166" s="6"/>
    </row>
    <row r="167" spans="8:13" s="11" customFormat="1" x14ac:dyDescent="0.3">
      <c r="H167" s="5" t="s">
        <v>434</v>
      </c>
      <c r="I167" s="39"/>
      <c r="J167" s="18"/>
      <c r="L167" s="44">
        <f>Table1345678101112131415161718192021222324252627283031[[#This Row],[الدولار]]+(Table1345678101112131415161718192021222324252627283031[[#This Row],[اللبناني]]/90)</f>
        <v>0</v>
      </c>
      <c r="M167" s="6"/>
    </row>
    <row r="168" spans="8:13" s="11" customFormat="1" x14ac:dyDescent="0.3">
      <c r="H168" s="5" t="s">
        <v>434</v>
      </c>
      <c r="I168" s="39"/>
      <c r="J168" s="18"/>
      <c r="L168" s="44">
        <f>Table1345678101112131415161718192021222324252627283031[[#This Row],[الدولار]]+(Table1345678101112131415161718192021222324252627283031[[#This Row],[اللبناني]]/90)</f>
        <v>0</v>
      </c>
      <c r="M168" s="6"/>
    </row>
    <row r="169" spans="8:13" s="11" customFormat="1" x14ac:dyDescent="0.3">
      <c r="H169" s="5" t="s">
        <v>434</v>
      </c>
      <c r="I169" s="39"/>
      <c r="J169" s="18"/>
      <c r="L169" s="44">
        <f>Table1345678101112131415161718192021222324252627283031[[#This Row],[الدولار]]+(Table1345678101112131415161718192021222324252627283031[[#This Row],[اللبناني]]/90)</f>
        <v>0</v>
      </c>
      <c r="M169" s="6"/>
    </row>
    <row r="170" spans="8:13" s="11" customFormat="1" x14ac:dyDescent="0.3">
      <c r="H170" s="5" t="s">
        <v>434</v>
      </c>
      <c r="I170" s="39"/>
      <c r="J170" s="18"/>
      <c r="L170" s="44">
        <f>Table1345678101112131415161718192021222324252627283031[[#This Row],[الدولار]]+(Table1345678101112131415161718192021222324252627283031[[#This Row],[اللبناني]]/90)</f>
        <v>0</v>
      </c>
      <c r="M170" s="6"/>
    </row>
    <row r="171" spans="8:13" s="11" customFormat="1" x14ac:dyDescent="0.3">
      <c r="H171" s="5" t="s">
        <v>434</v>
      </c>
      <c r="I171" s="39"/>
      <c r="J171" s="18"/>
      <c r="L171" s="44">
        <f>Table1345678101112131415161718192021222324252627283031[[#This Row],[الدولار]]+(Table1345678101112131415161718192021222324252627283031[[#This Row],[اللبناني]]/90)</f>
        <v>0</v>
      </c>
      <c r="M171" s="6"/>
    </row>
    <row r="172" spans="8:13" s="11" customFormat="1" x14ac:dyDescent="0.3">
      <c r="H172" s="5" t="s">
        <v>434</v>
      </c>
      <c r="I172" s="39"/>
      <c r="J172" s="18"/>
      <c r="L172" s="44">
        <f>Table1345678101112131415161718192021222324252627283031[[#This Row],[الدولار]]+(Table1345678101112131415161718192021222324252627283031[[#This Row],[اللبناني]]/90)</f>
        <v>0</v>
      </c>
      <c r="M172" s="6"/>
    </row>
    <row r="173" spans="8:13" s="11" customFormat="1" x14ac:dyDescent="0.3">
      <c r="H173" s="5" t="s">
        <v>434</v>
      </c>
      <c r="I173" s="39"/>
      <c r="J173" s="18"/>
      <c r="L173" s="44">
        <f>Table1345678101112131415161718192021222324252627283031[[#This Row],[الدولار]]+(Table1345678101112131415161718192021222324252627283031[[#This Row],[اللبناني]]/90)</f>
        <v>0</v>
      </c>
      <c r="M173" s="6"/>
    </row>
    <row r="174" spans="8:13" s="11" customFormat="1" x14ac:dyDescent="0.3">
      <c r="H174" s="5" t="s">
        <v>434</v>
      </c>
      <c r="I174" s="39"/>
      <c r="J174" s="18"/>
      <c r="L174" s="44">
        <f>Table1345678101112131415161718192021222324252627283031[[#This Row],[الدولار]]+(Table1345678101112131415161718192021222324252627283031[[#This Row],[اللبناني]]/90)</f>
        <v>0</v>
      </c>
      <c r="M174" s="6"/>
    </row>
    <row r="175" spans="8:13" s="11" customFormat="1" x14ac:dyDescent="0.3">
      <c r="H175" s="5" t="s">
        <v>434</v>
      </c>
      <c r="I175" s="39"/>
      <c r="J175" s="18"/>
      <c r="L175" s="44">
        <f>Table1345678101112131415161718192021222324252627283031[[#This Row],[الدولار]]+(Table1345678101112131415161718192021222324252627283031[[#This Row],[اللبناني]]/90)</f>
        <v>0</v>
      </c>
      <c r="M175" s="6"/>
    </row>
    <row r="176" spans="8:13" s="11" customFormat="1" x14ac:dyDescent="0.3">
      <c r="H176" s="5" t="s">
        <v>434</v>
      </c>
      <c r="I176" s="39"/>
      <c r="J176" s="18"/>
      <c r="L176" s="44">
        <f>Table1345678101112131415161718192021222324252627283031[[#This Row],[الدولار]]+(Table1345678101112131415161718192021222324252627283031[[#This Row],[اللبناني]]/90)</f>
        <v>0</v>
      </c>
      <c r="M176" s="6"/>
    </row>
    <row r="177" spans="8:13" s="11" customFormat="1" x14ac:dyDescent="0.3">
      <c r="H177" s="5" t="s">
        <v>434</v>
      </c>
      <c r="I177" s="39"/>
      <c r="J177" s="18"/>
      <c r="L177" s="44">
        <f>Table1345678101112131415161718192021222324252627283031[[#This Row],[الدولار]]+(Table1345678101112131415161718192021222324252627283031[[#This Row],[اللبناني]]/90)</f>
        <v>0</v>
      </c>
      <c r="M177" s="6"/>
    </row>
    <row r="178" spans="8:13" s="11" customFormat="1" x14ac:dyDescent="0.3">
      <c r="H178" s="5" t="s">
        <v>434</v>
      </c>
      <c r="I178" s="39"/>
      <c r="J178" s="18"/>
      <c r="L178" s="44">
        <f>Table1345678101112131415161718192021222324252627283031[[#This Row],[الدولار]]+(Table1345678101112131415161718192021222324252627283031[[#This Row],[اللبناني]]/90)</f>
        <v>0</v>
      </c>
      <c r="M178" s="6"/>
    </row>
    <row r="179" spans="8:13" s="11" customFormat="1" x14ac:dyDescent="0.3">
      <c r="H179" s="5" t="s">
        <v>434</v>
      </c>
      <c r="I179" s="39"/>
      <c r="J179" s="18"/>
      <c r="L179" s="44">
        <f>Table1345678101112131415161718192021222324252627283031[[#This Row],[الدولار]]+(Table1345678101112131415161718192021222324252627283031[[#This Row],[اللبناني]]/90)</f>
        <v>0</v>
      </c>
      <c r="M179" s="6"/>
    </row>
    <row r="180" spans="8:13" s="11" customFormat="1" x14ac:dyDescent="0.3">
      <c r="H180" s="5" t="s">
        <v>434</v>
      </c>
      <c r="I180" s="39"/>
      <c r="J180" s="18"/>
      <c r="L180" s="44">
        <f>Table1345678101112131415161718192021222324252627283031[[#This Row],[الدولار]]+(Table1345678101112131415161718192021222324252627283031[[#This Row],[اللبناني]]/90)</f>
        <v>0</v>
      </c>
      <c r="M180" s="6"/>
    </row>
    <row r="181" spans="8:13" s="11" customFormat="1" x14ac:dyDescent="0.3">
      <c r="H181" s="5" t="s">
        <v>434</v>
      </c>
      <c r="I181" s="39"/>
      <c r="J181" s="18"/>
      <c r="L181" s="44">
        <f>Table1345678101112131415161718192021222324252627283031[[#This Row],[الدولار]]+(Table1345678101112131415161718192021222324252627283031[[#This Row],[اللبناني]]/90)</f>
        <v>0</v>
      </c>
      <c r="M181" s="6"/>
    </row>
    <row r="182" spans="8:13" s="11" customFormat="1" x14ac:dyDescent="0.3">
      <c r="H182" s="5" t="s">
        <v>434</v>
      </c>
      <c r="I182" s="39"/>
      <c r="J182" s="18"/>
      <c r="L182" s="44">
        <f>Table1345678101112131415161718192021222324252627283031[[#This Row],[الدولار]]+(Table1345678101112131415161718192021222324252627283031[[#This Row],[اللبناني]]/90)</f>
        <v>0</v>
      </c>
      <c r="M182" s="6"/>
    </row>
    <row r="183" spans="8:13" s="11" customFormat="1" x14ac:dyDescent="0.3">
      <c r="H183" s="5" t="s">
        <v>434</v>
      </c>
      <c r="I183" s="39"/>
      <c r="J183" s="18"/>
      <c r="L183" s="44">
        <f>Table1345678101112131415161718192021222324252627283031[[#This Row],[الدولار]]+(Table1345678101112131415161718192021222324252627283031[[#This Row],[اللبناني]]/90)</f>
        <v>0</v>
      </c>
      <c r="M183" s="6"/>
    </row>
    <row r="184" spans="8:13" s="11" customFormat="1" x14ac:dyDescent="0.3">
      <c r="H184" s="5" t="s">
        <v>434</v>
      </c>
      <c r="I184" s="39"/>
      <c r="J184" s="18"/>
      <c r="L184" s="44">
        <f>Table1345678101112131415161718192021222324252627283031[[#This Row],[الدولار]]+(Table1345678101112131415161718192021222324252627283031[[#This Row],[اللبناني]]/90)</f>
        <v>0</v>
      </c>
      <c r="M184" s="6"/>
    </row>
    <row r="185" spans="8:13" s="11" customFormat="1" x14ac:dyDescent="0.3">
      <c r="H185" s="5" t="s">
        <v>434</v>
      </c>
      <c r="I185" s="39"/>
      <c r="J185" s="18"/>
      <c r="L185" s="44">
        <f>Table1345678101112131415161718192021222324252627283031[[#This Row],[الدولار]]+(Table1345678101112131415161718192021222324252627283031[[#This Row],[اللبناني]]/90)</f>
        <v>0</v>
      </c>
      <c r="M185" s="6"/>
    </row>
    <row r="186" spans="8:13" s="11" customFormat="1" x14ac:dyDescent="0.3">
      <c r="H186" s="5" t="s">
        <v>434</v>
      </c>
      <c r="I186" s="39"/>
      <c r="J186" s="18"/>
      <c r="L186" s="44">
        <f>Table1345678101112131415161718192021222324252627283031[[#This Row],[الدولار]]+(Table1345678101112131415161718192021222324252627283031[[#This Row],[اللبناني]]/90)</f>
        <v>0</v>
      </c>
      <c r="M186" s="6"/>
    </row>
    <row r="187" spans="8:13" s="11" customFormat="1" x14ac:dyDescent="0.3">
      <c r="H187" s="5" t="s">
        <v>434</v>
      </c>
      <c r="I187" s="39"/>
      <c r="J187" s="18"/>
      <c r="L187" s="44">
        <f>Table1345678101112131415161718192021222324252627283031[[#This Row],[الدولار]]+(Table1345678101112131415161718192021222324252627283031[[#This Row],[اللبناني]]/90)</f>
        <v>0</v>
      </c>
      <c r="M187" s="6"/>
    </row>
    <row r="188" spans="8:13" s="11" customFormat="1" x14ac:dyDescent="0.3">
      <c r="H188" s="5" t="s">
        <v>434</v>
      </c>
      <c r="I188" s="39"/>
      <c r="J188" s="18"/>
      <c r="L188" s="44">
        <f>Table1345678101112131415161718192021222324252627283031[[#This Row],[الدولار]]+(Table1345678101112131415161718192021222324252627283031[[#This Row],[اللبناني]]/90)</f>
        <v>0</v>
      </c>
      <c r="M188" s="6"/>
    </row>
    <row r="189" spans="8:13" s="11" customFormat="1" x14ac:dyDescent="0.3">
      <c r="H189" s="5" t="s">
        <v>434</v>
      </c>
      <c r="I189" s="39"/>
      <c r="J189" s="18"/>
      <c r="L189" s="44">
        <f>Table1345678101112131415161718192021222324252627283031[[#This Row],[الدولار]]+(Table1345678101112131415161718192021222324252627283031[[#This Row],[اللبناني]]/90)</f>
        <v>0</v>
      </c>
      <c r="M189" s="6"/>
    </row>
    <row r="190" spans="8:13" s="11" customFormat="1" x14ac:dyDescent="0.3">
      <c r="H190" s="5" t="s">
        <v>434</v>
      </c>
      <c r="I190" s="39"/>
      <c r="J190" s="18"/>
      <c r="L190" s="44">
        <f>Table1345678101112131415161718192021222324252627283031[[#This Row],[الدولار]]+(Table1345678101112131415161718192021222324252627283031[[#This Row],[اللبناني]]/90)</f>
        <v>0</v>
      </c>
      <c r="M190" s="6"/>
    </row>
    <row r="191" spans="8:13" s="11" customFormat="1" x14ac:dyDescent="0.3">
      <c r="H191" s="5" t="s">
        <v>434</v>
      </c>
      <c r="I191" s="39"/>
      <c r="J191" s="18"/>
      <c r="L191" s="44">
        <f>Table1345678101112131415161718192021222324252627283031[[#This Row],[الدولار]]+(Table1345678101112131415161718192021222324252627283031[[#This Row],[اللبناني]]/90)</f>
        <v>0</v>
      </c>
      <c r="M191" s="6"/>
    </row>
    <row r="192" spans="8:13" s="11" customFormat="1" x14ac:dyDescent="0.3">
      <c r="H192" s="5" t="s">
        <v>434</v>
      </c>
      <c r="I192" s="39"/>
      <c r="J192" s="18"/>
      <c r="L192" s="44">
        <f>Table1345678101112131415161718192021222324252627283031[[#This Row],[الدولار]]+(Table1345678101112131415161718192021222324252627283031[[#This Row],[اللبناني]]/90)</f>
        <v>0</v>
      </c>
      <c r="M192" s="6"/>
    </row>
    <row r="193" spans="8:13" s="11" customFormat="1" x14ac:dyDescent="0.3">
      <c r="H193" s="5" t="s">
        <v>434</v>
      </c>
      <c r="I193" s="39"/>
      <c r="J193" s="18"/>
      <c r="L193" s="44">
        <f>Table1345678101112131415161718192021222324252627283031[[#This Row],[الدولار]]+(Table1345678101112131415161718192021222324252627283031[[#This Row],[اللبناني]]/90)</f>
        <v>0</v>
      </c>
      <c r="M193" s="6"/>
    </row>
    <row r="194" spans="8:13" s="11" customFormat="1" x14ac:dyDescent="0.3">
      <c r="H194" s="5" t="s">
        <v>434</v>
      </c>
      <c r="I194" s="39"/>
      <c r="J194" s="18"/>
      <c r="L194" s="44">
        <f>Table1345678101112131415161718192021222324252627283031[[#This Row],[الدولار]]+(Table1345678101112131415161718192021222324252627283031[[#This Row],[اللبناني]]/90)</f>
        <v>0</v>
      </c>
      <c r="M194" s="6"/>
    </row>
    <row r="195" spans="8:13" s="11" customFormat="1" x14ac:dyDescent="0.3">
      <c r="H195" s="5" t="s">
        <v>434</v>
      </c>
      <c r="I195" s="39"/>
      <c r="J195" s="18"/>
      <c r="L195" s="44">
        <f>Table1345678101112131415161718192021222324252627283031[[#This Row],[الدولار]]+(Table1345678101112131415161718192021222324252627283031[[#This Row],[اللبناني]]/90)</f>
        <v>0</v>
      </c>
      <c r="M195" s="6"/>
    </row>
    <row r="196" spans="8:13" s="11" customFormat="1" x14ac:dyDescent="0.3">
      <c r="H196" s="5" t="s">
        <v>434</v>
      </c>
      <c r="I196" s="39"/>
      <c r="J196" s="18"/>
      <c r="L196" s="44">
        <f>Table1345678101112131415161718192021222324252627283031[[#This Row],[الدولار]]+(Table1345678101112131415161718192021222324252627283031[[#This Row],[اللبناني]]/90)</f>
        <v>0</v>
      </c>
      <c r="M196" s="6"/>
    </row>
    <row r="197" spans="8:13" s="11" customFormat="1" x14ac:dyDescent="0.3">
      <c r="H197" s="5" t="s">
        <v>434</v>
      </c>
      <c r="I197" s="39"/>
      <c r="J197" s="18"/>
      <c r="L197" s="44">
        <f>Table1345678101112131415161718192021222324252627283031[[#This Row],[الدولار]]+(Table1345678101112131415161718192021222324252627283031[[#This Row],[اللبناني]]/90)</f>
        <v>0</v>
      </c>
      <c r="M197" s="6"/>
    </row>
    <row r="198" spans="8:13" s="11" customFormat="1" x14ac:dyDescent="0.3">
      <c r="H198" s="5" t="s">
        <v>434</v>
      </c>
      <c r="I198" s="39"/>
      <c r="J198" s="18"/>
      <c r="L198" s="44">
        <f>Table1345678101112131415161718192021222324252627283031[[#This Row],[الدولار]]+(Table1345678101112131415161718192021222324252627283031[[#This Row],[اللبناني]]/90)</f>
        <v>0</v>
      </c>
      <c r="M198" s="6"/>
    </row>
    <row r="199" spans="8:13" s="11" customFormat="1" x14ac:dyDescent="0.3">
      <c r="H199" s="5" t="s">
        <v>434</v>
      </c>
      <c r="I199" s="39"/>
      <c r="J199" s="18"/>
      <c r="L199" s="44">
        <f>Table1345678101112131415161718192021222324252627283031[[#This Row],[الدولار]]+(Table1345678101112131415161718192021222324252627283031[[#This Row],[اللبناني]]/90)</f>
        <v>0</v>
      </c>
      <c r="M199" s="6"/>
    </row>
    <row r="200" spans="8:13" s="11" customFormat="1" x14ac:dyDescent="0.3">
      <c r="H200" s="5" t="s">
        <v>434</v>
      </c>
      <c r="I200" s="39"/>
      <c r="J200" s="18"/>
      <c r="L200" s="44">
        <f>Table1345678101112131415161718192021222324252627283031[[#This Row],[الدولار]]+(Table1345678101112131415161718192021222324252627283031[[#This Row],[اللبناني]]/90)</f>
        <v>0</v>
      </c>
      <c r="M200" s="6"/>
    </row>
    <row r="201" spans="8:13" s="11" customFormat="1" x14ac:dyDescent="0.3">
      <c r="H201" s="5" t="s">
        <v>434</v>
      </c>
      <c r="I201" s="39"/>
      <c r="J201" s="18"/>
      <c r="L201" s="44">
        <f>Table1345678101112131415161718192021222324252627283031[[#This Row],[الدولار]]+(Table1345678101112131415161718192021222324252627283031[[#This Row],[اللبناني]]/90)</f>
        <v>0</v>
      </c>
      <c r="M201" s="6"/>
    </row>
    <row r="202" spans="8:13" s="11" customFormat="1" x14ac:dyDescent="0.3">
      <c r="H202" s="5" t="s">
        <v>434</v>
      </c>
      <c r="I202" s="39"/>
      <c r="J202" s="18"/>
      <c r="L202" s="44">
        <f>Table1345678101112131415161718192021222324252627283031[[#This Row],[الدولار]]+(Table1345678101112131415161718192021222324252627283031[[#This Row],[اللبناني]]/90)</f>
        <v>0</v>
      </c>
      <c r="M202" s="6"/>
    </row>
    <row r="203" spans="8:13" s="11" customFormat="1" x14ac:dyDescent="0.3">
      <c r="H203" s="5" t="s">
        <v>434</v>
      </c>
      <c r="I203" s="39"/>
      <c r="J203" s="18"/>
      <c r="L203" s="44">
        <f>Table1345678101112131415161718192021222324252627283031[[#This Row],[الدولار]]+(Table1345678101112131415161718192021222324252627283031[[#This Row],[اللبناني]]/90)</f>
        <v>0</v>
      </c>
      <c r="M203" s="6"/>
    </row>
    <row r="204" spans="8:13" s="11" customFormat="1" x14ac:dyDescent="0.3">
      <c r="H204" s="5" t="s">
        <v>434</v>
      </c>
      <c r="I204" s="39"/>
      <c r="J204" s="18"/>
      <c r="L204" s="44">
        <f>Table1345678101112131415161718192021222324252627283031[[#This Row],[الدولار]]+(Table1345678101112131415161718192021222324252627283031[[#This Row],[اللبناني]]/90)</f>
        <v>0</v>
      </c>
      <c r="M204" s="6"/>
    </row>
    <row r="205" spans="8:13" s="11" customFormat="1" x14ac:dyDescent="0.3">
      <c r="H205" s="5" t="s">
        <v>434</v>
      </c>
      <c r="I205" s="39"/>
      <c r="J205" s="18"/>
      <c r="L205" s="44">
        <f>Table1345678101112131415161718192021222324252627283031[[#This Row],[الدولار]]+(Table1345678101112131415161718192021222324252627283031[[#This Row],[اللبناني]]/90)</f>
        <v>0</v>
      </c>
      <c r="M205" s="6"/>
    </row>
    <row r="206" spans="8:13" s="11" customFormat="1" x14ac:dyDescent="0.3">
      <c r="H206" s="5" t="s">
        <v>434</v>
      </c>
      <c r="I206" s="39"/>
      <c r="J206" s="18"/>
      <c r="L206" s="44">
        <f>Table1345678101112131415161718192021222324252627283031[[#This Row],[الدولار]]+(Table1345678101112131415161718192021222324252627283031[[#This Row],[اللبناني]]/90)</f>
        <v>0</v>
      </c>
      <c r="M206" s="6"/>
    </row>
    <row r="207" spans="8:13" s="11" customFormat="1" x14ac:dyDescent="0.3">
      <c r="H207" s="5" t="s">
        <v>434</v>
      </c>
      <c r="I207" s="39"/>
      <c r="J207" s="18"/>
      <c r="L207" s="44">
        <f>Table1345678101112131415161718192021222324252627283031[[#This Row],[الدولار]]+(Table1345678101112131415161718192021222324252627283031[[#This Row],[اللبناني]]/90)</f>
        <v>0</v>
      </c>
      <c r="M207" s="6"/>
    </row>
    <row r="208" spans="8:13" s="11" customFormat="1" x14ac:dyDescent="0.3">
      <c r="H208" s="5" t="s">
        <v>434</v>
      </c>
      <c r="I208" s="39"/>
      <c r="J208" s="18"/>
      <c r="L208" s="44">
        <f>Table1345678101112131415161718192021222324252627283031[[#This Row],[الدولار]]+(Table1345678101112131415161718192021222324252627283031[[#This Row],[اللبناني]]/90)</f>
        <v>0</v>
      </c>
      <c r="M208" s="6"/>
    </row>
    <row r="209" spans="8:13" s="11" customFormat="1" x14ac:dyDescent="0.3">
      <c r="H209" s="5" t="s">
        <v>434</v>
      </c>
      <c r="I209" s="39"/>
      <c r="J209" s="18"/>
      <c r="L209" s="44">
        <f>Table1345678101112131415161718192021222324252627283031[[#This Row],[الدولار]]+(Table1345678101112131415161718192021222324252627283031[[#This Row],[اللبناني]]/90)</f>
        <v>0</v>
      </c>
      <c r="M209" s="6"/>
    </row>
    <row r="210" spans="8:13" s="11" customFormat="1" x14ac:dyDescent="0.3">
      <c r="H210" s="5" t="s">
        <v>434</v>
      </c>
      <c r="I210" s="39"/>
      <c r="J210" s="18"/>
      <c r="L210" s="44">
        <f>Table1345678101112131415161718192021222324252627283031[[#This Row],[الدولار]]+(Table1345678101112131415161718192021222324252627283031[[#This Row],[اللبناني]]/90)</f>
        <v>0</v>
      </c>
      <c r="M210" s="6"/>
    </row>
    <row r="211" spans="8:13" s="11" customFormat="1" x14ac:dyDescent="0.3">
      <c r="H211" s="5" t="s">
        <v>434</v>
      </c>
      <c r="I211" s="39"/>
      <c r="J211" s="18"/>
      <c r="L211" s="44">
        <f>Table1345678101112131415161718192021222324252627283031[[#This Row],[الدولار]]+(Table1345678101112131415161718192021222324252627283031[[#This Row],[اللبناني]]/90)</f>
        <v>0</v>
      </c>
      <c r="M211" s="6"/>
    </row>
    <row r="212" spans="8:13" s="11" customFormat="1" x14ac:dyDescent="0.3">
      <c r="H212" s="5" t="s">
        <v>434</v>
      </c>
      <c r="I212" s="39"/>
      <c r="J212" s="18"/>
      <c r="L212" s="44">
        <f>Table1345678101112131415161718192021222324252627283031[[#This Row],[الدولار]]+(Table1345678101112131415161718192021222324252627283031[[#This Row],[اللبناني]]/90)</f>
        <v>0</v>
      </c>
      <c r="M212" s="6"/>
    </row>
    <row r="213" spans="8:13" s="11" customFormat="1" x14ac:dyDescent="0.3">
      <c r="H213" s="5" t="s">
        <v>434</v>
      </c>
      <c r="I213" s="39"/>
      <c r="J213" s="18"/>
      <c r="L213" s="44">
        <f>Table1345678101112131415161718192021222324252627283031[[#This Row],[الدولار]]+(Table1345678101112131415161718192021222324252627283031[[#This Row],[اللبناني]]/90)</f>
        <v>0</v>
      </c>
      <c r="M213" s="6"/>
    </row>
    <row r="214" spans="8:13" s="11" customFormat="1" x14ac:dyDescent="0.3">
      <c r="H214" s="5" t="s">
        <v>434</v>
      </c>
      <c r="I214" s="39"/>
      <c r="J214" s="18"/>
      <c r="L214" s="44">
        <f>Table1345678101112131415161718192021222324252627283031[[#This Row],[الدولار]]+(Table1345678101112131415161718192021222324252627283031[[#This Row],[اللبناني]]/90)</f>
        <v>0</v>
      </c>
      <c r="M214" s="6"/>
    </row>
    <row r="215" spans="8:13" s="11" customFormat="1" x14ac:dyDescent="0.3">
      <c r="H215" s="5" t="s">
        <v>434</v>
      </c>
      <c r="I215" s="39"/>
      <c r="J215" s="18"/>
      <c r="L215" s="44">
        <f>Table1345678101112131415161718192021222324252627283031[[#This Row],[الدولار]]+(Table1345678101112131415161718192021222324252627283031[[#This Row],[اللبناني]]/90)</f>
        <v>0</v>
      </c>
      <c r="M215" s="6"/>
    </row>
    <row r="216" spans="8:13" s="11" customFormat="1" x14ac:dyDescent="0.3">
      <c r="H216" s="5" t="s">
        <v>434</v>
      </c>
      <c r="I216" s="39"/>
      <c r="J216" s="18"/>
      <c r="L216" s="44">
        <f>Table1345678101112131415161718192021222324252627283031[[#This Row],[الدولار]]+(Table1345678101112131415161718192021222324252627283031[[#This Row],[اللبناني]]/90)</f>
        <v>0</v>
      </c>
      <c r="M216" s="6"/>
    </row>
    <row r="217" spans="8:13" s="11" customFormat="1" x14ac:dyDescent="0.3">
      <c r="H217" s="5" t="s">
        <v>434</v>
      </c>
      <c r="I217" s="39"/>
      <c r="J217" s="18"/>
      <c r="L217" s="44">
        <f>Table1345678101112131415161718192021222324252627283031[[#This Row],[الدولار]]+(Table1345678101112131415161718192021222324252627283031[[#This Row],[اللبناني]]/90)</f>
        <v>0</v>
      </c>
      <c r="M217" s="6"/>
    </row>
    <row r="218" spans="8:13" s="11" customFormat="1" x14ac:dyDescent="0.3">
      <c r="H218" s="5" t="s">
        <v>434</v>
      </c>
      <c r="I218" s="39"/>
      <c r="J218" s="18"/>
      <c r="L218" s="44">
        <f>Table1345678101112131415161718192021222324252627283031[[#This Row],[الدولار]]+(Table1345678101112131415161718192021222324252627283031[[#This Row],[اللبناني]]/90)</f>
        <v>0</v>
      </c>
      <c r="M218" s="6"/>
    </row>
    <row r="219" spans="8:13" s="11" customFormat="1" x14ac:dyDescent="0.3">
      <c r="H219" s="5" t="s">
        <v>434</v>
      </c>
      <c r="I219" s="39"/>
      <c r="J219" s="18"/>
      <c r="L219" s="44">
        <f>Table1345678101112131415161718192021222324252627283031[[#This Row],[الدولار]]+(Table1345678101112131415161718192021222324252627283031[[#This Row],[اللبناني]]/90)</f>
        <v>0</v>
      </c>
      <c r="M219" s="6"/>
    </row>
    <row r="220" spans="8:13" s="11" customFormat="1" x14ac:dyDescent="0.3">
      <c r="H220" s="5" t="s">
        <v>434</v>
      </c>
      <c r="I220" s="39"/>
      <c r="J220" s="18"/>
      <c r="L220" s="44">
        <f>Table1345678101112131415161718192021222324252627283031[[#This Row],[الدولار]]+(Table1345678101112131415161718192021222324252627283031[[#This Row],[اللبناني]]/90)</f>
        <v>0</v>
      </c>
      <c r="M220" s="6"/>
    </row>
    <row r="221" spans="8:13" s="11" customFormat="1" x14ac:dyDescent="0.3">
      <c r="H221" s="5" t="s">
        <v>434</v>
      </c>
      <c r="I221" s="39"/>
      <c r="J221" s="18"/>
      <c r="L221" s="44">
        <f>Table1345678101112131415161718192021222324252627283031[[#This Row],[الدولار]]+(Table1345678101112131415161718192021222324252627283031[[#This Row],[اللبناني]]/90)</f>
        <v>0</v>
      </c>
      <c r="M221" s="6"/>
    </row>
    <row r="222" spans="8:13" s="11" customFormat="1" x14ac:dyDescent="0.3">
      <c r="H222" s="5" t="s">
        <v>434</v>
      </c>
      <c r="I222" s="39"/>
      <c r="J222" s="18"/>
      <c r="L222" s="44">
        <f>Table1345678101112131415161718192021222324252627283031[[#This Row],[الدولار]]+(Table1345678101112131415161718192021222324252627283031[[#This Row],[اللبناني]]/90)</f>
        <v>0</v>
      </c>
      <c r="M222" s="6"/>
    </row>
    <row r="223" spans="8:13" s="11" customFormat="1" x14ac:dyDescent="0.3">
      <c r="H223" s="5" t="s">
        <v>434</v>
      </c>
      <c r="I223" s="39"/>
      <c r="J223" s="18"/>
      <c r="L223" s="44">
        <f>Table1345678101112131415161718192021222324252627283031[[#This Row],[الدولار]]+(Table1345678101112131415161718192021222324252627283031[[#This Row],[اللبناني]]/90)</f>
        <v>0</v>
      </c>
      <c r="M223" s="6"/>
    </row>
    <row r="224" spans="8:13" s="11" customFormat="1" x14ac:dyDescent="0.3">
      <c r="H224" s="5" t="s">
        <v>434</v>
      </c>
      <c r="I224" s="39"/>
      <c r="J224" s="18"/>
      <c r="L224" s="44">
        <f>Table1345678101112131415161718192021222324252627283031[[#This Row],[الدولار]]+(Table1345678101112131415161718192021222324252627283031[[#This Row],[اللبناني]]/90)</f>
        <v>0</v>
      </c>
      <c r="M224" s="6"/>
    </row>
    <row r="225" spans="8:13" s="11" customFormat="1" x14ac:dyDescent="0.3">
      <c r="H225" s="5" t="s">
        <v>434</v>
      </c>
      <c r="I225" s="39"/>
      <c r="J225" s="18"/>
      <c r="L225" s="44">
        <f>Table1345678101112131415161718192021222324252627283031[[#This Row],[الدولار]]+(Table1345678101112131415161718192021222324252627283031[[#This Row],[اللبناني]]/90)</f>
        <v>0</v>
      </c>
      <c r="M225" s="6"/>
    </row>
    <row r="226" spans="8:13" s="11" customFormat="1" x14ac:dyDescent="0.3">
      <c r="H226" s="5" t="s">
        <v>434</v>
      </c>
      <c r="I226" s="39"/>
      <c r="J226" s="18"/>
      <c r="L226" s="44">
        <f>Table1345678101112131415161718192021222324252627283031[[#This Row],[الدولار]]+(Table1345678101112131415161718192021222324252627283031[[#This Row],[اللبناني]]/90)</f>
        <v>0</v>
      </c>
      <c r="M226" s="6"/>
    </row>
    <row r="227" spans="8:13" s="11" customFormat="1" x14ac:dyDescent="0.3">
      <c r="H227" s="5" t="s">
        <v>434</v>
      </c>
      <c r="I227" s="39"/>
      <c r="J227" s="18"/>
      <c r="L227" s="44">
        <f>Table1345678101112131415161718192021222324252627283031[[#This Row],[الدولار]]+(Table1345678101112131415161718192021222324252627283031[[#This Row],[اللبناني]]/90)</f>
        <v>0</v>
      </c>
      <c r="M227" s="6"/>
    </row>
    <row r="228" spans="8:13" s="11" customFormat="1" x14ac:dyDescent="0.3">
      <c r="H228" s="5" t="s">
        <v>434</v>
      </c>
      <c r="I228" s="39"/>
      <c r="J228" s="18"/>
      <c r="L228" s="44">
        <f>Table1345678101112131415161718192021222324252627283031[[#This Row],[الدولار]]+(Table1345678101112131415161718192021222324252627283031[[#This Row],[اللبناني]]/90)</f>
        <v>0</v>
      </c>
      <c r="M228" s="6"/>
    </row>
    <row r="229" spans="8:13" s="11" customFormat="1" x14ac:dyDescent="0.3">
      <c r="H229" s="5" t="s">
        <v>434</v>
      </c>
      <c r="I229" s="39"/>
      <c r="J229" s="18"/>
      <c r="L229" s="44">
        <f>Table1345678101112131415161718192021222324252627283031[[#This Row],[الدولار]]+(Table1345678101112131415161718192021222324252627283031[[#This Row],[اللبناني]]/90)</f>
        <v>0</v>
      </c>
      <c r="M229" s="6"/>
    </row>
    <row r="230" spans="8:13" s="11" customFormat="1" x14ac:dyDescent="0.3">
      <c r="H230" s="5" t="s">
        <v>434</v>
      </c>
      <c r="I230" s="39"/>
      <c r="J230" s="18"/>
      <c r="L230" s="44">
        <f>Table1345678101112131415161718192021222324252627283031[[#This Row],[الدولار]]+(Table1345678101112131415161718192021222324252627283031[[#This Row],[اللبناني]]/90)</f>
        <v>0</v>
      </c>
      <c r="M230" s="6"/>
    </row>
    <row r="231" spans="8:13" s="11" customFormat="1" x14ac:dyDescent="0.3">
      <c r="H231" s="5" t="s">
        <v>434</v>
      </c>
      <c r="I231" s="39"/>
      <c r="J231" s="18"/>
      <c r="L231" s="44">
        <f>Table1345678101112131415161718192021222324252627283031[[#This Row],[الدولار]]+(Table1345678101112131415161718192021222324252627283031[[#This Row],[اللبناني]]/90)</f>
        <v>0</v>
      </c>
      <c r="M231" s="6"/>
    </row>
    <row r="232" spans="8:13" s="11" customFormat="1" x14ac:dyDescent="0.3">
      <c r="H232" s="5" t="s">
        <v>434</v>
      </c>
      <c r="I232" s="39"/>
      <c r="J232" s="18"/>
      <c r="L232" s="44">
        <f>Table1345678101112131415161718192021222324252627283031[[#This Row],[الدولار]]+(Table1345678101112131415161718192021222324252627283031[[#This Row],[اللبناني]]/90)</f>
        <v>0</v>
      </c>
      <c r="M232" s="6"/>
    </row>
    <row r="233" spans="8:13" s="11" customFormat="1" x14ac:dyDescent="0.3">
      <c r="H233" s="5" t="s">
        <v>434</v>
      </c>
      <c r="I233" s="39"/>
      <c r="J233" s="18"/>
      <c r="L233" s="44">
        <f>Table1345678101112131415161718192021222324252627283031[[#This Row],[الدولار]]+(Table1345678101112131415161718192021222324252627283031[[#This Row],[اللبناني]]/90)</f>
        <v>0</v>
      </c>
      <c r="M233" s="6"/>
    </row>
    <row r="234" spans="8:13" s="11" customFormat="1" x14ac:dyDescent="0.3">
      <c r="H234" s="5" t="s">
        <v>434</v>
      </c>
      <c r="I234" s="39"/>
      <c r="J234" s="18"/>
      <c r="L234" s="44">
        <f>Table1345678101112131415161718192021222324252627283031[[#This Row],[الدولار]]+(Table1345678101112131415161718192021222324252627283031[[#This Row],[اللبناني]]/90)</f>
        <v>0</v>
      </c>
      <c r="M234" s="6"/>
    </row>
    <row r="235" spans="8:13" s="11" customFormat="1" x14ac:dyDescent="0.3">
      <c r="H235" s="5" t="s">
        <v>434</v>
      </c>
      <c r="I235" s="39"/>
      <c r="J235" s="18"/>
      <c r="L235" s="44">
        <f>Table1345678101112131415161718192021222324252627283031[[#This Row],[الدولار]]+(Table1345678101112131415161718192021222324252627283031[[#This Row],[اللبناني]]/90)</f>
        <v>0</v>
      </c>
      <c r="M235" s="6"/>
    </row>
    <row r="236" spans="8:13" s="11" customFormat="1" x14ac:dyDescent="0.3">
      <c r="H236" s="5" t="s">
        <v>434</v>
      </c>
      <c r="I236" s="39"/>
      <c r="J236" s="18"/>
      <c r="L236" s="44">
        <f>Table1345678101112131415161718192021222324252627283031[[#This Row],[الدولار]]+(Table1345678101112131415161718192021222324252627283031[[#This Row],[اللبناني]]/90)</f>
        <v>0</v>
      </c>
      <c r="M236" s="6"/>
    </row>
    <row r="237" spans="8:13" s="11" customFormat="1" x14ac:dyDescent="0.3">
      <c r="H237" s="5" t="s">
        <v>434</v>
      </c>
      <c r="I237" s="39"/>
      <c r="J237" s="18"/>
      <c r="L237" s="44">
        <f>Table1345678101112131415161718192021222324252627283031[[#This Row],[الدولار]]+(Table1345678101112131415161718192021222324252627283031[[#This Row],[اللبناني]]/90)</f>
        <v>0</v>
      </c>
      <c r="M237" s="6"/>
    </row>
    <row r="238" spans="8:13" s="11" customFormat="1" x14ac:dyDescent="0.3">
      <c r="H238" s="5" t="s">
        <v>434</v>
      </c>
      <c r="I238" s="39"/>
      <c r="J238" s="18"/>
      <c r="L238" s="44">
        <f>Table1345678101112131415161718192021222324252627283031[[#This Row],[الدولار]]+(Table1345678101112131415161718192021222324252627283031[[#This Row],[اللبناني]]/90)</f>
        <v>0</v>
      </c>
      <c r="M238" s="6"/>
    </row>
    <row r="239" spans="8:13" s="11" customFormat="1" x14ac:dyDescent="0.3">
      <c r="H239" s="5" t="s">
        <v>434</v>
      </c>
      <c r="I239" s="39"/>
      <c r="J239" s="18"/>
      <c r="L239" s="44">
        <f>Table1345678101112131415161718192021222324252627283031[[#This Row],[الدولار]]+(Table1345678101112131415161718192021222324252627283031[[#This Row],[اللبناني]]/90)</f>
        <v>0</v>
      </c>
      <c r="M239" s="6"/>
    </row>
    <row r="240" spans="8:13" s="11" customFormat="1" x14ac:dyDescent="0.3">
      <c r="H240" s="5" t="s">
        <v>434</v>
      </c>
      <c r="I240" s="39"/>
      <c r="J240" s="18"/>
      <c r="L240" s="44">
        <f>Table1345678101112131415161718192021222324252627283031[[#This Row],[الدولار]]+(Table1345678101112131415161718192021222324252627283031[[#This Row],[اللبناني]]/90)</f>
        <v>0</v>
      </c>
      <c r="M240" s="6"/>
    </row>
    <row r="241" spans="8:13" s="11" customFormat="1" x14ac:dyDescent="0.3">
      <c r="H241" s="5" t="s">
        <v>434</v>
      </c>
      <c r="I241" s="39"/>
      <c r="J241" s="18"/>
      <c r="L241" s="44">
        <f>Table1345678101112131415161718192021222324252627283031[[#This Row],[الدولار]]+(Table1345678101112131415161718192021222324252627283031[[#This Row],[اللبناني]]/90)</f>
        <v>0</v>
      </c>
      <c r="M241" s="6"/>
    </row>
    <row r="242" spans="8:13" s="11" customFormat="1" x14ac:dyDescent="0.3">
      <c r="H242" s="5" t="s">
        <v>434</v>
      </c>
      <c r="I242" s="39"/>
      <c r="J242" s="18"/>
      <c r="L242" s="44">
        <f>Table1345678101112131415161718192021222324252627283031[[#This Row],[الدولار]]+(Table1345678101112131415161718192021222324252627283031[[#This Row],[اللبناني]]/90)</f>
        <v>0</v>
      </c>
      <c r="M242" s="6"/>
    </row>
    <row r="243" spans="8:13" s="11" customFormat="1" x14ac:dyDescent="0.3">
      <c r="H243" s="5" t="s">
        <v>434</v>
      </c>
      <c r="I243" s="39"/>
      <c r="J243" s="18"/>
      <c r="L243" s="44">
        <f>Table1345678101112131415161718192021222324252627283031[[#This Row],[الدولار]]+(Table1345678101112131415161718192021222324252627283031[[#This Row],[اللبناني]]/90)</f>
        <v>0</v>
      </c>
      <c r="M243" s="6"/>
    </row>
    <row r="244" spans="8:13" s="11" customFormat="1" x14ac:dyDescent="0.3">
      <c r="H244" s="5" t="s">
        <v>434</v>
      </c>
      <c r="I244" s="39"/>
      <c r="J244" s="18"/>
      <c r="L244" s="44">
        <f>Table1345678101112131415161718192021222324252627283031[[#This Row],[الدولار]]+(Table1345678101112131415161718192021222324252627283031[[#This Row],[اللبناني]]/90)</f>
        <v>0</v>
      </c>
      <c r="M244" s="6"/>
    </row>
    <row r="245" spans="8:13" s="11" customFormat="1" x14ac:dyDescent="0.3">
      <c r="H245" s="5" t="s">
        <v>434</v>
      </c>
      <c r="I245" s="39"/>
      <c r="J245" s="18"/>
      <c r="L245" s="44">
        <f>Table1345678101112131415161718192021222324252627283031[[#This Row],[الدولار]]+(Table1345678101112131415161718192021222324252627283031[[#This Row],[اللبناني]]/90)</f>
        <v>0</v>
      </c>
      <c r="M245" s="6"/>
    </row>
    <row r="246" spans="8:13" s="11" customFormat="1" x14ac:dyDescent="0.3">
      <c r="H246" s="5" t="s">
        <v>434</v>
      </c>
      <c r="I246" s="39"/>
      <c r="J246" s="18"/>
      <c r="L246" s="44">
        <f>Table1345678101112131415161718192021222324252627283031[[#This Row],[الدولار]]+(Table1345678101112131415161718192021222324252627283031[[#This Row],[اللبناني]]/90)</f>
        <v>0</v>
      </c>
      <c r="M246" s="6"/>
    </row>
    <row r="247" spans="8:13" s="11" customFormat="1" x14ac:dyDescent="0.3">
      <c r="H247" s="5" t="s">
        <v>434</v>
      </c>
      <c r="I247" s="39"/>
      <c r="J247" s="18"/>
      <c r="L247" s="44">
        <f>Table1345678101112131415161718192021222324252627283031[[#This Row],[الدولار]]+(Table1345678101112131415161718192021222324252627283031[[#This Row],[اللبناني]]/90)</f>
        <v>0</v>
      </c>
      <c r="M247" s="6"/>
    </row>
    <row r="248" spans="8:13" s="11" customFormat="1" x14ac:dyDescent="0.3">
      <c r="H248" s="5" t="s">
        <v>434</v>
      </c>
      <c r="I248" s="39"/>
      <c r="J248" s="18"/>
      <c r="L248" s="44">
        <f>Table1345678101112131415161718192021222324252627283031[[#This Row],[الدولار]]+(Table1345678101112131415161718192021222324252627283031[[#This Row],[اللبناني]]/90)</f>
        <v>0</v>
      </c>
      <c r="M248" s="6"/>
    </row>
    <row r="249" spans="8:13" s="11" customFormat="1" x14ac:dyDescent="0.3">
      <c r="H249" s="5" t="s">
        <v>434</v>
      </c>
      <c r="I249" s="39"/>
      <c r="J249" s="18"/>
      <c r="L249" s="44">
        <f>Table1345678101112131415161718192021222324252627283031[[#This Row],[الدولار]]+(Table1345678101112131415161718192021222324252627283031[[#This Row],[اللبناني]]/90)</f>
        <v>0</v>
      </c>
      <c r="M249" s="6"/>
    </row>
    <row r="250" spans="8:13" s="11" customFormat="1" x14ac:dyDescent="0.3">
      <c r="H250" s="5" t="s">
        <v>434</v>
      </c>
      <c r="I250" s="39"/>
      <c r="J250" s="18"/>
      <c r="L250" s="44">
        <f>Table1345678101112131415161718192021222324252627283031[[#This Row],[الدولار]]+(Table1345678101112131415161718192021222324252627283031[[#This Row],[اللبناني]]/90)</f>
        <v>0</v>
      </c>
      <c r="M250" s="6"/>
    </row>
    <row r="251" spans="8:13" s="11" customFormat="1" x14ac:dyDescent="0.3">
      <c r="H251" s="5" t="s">
        <v>434</v>
      </c>
      <c r="I251" s="39"/>
      <c r="J251" s="18"/>
      <c r="L251" s="44">
        <f>Table1345678101112131415161718192021222324252627283031[[#This Row],[الدولار]]+(Table1345678101112131415161718192021222324252627283031[[#This Row],[اللبناني]]/90)</f>
        <v>0</v>
      </c>
      <c r="M251" s="6"/>
    </row>
    <row r="252" spans="8:13" s="11" customFormat="1" x14ac:dyDescent="0.3">
      <c r="H252" s="5" t="s">
        <v>434</v>
      </c>
      <c r="I252" s="39"/>
      <c r="J252" s="18"/>
      <c r="L252" s="44">
        <f>Table1345678101112131415161718192021222324252627283031[[#This Row],[الدولار]]+(Table1345678101112131415161718192021222324252627283031[[#This Row],[اللبناني]]/90)</f>
        <v>0</v>
      </c>
      <c r="M252" s="6"/>
    </row>
    <row r="253" spans="8:13" s="11" customFormat="1" x14ac:dyDescent="0.3">
      <c r="H253" s="5" t="s">
        <v>434</v>
      </c>
      <c r="I253" s="39"/>
      <c r="J253" s="18"/>
      <c r="L253" s="44">
        <f>Table1345678101112131415161718192021222324252627283031[[#This Row],[الدولار]]+(Table1345678101112131415161718192021222324252627283031[[#This Row],[اللبناني]]/90)</f>
        <v>0</v>
      </c>
      <c r="M253" s="6"/>
    </row>
    <row r="254" spans="8:13" s="11" customFormat="1" x14ac:dyDescent="0.3">
      <c r="H254" s="5" t="s">
        <v>434</v>
      </c>
      <c r="I254" s="39"/>
      <c r="J254" s="18"/>
      <c r="L254" s="44">
        <f>Table1345678101112131415161718192021222324252627283031[[#This Row],[الدولار]]+(Table1345678101112131415161718192021222324252627283031[[#This Row],[اللبناني]]/90)</f>
        <v>0</v>
      </c>
      <c r="M254" s="6"/>
    </row>
    <row r="255" spans="8:13" s="11" customFormat="1" x14ac:dyDescent="0.3">
      <c r="H255" s="5" t="s">
        <v>434</v>
      </c>
      <c r="I255" s="39"/>
      <c r="J255" s="18"/>
      <c r="L255" s="44">
        <f>Table1345678101112131415161718192021222324252627283031[[#This Row],[الدولار]]+(Table1345678101112131415161718192021222324252627283031[[#This Row],[اللبناني]]/90)</f>
        <v>0</v>
      </c>
      <c r="M255" s="6"/>
    </row>
    <row r="256" spans="8:13" s="11" customFormat="1" x14ac:dyDescent="0.3">
      <c r="H256" s="5" t="s">
        <v>434</v>
      </c>
      <c r="I256" s="39"/>
      <c r="J256" s="18"/>
      <c r="L256" s="44">
        <f>Table1345678101112131415161718192021222324252627283031[[#This Row],[الدولار]]+(Table1345678101112131415161718192021222324252627283031[[#This Row],[اللبناني]]/90)</f>
        <v>0</v>
      </c>
      <c r="M256" s="6"/>
    </row>
    <row r="257" spans="8:13" s="11" customFormat="1" x14ac:dyDescent="0.3">
      <c r="H257" s="5" t="s">
        <v>434</v>
      </c>
      <c r="I257" s="39"/>
      <c r="J257" s="18"/>
      <c r="L257" s="44">
        <f>Table1345678101112131415161718192021222324252627283031[[#This Row],[الدولار]]+(Table1345678101112131415161718192021222324252627283031[[#This Row],[اللبناني]]/90)</f>
        <v>0</v>
      </c>
      <c r="M257" s="6"/>
    </row>
    <row r="258" spans="8:13" s="11" customFormat="1" x14ac:dyDescent="0.3">
      <c r="H258" s="5" t="s">
        <v>434</v>
      </c>
      <c r="I258" s="39"/>
      <c r="J258" s="18"/>
      <c r="L258" s="44">
        <f>Table1345678101112131415161718192021222324252627283031[[#This Row],[الدولار]]+(Table1345678101112131415161718192021222324252627283031[[#This Row],[اللبناني]]/90)</f>
        <v>0</v>
      </c>
      <c r="M258" s="6"/>
    </row>
    <row r="259" spans="8:13" s="11" customFormat="1" x14ac:dyDescent="0.3">
      <c r="H259" s="5" t="s">
        <v>434</v>
      </c>
      <c r="I259" s="39"/>
      <c r="J259" s="18"/>
      <c r="L259" s="44">
        <f>Table1345678101112131415161718192021222324252627283031[[#This Row],[الدولار]]+(Table1345678101112131415161718192021222324252627283031[[#This Row],[اللبناني]]/90)</f>
        <v>0</v>
      </c>
      <c r="M259" s="6"/>
    </row>
    <row r="260" spans="8:13" s="11" customFormat="1" x14ac:dyDescent="0.3">
      <c r="H260" s="5" t="s">
        <v>434</v>
      </c>
      <c r="I260" s="39"/>
      <c r="J260" s="18"/>
      <c r="L260" s="44">
        <f>Table1345678101112131415161718192021222324252627283031[[#This Row],[الدولار]]+(Table1345678101112131415161718192021222324252627283031[[#This Row],[اللبناني]]/90)</f>
        <v>0</v>
      </c>
      <c r="M260" s="6"/>
    </row>
    <row r="261" spans="8:13" s="11" customFormat="1" x14ac:dyDescent="0.3">
      <c r="H261" s="5" t="s">
        <v>434</v>
      </c>
      <c r="I261" s="39"/>
      <c r="J261" s="18"/>
      <c r="L261" s="44">
        <f>Table1345678101112131415161718192021222324252627283031[[#This Row],[الدولار]]+(Table1345678101112131415161718192021222324252627283031[[#This Row],[اللبناني]]/90)</f>
        <v>0</v>
      </c>
      <c r="M261" s="6"/>
    </row>
    <row r="262" spans="8:13" s="11" customFormat="1" x14ac:dyDescent="0.3">
      <c r="H262" s="5" t="s">
        <v>434</v>
      </c>
      <c r="I262" s="39"/>
      <c r="J262" s="18"/>
      <c r="L262" s="44">
        <f>Table1345678101112131415161718192021222324252627283031[[#This Row],[الدولار]]+(Table1345678101112131415161718192021222324252627283031[[#This Row],[اللبناني]]/90)</f>
        <v>0</v>
      </c>
      <c r="M262" s="6"/>
    </row>
    <row r="263" spans="8:13" s="11" customFormat="1" x14ac:dyDescent="0.3">
      <c r="H263" s="5" t="s">
        <v>434</v>
      </c>
      <c r="I263" s="39"/>
      <c r="J263" s="18"/>
      <c r="L263" s="44">
        <f>Table1345678101112131415161718192021222324252627283031[[#This Row],[الدولار]]+(Table1345678101112131415161718192021222324252627283031[[#This Row],[اللبناني]]/90)</f>
        <v>0</v>
      </c>
      <c r="M263" s="6"/>
    </row>
    <row r="264" spans="8:13" s="11" customFormat="1" x14ac:dyDescent="0.3">
      <c r="H264" s="5" t="s">
        <v>434</v>
      </c>
      <c r="I264" s="39"/>
      <c r="J264" s="18"/>
      <c r="L264" s="44">
        <f>Table1345678101112131415161718192021222324252627283031[[#This Row],[الدولار]]+(Table1345678101112131415161718192021222324252627283031[[#This Row],[اللبناني]]/90)</f>
        <v>0</v>
      </c>
      <c r="M264" s="6"/>
    </row>
    <row r="265" spans="8:13" s="11" customFormat="1" x14ac:dyDescent="0.3">
      <c r="H265" s="5" t="s">
        <v>434</v>
      </c>
      <c r="I265" s="39"/>
      <c r="J265" s="18"/>
      <c r="L265" s="44">
        <f>Table1345678101112131415161718192021222324252627283031[[#This Row],[الدولار]]+(Table1345678101112131415161718192021222324252627283031[[#This Row],[اللبناني]]/90)</f>
        <v>0</v>
      </c>
      <c r="M265" s="6"/>
    </row>
    <row r="266" spans="8:13" s="11" customFormat="1" x14ac:dyDescent="0.3">
      <c r="H266" s="5" t="s">
        <v>434</v>
      </c>
      <c r="I266" s="39"/>
      <c r="J266" s="18"/>
      <c r="L266" s="44">
        <f>Table1345678101112131415161718192021222324252627283031[[#This Row],[الدولار]]+(Table1345678101112131415161718192021222324252627283031[[#This Row],[اللبناني]]/90)</f>
        <v>0</v>
      </c>
      <c r="M266" s="6"/>
    </row>
    <row r="267" spans="8:13" s="11" customFormat="1" x14ac:dyDescent="0.3">
      <c r="H267" s="5" t="s">
        <v>434</v>
      </c>
      <c r="I267" s="39"/>
      <c r="J267" s="18"/>
      <c r="L267" s="44">
        <f>Table1345678101112131415161718192021222324252627283031[[#This Row],[الدولار]]+(Table1345678101112131415161718192021222324252627283031[[#This Row],[اللبناني]]/90)</f>
        <v>0</v>
      </c>
      <c r="M267" s="6"/>
    </row>
    <row r="268" spans="8:13" s="11" customFormat="1" x14ac:dyDescent="0.3">
      <c r="H268" s="5" t="s">
        <v>434</v>
      </c>
      <c r="I268" s="39"/>
      <c r="J268" s="18"/>
      <c r="L268" s="44">
        <f>Table1345678101112131415161718192021222324252627283031[[#This Row],[الدولار]]+(Table1345678101112131415161718192021222324252627283031[[#This Row],[اللبناني]]/90)</f>
        <v>0</v>
      </c>
      <c r="M268" s="6"/>
    </row>
    <row r="269" spans="8:13" s="11" customFormat="1" x14ac:dyDescent="0.3">
      <c r="H269" s="5" t="s">
        <v>434</v>
      </c>
      <c r="I269" s="39"/>
      <c r="J269" s="18"/>
      <c r="L269" s="44">
        <f>Table1345678101112131415161718192021222324252627283031[[#This Row],[الدولار]]+(Table1345678101112131415161718192021222324252627283031[[#This Row],[اللبناني]]/90)</f>
        <v>0</v>
      </c>
      <c r="M269" s="6"/>
    </row>
    <row r="270" spans="8:13" s="11" customFormat="1" x14ac:dyDescent="0.3">
      <c r="H270" s="5" t="s">
        <v>434</v>
      </c>
      <c r="I270" s="39"/>
      <c r="J270" s="18"/>
      <c r="L270" s="44">
        <f>Table1345678101112131415161718192021222324252627283031[[#This Row],[الدولار]]+(Table1345678101112131415161718192021222324252627283031[[#This Row],[اللبناني]]/90)</f>
        <v>0</v>
      </c>
      <c r="M270" s="6"/>
    </row>
    <row r="271" spans="8:13" s="11" customFormat="1" x14ac:dyDescent="0.3">
      <c r="H271" s="5" t="s">
        <v>434</v>
      </c>
      <c r="I271" s="39"/>
      <c r="J271" s="18"/>
      <c r="L271" s="44">
        <f>Table1345678101112131415161718192021222324252627283031[[#This Row],[الدولار]]+(Table1345678101112131415161718192021222324252627283031[[#This Row],[اللبناني]]/90)</f>
        <v>0</v>
      </c>
      <c r="M271" s="6"/>
    </row>
    <row r="272" spans="8:13" s="11" customFormat="1" x14ac:dyDescent="0.3">
      <c r="H272" s="5" t="s">
        <v>434</v>
      </c>
      <c r="I272" s="39"/>
      <c r="J272" s="18"/>
      <c r="L272" s="44">
        <f>Table1345678101112131415161718192021222324252627283031[[#This Row],[الدولار]]+(Table1345678101112131415161718192021222324252627283031[[#This Row],[اللبناني]]/90)</f>
        <v>0</v>
      </c>
      <c r="M272" s="6"/>
    </row>
    <row r="273" spans="8:13" s="11" customFormat="1" x14ac:dyDescent="0.3">
      <c r="H273" s="5" t="s">
        <v>434</v>
      </c>
      <c r="I273" s="39"/>
      <c r="J273" s="18"/>
      <c r="L273" s="44">
        <f>Table1345678101112131415161718192021222324252627283031[[#This Row],[الدولار]]+(Table1345678101112131415161718192021222324252627283031[[#This Row],[اللبناني]]/90)</f>
        <v>0</v>
      </c>
      <c r="M273" s="6"/>
    </row>
    <row r="274" spans="8:13" s="11" customFormat="1" x14ac:dyDescent="0.3">
      <c r="H274" s="5" t="s">
        <v>434</v>
      </c>
      <c r="I274" s="39"/>
      <c r="J274" s="18"/>
      <c r="L274" s="44">
        <f>Table1345678101112131415161718192021222324252627283031[[#This Row],[الدولار]]+(Table1345678101112131415161718192021222324252627283031[[#This Row],[اللبناني]]/90)</f>
        <v>0</v>
      </c>
      <c r="M274" s="6"/>
    </row>
    <row r="275" spans="8:13" s="11" customFormat="1" x14ac:dyDescent="0.3">
      <c r="H275" s="5" t="s">
        <v>434</v>
      </c>
      <c r="I275" s="39"/>
      <c r="J275" s="18"/>
      <c r="L275" s="44">
        <f>Table1345678101112131415161718192021222324252627283031[[#This Row],[الدولار]]+(Table1345678101112131415161718192021222324252627283031[[#This Row],[اللبناني]]/90)</f>
        <v>0</v>
      </c>
      <c r="M275" s="6"/>
    </row>
    <row r="276" spans="8:13" s="11" customFormat="1" x14ac:dyDescent="0.3">
      <c r="H276" s="5" t="s">
        <v>434</v>
      </c>
      <c r="I276" s="39"/>
      <c r="J276" s="18"/>
      <c r="L276" s="44">
        <f>Table1345678101112131415161718192021222324252627283031[[#This Row],[الدولار]]+(Table1345678101112131415161718192021222324252627283031[[#This Row],[اللبناني]]/90)</f>
        <v>0</v>
      </c>
      <c r="M276" s="6"/>
    </row>
    <row r="277" spans="8:13" s="11" customFormat="1" x14ac:dyDescent="0.3">
      <c r="H277" s="5" t="s">
        <v>434</v>
      </c>
      <c r="I277" s="39"/>
      <c r="J277" s="18"/>
      <c r="L277" s="44">
        <f>Table1345678101112131415161718192021222324252627283031[[#This Row],[الدولار]]+(Table1345678101112131415161718192021222324252627283031[[#This Row],[اللبناني]]/90)</f>
        <v>0</v>
      </c>
      <c r="M277" s="6"/>
    </row>
    <row r="278" spans="8:13" s="11" customFormat="1" x14ac:dyDescent="0.3">
      <c r="H278" s="5" t="s">
        <v>434</v>
      </c>
      <c r="I278" s="39"/>
      <c r="J278" s="18"/>
      <c r="L278" s="44">
        <f>Table1345678101112131415161718192021222324252627283031[[#This Row],[الدولار]]+(Table1345678101112131415161718192021222324252627283031[[#This Row],[اللبناني]]/90)</f>
        <v>0</v>
      </c>
      <c r="M278" s="6"/>
    </row>
    <row r="279" spans="8:13" s="11" customFormat="1" x14ac:dyDescent="0.3">
      <c r="H279" s="5" t="s">
        <v>434</v>
      </c>
      <c r="I279" s="39"/>
      <c r="J279" s="18"/>
      <c r="L279" s="44">
        <f>Table1345678101112131415161718192021222324252627283031[[#This Row],[الدولار]]+(Table1345678101112131415161718192021222324252627283031[[#This Row],[اللبناني]]/90)</f>
        <v>0</v>
      </c>
      <c r="M279" s="6"/>
    </row>
    <row r="280" spans="8:13" s="11" customFormat="1" x14ac:dyDescent="0.3">
      <c r="H280" s="5" t="s">
        <v>434</v>
      </c>
      <c r="I280" s="39"/>
      <c r="J280" s="18"/>
      <c r="L280" s="44">
        <f>Table1345678101112131415161718192021222324252627283031[[#This Row],[الدولار]]+(Table1345678101112131415161718192021222324252627283031[[#This Row],[اللبناني]]/90)</f>
        <v>0</v>
      </c>
      <c r="M280" s="6"/>
    </row>
    <row r="281" spans="8:13" s="11" customFormat="1" x14ac:dyDescent="0.3">
      <c r="H281" s="5" t="s">
        <v>434</v>
      </c>
      <c r="I281" s="39"/>
      <c r="J281" s="18"/>
      <c r="L281" s="44">
        <f>Table1345678101112131415161718192021222324252627283031[[#This Row],[الدولار]]+(Table1345678101112131415161718192021222324252627283031[[#This Row],[اللبناني]]/90)</f>
        <v>0</v>
      </c>
      <c r="M281" s="6"/>
    </row>
    <row r="282" spans="8:13" s="11" customFormat="1" x14ac:dyDescent="0.3">
      <c r="H282" s="5" t="s">
        <v>434</v>
      </c>
      <c r="I282" s="39"/>
      <c r="J282" s="18"/>
      <c r="L282" s="44">
        <f>Table1345678101112131415161718192021222324252627283031[[#This Row],[الدولار]]+(Table1345678101112131415161718192021222324252627283031[[#This Row],[اللبناني]]/90)</f>
        <v>0</v>
      </c>
      <c r="M282" s="6"/>
    </row>
    <row r="283" spans="8:13" s="11" customFormat="1" x14ac:dyDescent="0.3">
      <c r="H283" s="5" t="s">
        <v>434</v>
      </c>
      <c r="I283" s="39"/>
      <c r="J283" s="18"/>
      <c r="L283" s="44">
        <f>Table1345678101112131415161718192021222324252627283031[[#This Row],[الدولار]]+(Table1345678101112131415161718192021222324252627283031[[#This Row],[اللبناني]]/90)</f>
        <v>0</v>
      </c>
      <c r="M283" s="6"/>
    </row>
    <row r="284" spans="8:13" s="11" customFormat="1" x14ac:dyDescent="0.3">
      <c r="H284" s="5" t="s">
        <v>434</v>
      </c>
      <c r="I284" s="39"/>
      <c r="J284" s="18"/>
      <c r="L284" s="44">
        <f>Table1345678101112131415161718192021222324252627283031[[#This Row],[الدولار]]+(Table1345678101112131415161718192021222324252627283031[[#This Row],[اللبناني]]/90)</f>
        <v>0</v>
      </c>
      <c r="M284" s="6"/>
    </row>
    <row r="285" spans="8:13" s="11" customFormat="1" x14ac:dyDescent="0.3">
      <c r="H285" s="5" t="s">
        <v>434</v>
      </c>
      <c r="I285" s="39"/>
      <c r="J285" s="18"/>
      <c r="L285" s="44">
        <f>Table1345678101112131415161718192021222324252627283031[[#This Row],[الدولار]]+(Table1345678101112131415161718192021222324252627283031[[#This Row],[اللبناني]]/90)</f>
        <v>0</v>
      </c>
      <c r="M285" s="6"/>
    </row>
    <row r="286" spans="8:13" s="11" customFormat="1" x14ac:dyDescent="0.3">
      <c r="H286" s="5" t="s">
        <v>434</v>
      </c>
      <c r="I286" s="39"/>
      <c r="J286" s="18"/>
      <c r="L286" s="44">
        <f>Table1345678101112131415161718192021222324252627283031[[#This Row],[الدولار]]+(Table1345678101112131415161718192021222324252627283031[[#This Row],[اللبناني]]/90)</f>
        <v>0</v>
      </c>
      <c r="M286" s="6"/>
    </row>
    <row r="287" spans="8:13" s="11" customFormat="1" x14ac:dyDescent="0.3">
      <c r="H287" s="5" t="s">
        <v>434</v>
      </c>
      <c r="I287" s="39"/>
      <c r="J287" s="18"/>
      <c r="L287" s="44">
        <f>Table1345678101112131415161718192021222324252627283031[[#This Row],[الدولار]]+(Table1345678101112131415161718192021222324252627283031[[#This Row],[اللبناني]]/90)</f>
        <v>0</v>
      </c>
      <c r="M287" s="6"/>
    </row>
    <row r="288" spans="8:13" s="11" customFormat="1" x14ac:dyDescent="0.3">
      <c r="H288" s="5" t="s">
        <v>434</v>
      </c>
      <c r="I288" s="39"/>
      <c r="J288" s="18"/>
      <c r="L288" s="44">
        <f>Table1345678101112131415161718192021222324252627283031[[#This Row],[الدولار]]+(Table1345678101112131415161718192021222324252627283031[[#This Row],[اللبناني]]/90)</f>
        <v>0</v>
      </c>
      <c r="M288" s="6"/>
    </row>
    <row r="289" spans="8:13" s="11" customFormat="1" x14ac:dyDescent="0.3">
      <c r="H289" s="5" t="s">
        <v>434</v>
      </c>
      <c r="I289" s="39"/>
      <c r="J289" s="18"/>
      <c r="L289" s="44">
        <f>Table1345678101112131415161718192021222324252627283031[[#This Row],[الدولار]]+(Table1345678101112131415161718192021222324252627283031[[#This Row],[اللبناني]]/90)</f>
        <v>0</v>
      </c>
      <c r="M289" s="6"/>
    </row>
    <row r="290" spans="8:13" s="11" customFormat="1" x14ac:dyDescent="0.3">
      <c r="H290" s="5" t="s">
        <v>434</v>
      </c>
      <c r="I290" s="39"/>
      <c r="J290" s="18"/>
      <c r="L290" s="44">
        <f>Table1345678101112131415161718192021222324252627283031[[#This Row],[الدولار]]+(Table1345678101112131415161718192021222324252627283031[[#This Row],[اللبناني]]/90)</f>
        <v>0</v>
      </c>
      <c r="M290" s="6"/>
    </row>
    <row r="291" spans="8:13" s="11" customFormat="1" x14ac:dyDescent="0.3">
      <c r="H291" s="5" t="s">
        <v>434</v>
      </c>
      <c r="I291" s="39"/>
      <c r="J291" s="18"/>
      <c r="L291" s="44">
        <f>Table1345678101112131415161718192021222324252627283031[[#This Row],[الدولار]]+(Table1345678101112131415161718192021222324252627283031[[#This Row],[اللبناني]]/90)</f>
        <v>0</v>
      </c>
      <c r="M291" s="6"/>
    </row>
    <row r="292" spans="8:13" s="11" customFormat="1" x14ac:dyDescent="0.3">
      <c r="H292" s="5" t="s">
        <v>434</v>
      </c>
      <c r="I292" s="39"/>
      <c r="J292" s="18"/>
      <c r="L292" s="44">
        <f>Table1345678101112131415161718192021222324252627283031[[#This Row],[الدولار]]+(Table1345678101112131415161718192021222324252627283031[[#This Row],[اللبناني]]/90)</f>
        <v>0</v>
      </c>
      <c r="M292" s="6"/>
    </row>
    <row r="293" spans="8:13" s="11" customFormat="1" x14ac:dyDescent="0.3">
      <c r="H293" s="5" t="s">
        <v>434</v>
      </c>
      <c r="I293" s="39"/>
      <c r="J293" s="18"/>
      <c r="L293" s="44">
        <f>Table1345678101112131415161718192021222324252627283031[[#This Row],[الدولار]]+(Table1345678101112131415161718192021222324252627283031[[#This Row],[اللبناني]]/90)</f>
        <v>0</v>
      </c>
      <c r="M293" s="6"/>
    </row>
    <row r="294" spans="8:13" s="11" customFormat="1" x14ac:dyDescent="0.3">
      <c r="H294" s="5" t="s">
        <v>434</v>
      </c>
      <c r="I294" s="39"/>
      <c r="J294" s="18"/>
      <c r="L294" s="44">
        <f>Table1345678101112131415161718192021222324252627283031[[#This Row],[الدولار]]+(Table1345678101112131415161718192021222324252627283031[[#This Row],[اللبناني]]/90)</f>
        <v>0</v>
      </c>
      <c r="M294" s="6"/>
    </row>
    <row r="295" spans="8:13" s="11" customFormat="1" x14ac:dyDescent="0.3">
      <c r="H295" s="5" t="s">
        <v>434</v>
      </c>
      <c r="I295" s="39"/>
      <c r="J295" s="18"/>
      <c r="L295" s="44">
        <f>Table1345678101112131415161718192021222324252627283031[[#This Row],[الدولار]]+(Table1345678101112131415161718192021222324252627283031[[#This Row],[اللبناني]]/90)</f>
        <v>0</v>
      </c>
      <c r="M295" s="6"/>
    </row>
    <row r="296" spans="8:13" s="11" customFormat="1" x14ac:dyDescent="0.3">
      <c r="H296" s="5" t="s">
        <v>434</v>
      </c>
      <c r="I296" s="39"/>
      <c r="J296" s="18"/>
      <c r="L296" s="44">
        <f>Table1345678101112131415161718192021222324252627283031[[#This Row],[الدولار]]+(Table1345678101112131415161718192021222324252627283031[[#This Row],[اللبناني]]/90)</f>
        <v>0</v>
      </c>
      <c r="M296" s="6"/>
    </row>
    <row r="297" spans="8:13" s="11" customFormat="1" x14ac:dyDescent="0.3">
      <c r="H297" s="5" t="s">
        <v>434</v>
      </c>
      <c r="I297" s="39"/>
      <c r="J297" s="18"/>
      <c r="L297" s="44">
        <f>Table1345678101112131415161718192021222324252627283031[[#This Row],[الدولار]]+(Table1345678101112131415161718192021222324252627283031[[#This Row],[اللبناني]]/90)</f>
        <v>0</v>
      </c>
      <c r="M297" s="6"/>
    </row>
    <row r="298" spans="8:13" s="11" customFormat="1" x14ac:dyDescent="0.3">
      <c r="H298" s="5" t="s">
        <v>434</v>
      </c>
      <c r="I298" s="39"/>
      <c r="J298" s="18"/>
      <c r="L298" s="44">
        <f>Table1345678101112131415161718192021222324252627283031[[#This Row],[الدولار]]+(Table1345678101112131415161718192021222324252627283031[[#This Row],[اللبناني]]/90)</f>
        <v>0</v>
      </c>
      <c r="M298" s="6"/>
    </row>
    <row r="299" spans="8:13" s="11" customFormat="1" x14ac:dyDescent="0.3">
      <c r="H299" s="5" t="s">
        <v>434</v>
      </c>
      <c r="I299" s="39"/>
      <c r="J299" s="18"/>
      <c r="L299" s="44">
        <f>Table1345678101112131415161718192021222324252627283031[[#This Row],[الدولار]]+(Table1345678101112131415161718192021222324252627283031[[#This Row],[اللبناني]]/90)</f>
        <v>0</v>
      </c>
      <c r="M299" s="6"/>
    </row>
    <row r="300" spans="8:13" s="11" customFormat="1" x14ac:dyDescent="0.3">
      <c r="H300" s="5" t="s">
        <v>434</v>
      </c>
      <c r="I300" s="39"/>
      <c r="J300" s="18"/>
      <c r="L300" s="44">
        <f>Table1345678101112131415161718192021222324252627283031[[#This Row],[الدولار]]+(Table1345678101112131415161718192021222324252627283031[[#This Row],[اللبناني]]/90)</f>
        <v>0</v>
      </c>
      <c r="M300" s="6"/>
    </row>
    <row r="301" spans="8:13" s="11" customFormat="1" x14ac:dyDescent="0.3">
      <c r="H301" s="5" t="s">
        <v>434</v>
      </c>
      <c r="I301" s="39"/>
      <c r="J301" s="18"/>
      <c r="L301" s="44">
        <f>Table1345678101112131415161718192021222324252627283031[[#This Row],[الدولار]]+(Table1345678101112131415161718192021222324252627283031[[#This Row],[اللبناني]]/90)</f>
        <v>0</v>
      </c>
      <c r="M301" s="6"/>
    </row>
    <row r="302" spans="8:13" s="11" customFormat="1" x14ac:dyDescent="0.3">
      <c r="H302" s="5" t="s">
        <v>434</v>
      </c>
      <c r="I302" s="39"/>
      <c r="J302" s="18"/>
      <c r="L302" s="44">
        <f>Table1345678101112131415161718192021222324252627283031[[#This Row],[الدولار]]+(Table1345678101112131415161718192021222324252627283031[[#This Row],[اللبناني]]/90)</f>
        <v>0</v>
      </c>
      <c r="M302" s="6"/>
    </row>
    <row r="303" spans="8:13" s="11" customFormat="1" x14ac:dyDescent="0.3">
      <c r="H303" s="5" t="s">
        <v>434</v>
      </c>
      <c r="I303" s="39"/>
      <c r="J303" s="18"/>
      <c r="L303" s="44">
        <f>Table1345678101112131415161718192021222324252627283031[[#This Row],[الدولار]]+(Table1345678101112131415161718192021222324252627283031[[#This Row],[اللبناني]]/90)</f>
        <v>0</v>
      </c>
      <c r="M303" s="6"/>
    </row>
    <row r="304" spans="8:13" s="11" customFormat="1" x14ac:dyDescent="0.3">
      <c r="H304" s="5" t="s">
        <v>434</v>
      </c>
      <c r="I304" s="39"/>
      <c r="J304" s="18"/>
      <c r="L304" s="44">
        <f>Table1345678101112131415161718192021222324252627283031[[#This Row],[الدولار]]+(Table1345678101112131415161718192021222324252627283031[[#This Row],[اللبناني]]/90)</f>
        <v>0</v>
      </c>
      <c r="M304" s="6"/>
    </row>
    <row r="305" spans="8:13" s="11" customFormat="1" x14ac:dyDescent="0.3">
      <c r="H305" s="5" t="s">
        <v>434</v>
      </c>
      <c r="I305" s="39"/>
      <c r="J305" s="18"/>
      <c r="L305" s="44">
        <f>Table1345678101112131415161718192021222324252627283031[[#This Row],[الدولار]]+(Table1345678101112131415161718192021222324252627283031[[#This Row],[اللبناني]]/90)</f>
        <v>0</v>
      </c>
      <c r="M305" s="6"/>
    </row>
    <row r="306" spans="8:13" s="11" customFormat="1" x14ac:dyDescent="0.3">
      <c r="H306" s="5" t="s">
        <v>434</v>
      </c>
      <c r="I306" s="39"/>
      <c r="J306" s="18"/>
      <c r="L306" s="44">
        <f>Table1345678101112131415161718192021222324252627283031[[#This Row],[الدولار]]+(Table1345678101112131415161718192021222324252627283031[[#This Row],[اللبناني]]/90)</f>
        <v>0</v>
      </c>
      <c r="M306" s="6"/>
    </row>
    <row r="307" spans="8:13" s="11" customFormat="1" x14ac:dyDescent="0.3">
      <c r="H307" s="5" t="s">
        <v>434</v>
      </c>
      <c r="I307" s="39"/>
      <c r="J307" s="18"/>
      <c r="L307" s="44">
        <f>Table1345678101112131415161718192021222324252627283031[[#This Row],[الدولار]]+(Table1345678101112131415161718192021222324252627283031[[#This Row],[اللبناني]]/90)</f>
        <v>0</v>
      </c>
      <c r="M307" s="6"/>
    </row>
    <row r="308" spans="8:13" s="11" customFormat="1" x14ac:dyDescent="0.3">
      <c r="H308" s="5" t="s">
        <v>434</v>
      </c>
      <c r="I308" s="39"/>
      <c r="J308" s="18"/>
      <c r="L308" s="44">
        <f>Table1345678101112131415161718192021222324252627283031[[#This Row],[الدولار]]+(Table1345678101112131415161718192021222324252627283031[[#This Row],[اللبناني]]/90)</f>
        <v>0</v>
      </c>
      <c r="M308" s="6"/>
    </row>
    <row r="309" spans="8:13" s="11" customFormat="1" x14ac:dyDescent="0.3">
      <c r="H309" s="5" t="s">
        <v>434</v>
      </c>
      <c r="I309" s="39"/>
      <c r="J309" s="18"/>
      <c r="L309" s="44">
        <f>Table1345678101112131415161718192021222324252627283031[[#This Row],[الدولار]]+(Table1345678101112131415161718192021222324252627283031[[#This Row],[اللبناني]]/90)</f>
        <v>0</v>
      </c>
      <c r="M309" s="6"/>
    </row>
    <row r="310" spans="8:13" s="11" customFormat="1" x14ac:dyDescent="0.3">
      <c r="H310" s="5" t="s">
        <v>434</v>
      </c>
      <c r="I310" s="39"/>
      <c r="J310" s="18"/>
      <c r="L310" s="44">
        <f>Table1345678101112131415161718192021222324252627283031[[#This Row],[الدولار]]+(Table1345678101112131415161718192021222324252627283031[[#This Row],[اللبناني]]/90)</f>
        <v>0</v>
      </c>
      <c r="M310" s="6"/>
    </row>
    <row r="311" spans="8:13" s="11" customFormat="1" x14ac:dyDescent="0.3">
      <c r="H311" s="5" t="s">
        <v>434</v>
      </c>
      <c r="I311" s="39"/>
      <c r="J311" s="18"/>
      <c r="L311" s="44">
        <f>Table1345678101112131415161718192021222324252627283031[[#This Row],[الدولار]]+(Table1345678101112131415161718192021222324252627283031[[#This Row],[اللبناني]]/90)</f>
        <v>0</v>
      </c>
      <c r="M311" s="6"/>
    </row>
    <row r="312" spans="8:13" s="11" customFormat="1" x14ac:dyDescent="0.3">
      <c r="H312" s="5" t="s">
        <v>434</v>
      </c>
      <c r="I312" s="39"/>
      <c r="J312" s="18"/>
      <c r="L312" s="44">
        <f>Table1345678101112131415161718192021222324252627283031[[#This Row],[الدولار]]+(Table1345678101112131415161718192021222324252627283031[[#This Row],[اللبناني]]/90)</f>
        <v>0</v>
      </c>
      <c r="M312" s="6"/>
    </row>
    <row r="313" spans="8:13" s="11" customFormat="1" x14ac:dyDescent="0.3">
      <c r="H313" s="5" t="s">
        <v>434</v>
      </c>
      <c r="I313" s="39"/>
      <c r="J313" s="18"/>
      <c r="L313" s="44">
        <f>Table1345678101112131415161718192021222324252627283031[[#This Row],[الدولار]]+(Table1345678101112131415161718192021222324252627283031[[#This Row],[اللبناني]]/90)</f>
        <v>0</v>
      </c>
      <c r="M313" s="6"/>
    </row>
    <row r="314" spans="8:13" s="11" customFormat="1" x14ac:dyDescent="0.3">
      <c r="H314" s="5" t="s">
        <v>434</v>
      </c>
      <c r="I314" s="39"/>
      <c r="J314" s="18"/>
      <c r="L314" s="44">
        <f>Table1345678101112131415161718192021222324252627283031[[#This Row],[الدولار]]+(Table1345678101112131415161718192021222324252627283031[[#This Row],[اللبناني]]/90)</f>
        <v>0</v>
      </c>
      <c r="M314" s="6"/>
    </row>
    <row r="315" spans="8:13" s="11" customFormat="1" x14ac:dyDescent="0.3">
      <c r="H315" s="5" t="s">
        <v>434</v>
      </c>
      <c r="I315" s="39"/>
      <c r="J315" s="18"/>
      <c r="L315" s="44">
        <f>Table1345678101112131415161718192021222324252627283031[[#This Row],[الدولار]]+(Table1345678101112131415161718192021222324252627283031[[#This Row],[اللبناني]]/90)</f>
        <v>0</v>
      </c>
      <c r="M315" s="6"/>
    </row>
    <row r="316" spans="8:13" s="11" customFormat="1" x14ac:dyDescent="0.3">
      <c r="H316" s="5" t="s">
        <v>434</v>
      </c>
      <c r="I316" s="39"/>
      <c r="J316" s="18"/>
      <c r="L316" s="44">
        <f>Table1345678101112131415161718192021222324252627283031[[#This Row],[الدولار]]+(Table1345678101112131415161718192021222324252627283031[[#This Row],[اللبناني]]/90)</f>
        <v>0</v>
      </c>
      <c r="M316" s="6"/>
    </row>
    <row r="317" spans="8:13" s="11" customFormat="1" x14ac:dyDescent="0.3">
      <c r="H317" s="5" t="s">
        <v>434</v>
      </c>
      <c r="I317" s="39"/>
      <c r="J317" s="18"/>
      <c r="L317" s="44">
        <f>Table1345678101112131415161718192021222324252627283031[[#This Row],[الدولار]]+(Table1345678101112131415161718192021222324252627283031[[#This Row],[اللبناني]]/90)</f>
        <v>0</v>
      </c>
      <c r="M317" s="6"/>
    </row>
    <row r="318" spans="8:13" s="11" customFormat="1" x14ac:dyDescent="0.3">
      <c r="H318" s="5" t="s">
        <v>434</v>
      </c>
      <c r="I318" s="39"/>
      <c r="J318" s="18"/>
      <c r="L318" s="44">
        <f>Table1345678101112131415161718192021222324252627283031[[#This Row],[الدولار]]+(Table1345678101112131415161718192021222324252627283031[[#This Row],[اللبناني]]/90)</f>
        <v>0</v>
      </c>
      <c r="M318" s="6"/>
    </row>
    <row r="319" spans="8:13" s="11" customFormat="1" x14ac:dyDescent="0.3">
      <c r="H319" s="5" t="s">
        <v>434</v>
      </c>
      <c r="I319" s="39"/>
      <c r="J319" s="18"/>
      <c r="L319" s="44">
        <f>Table1345678101112131415161718192021222324252627283031[[#This Row],[الدولار]]+(Table1345678101112131415161718192021222324252627283031[[#This Row],[اللبناني]]/90)</f>
        <v>0</v>
      </c>
      <c r="M319" s="6"/>
    </row>
    <row r="320" spans="8:13" s="11" customFormat="1" x14ac:dyDescent="0.3">
      <c r="H320" s="5" t="s">
        <v>434</v>
      </c>
      <c r="I320" s="39"/>
      <c r="J320" s="18"/>
      <c r="L320" s="44">
        <f>Table1345678101112131415161718192021222324252627283031[[#This Row],[الدولار]]+(Table1345678101112131415161718192021222324252627283031[[#This Row],[اللبناني]]/90)</f>
        <v>0</v>
      </c>
      <c r="M320" s="6"/>
    </row>
    <row r="321" spans="8:13" s="11" customFormat="1" x14ac:dyDescent="0.3">
      <c r="H321" s="5" t="s">
        <v>434</v>
      </c>
      <c r="I321" s="39"/>
      <c r="J321" s="18"/>
      <c r="L321" s="44">
        <f>Table1345678101112131415161718192021222324252627283031[[#This Row],[الدولار]]+(Table1345678101112131415161718192021222324252627283031[[#This Row],[اللبناني]]/90)</f>
        <v>0</v>
      </c>
      <c r="M321" s="6"/>
    </row>
    <row r="322" spans="8:13" s="11" customFormat="1" x14ac:dyDescent="0.3">
      <c r="H322" s="5" t="s">
        <v>434</v>
      </c>
      <c r="I322" s="39"/>
      <c r="J322" s="18"/>
      <c r="L322" s="44">
        <f>Table1345678101112131415161718192021222324252627283031[[#This Row],[الدولار]]+(Table1345678101112131415161718192021222324252627283031[[#This Row],[اللبناني]]/90)</f>
        <v>0</v>
      </c>
      <c r="M322" s="6"/>
    </row>
    <row r="323" spans="8:13" s="11" customFormat="1" x14ac:dyDescent="0.3">
      <c r="H323" s="5" t="s">
        <v>434</v>
      </c>
      <c r="I323" s="39"/>
      <c r="J323" s="18"/>
      <c r="L323" s="44">
        <f>Table1345678101112131415161718192021222324252627283031[[#This Row],[الدولار]]+(Table1345678101112131415161718192021222324252627283031[[#This Row],[اللبناني]]/90)</f>
        <v>0</v>
      </c>
      <c r="M323" s="6"/>
    </row>
    <row r="324" spans="8:13" s="11" customFormat="1" x14ac:dyDescent="0.3">
      <c r="H324" s="5" t="s">
        <v>434</v>
      </c>
      <c r="I324" s="39"/>
      <c r="J324" s="18"/>
      <c r="L324" s="44">
        <f>Table1345678101112131415161718192021222324252627283031[[#This Row],[الدولار]]+(Table1345678101112131415161718192021222324252627283031[[#This Row],[اللبناني]]/90)</f>
        <v>0</v>
      </c>
      <c r="M324" s="6"/>
    </row>
    <row r="325" spans="8:13" s="11" customFormat="1" x14ac:dyDescent="0.3">
      <c r="H325" s="5" t="s">
        <v>434</v>
      </c>
      <c r="I325" s="39"/>
      <c r="J325" s="18"/>
      <c r="L325" s="44">
        <f>Table1345678101112131415161718192021222324252627283031[[#This Row],[الدولار]]+(Table1345678101112131415161718192021222324252627283031[[#This Row],[اللبناني]]/90)</f>
        <v>0</v>
      </c>
      <c r="M325" s="6"/>
    </row>
    <row r="326" spans="8:13" s="11" customFormat="1" x14ac:dyDescent="0.3">
      <c r="H326" s="5" t="s">
        <v>434</v>
      </c>
      <c r="I326" s="39"/>
      <c r="J326" s="18"/>
      <c r="L326" s="44">
        <f>Table1345678101112131415161718192021222324252627283031[[#This Row],[الدولار]]+(Table1345678101112131415161718192021222324252627283031[[#This Row],[اللبناني]]/90)</f>
        <v>0</v>
      </c>
      <c r="M326" s="6"/>
    </row>
    <row r="327" spans="8:13" s="11" customFormat="1" x14ac:dyDescent="0.3">
      <c r="H327" s="5" t="s">
        <v>434</v>
      </c>
      <c r="I327" s="39"/>
      <c r="J327" s="18"/>
      <c r="L327" s="44">
        <f>Table1345678101112131415161718192021222324252627283031[[#This Row],[الدولار]]+(Table1345678101112131415161718192021222324252627283031[[#This Row],[اللبناني]]/90)</f>
        <v>0</v>
      </c>
      <c r="M327" s="6"/>
    </row>
    <row r="328" spans="8:13" s="11" customFormat="1" x14ac:dyDescent="0.3">
      <c r="H328" s="5" t="s">
        <v>434</v>
      </c>
      <c r="I328" s="39"/>
      <c r="J328" s="18"/>
      <c r="L328" s="44">
        <f>Table1345678101112131415161718192021222324252627283031[[#This Row],[الدولار]]+(Table1345678101112131415161718192021222324252627283031[[#This Row],[اللبناني]]/90)</f>
        <v>0</v>
      </c>
      <c r="M328" s="6"/>
    </row>
    <row r="329" spans="8:13" s="11" customFormat="1" x14ac:dyDescent="0.3">
      <c r="H329" s="5" t="s">
        <v>434</v>
      </c>
      <c r="I329" s="39"/>
      <c r="J329" s="18"/>
      <c r="L329" s="44">
        <f>Table1345678101112131415161718192021222324252627283031[[#This Row],[الدولار]]+(Table1345678101112131415161718192021222324252627283031[[#This Row],[اللبناني]]/90)</f>
        <v>0</v>
      </c>
      <c r="M329" s="6"/>
    </row>
    <row r="330" spans="8:13" s="11" customFormat="1" x14ac:dyDescent="0.3">
      <c r="H330" s="5" t="s">
        <v>434</v>
      </c>
      <c r="I330" s="39"/>
      <c r="J330" s="18"/>
      <c r="L330" s="44">
        <f>Table1345678101112131415161718192021222324252627283031[[#This Row],[الدولار]]+(Table1345678101112131415161718192021222324252627283031[[#This Row],[اللبناني]]/90)</f>
        <v>0</v>
      </c>
      <c r="M330" s="6"/>
    </row>
    <row r="331" spans="8:13" s="11" customFormat="1" x14ac:dyDescent="0.3">
      <c r="H331" s="5" t="s">
        <v>434</v>
      </c>
      <c r="I331" s="39"/>
      <c r="J331" s="18"/>
      <c r="L331" s="44">
        <f>Table1345678101112131415161718192021222324252627283031[[#This Row],[الدولار]]+(Table1345678101112131415161718192021222324252627283031[[#This Row],[اللبناني]]/90)</f>
        <v>0</v>
      </c>
      <c r="M331" s="6"/>
    </row>
    <row r="332" spans="8:13" s="11" customFormat="1" x14ac:dyDescent="0.3">
      <c r="H332" s="5" t="s">
        <v>434</v>
      </c>
      <c r="I332" s="39"/>
      <c r="J332" s="18"/>
      <c r="L332" s="44">
        <f>Table1345678101112131415161718192021222324252627283031[[#This Row],[الدولار]]+(Table1345678101112131415161718192021222324252627283031[[#This Row],[اللبناني]]/90)</f>
        <v>0</v>
      </c>
      <c r="M332" s="6"/>
    </row>
    <row r="333" spans="8:13" s="11" customFormat="1" x14ac:dyDescent="0.3">
      <c r="H333" s="5" t="s">
        <v>434</v>
      </c>
      <c r="I333" s="39"/>
      <c r="J333" s="18"/>
      <c r="L333" s="44">
        <f>Table1345678101112131415161718192021222324252627283031[[#This Row],[الدولار]]+(Table1345678101112131415161718192021222324252627283031[[#This Row],[اللبناني]]/90)</f>
        <v>0</v>
      </c>
      <c r="M333" s="6"/>
    </row>
    <row r="334" spans="8:13" s="11" customFormat="1" x14ac:dyDescent="0.3">
      <c r="H334" s="5" t="s">
        <v>434</v>
      </c>
      <c r="I334" s="39"/>
      <c r="J334" s="18"/>
      <c r="L334" s="44">
        <f>Table1345678101112131415161718192021222324252627283031[[#This Row],[الدولار]]+(Table1345678101112131415161718192021222324252627283031[[#This Row],[اللبناني]]/90)</f>
        <v>0</v>
      </c>
      <c r="M334" s="6"/>
    </row>
    <row r="335" spans="8:13" s="11" customFormat="1" x14ac:dyDescent="0.3">
      <c r="H335" s="5" t="s">
        <v>434</v>
      </c>
      <c r="I335" s="39"/>
      <c r="J335" s="18"/>
      <c r="L335" s="44">
        <f>Table1345678101112131415161718192021222324252627283031[[#This Row],[الدولار]]+(Table1345678101112131415161718192021222324252627283031[[#This Row],[اللبناني]]/90)</f>
        <v>0</v>
      </c>
      <c r="M335" s="6"/>
    </row>
    <row r="336" spans="8:13" s="11" customFormat="1" x14ac:dyDescent="0.3">
      <c r="H336" s="5" t="s">
        <v>434</v>
      </c>
      <c r="I336" s="39"/>
      <c r="J336" s="18"/>
      <c r="L336" s="44">
        <f>Table1345678101112131415161718192021222324252627283031[[#This Row],[الدولار]]+(Table1345678101112131415161718192021222324252627283031[[#This Row],[اللبناني]]/90)</f>
        <v>0</v>
      </c>
      <c r="M336" s="6"/>
    </row>
    <row r="337" spans="8:13" s="11" customFormat="1" x14ac:dyDescent="0.3">
      <c r="H337" s="5" t="s">
        <v>434</v>
      </c>
      <c r="I337" s="39"/>
      <c r="J337" s="18"/>
      <c r="L337" s="44">
        <f>Table1345678101112131415161718192021222324252627283031[[#This Row],[الدولار]]+(Table1345678101112131415161718192021222324252627283031[[#This Row],[اللبناني]]/90)</f>
        <v>0</v>
      </c>
      <c r="M337" s="6"/>
    </row>
    <row r="338" spans="8:13" s="11" customFormat="1" x14ac:dyDescent="0.3">
      <c r="H338" s="5" t="s">
        <v>434</v>
      </c>
      <c r="I338" s="39"/>
      <c r="J338" s="18"/>
      <c r="L338" s="44">
        <f>Table1345678101112131415161718192021222324252627283031[[#This Row],[الدولار]]+(Table1345678101112131415161718192021222324252627283031[[#This Row],[اللبناني]]/90)</f>
        <v>0</v>
      </c>
      <c r="M338" s="6"/>
    </row>
    <row r="339" spans="8:13" s="11" customFormat="1" x14ac:dyDescent="0.3">
      <c r="H339" s="5" t="s">
        <v>434</v>
      </c>
      <c r="I339" s="39"/>
      <c r="J339" s="18"/>
      <c r="L339" s="44">
        <f>Table1345678101112131415161718192021222324252627283031[[#This Row],[الدولار]]+(Table1345678101112131415161718192021222324252627283031[[#This Row],[اللبناني]]/90)</f>
        <v>0</v>
      </c>
      <c r="M339" s="6"/>
    </row>
    <row r="340" spans="8:13" s="11" customFormat="1" x14ac:dyDescent="0.3">
      <c r="H340" s="5" t="s">
        <v>434</v>
      </c>
      <c r="I340" s="39"/>
      <c r="J340" s="18"/>
      <c r="L340" s="44">
        <f>Table1345678101112131415161718192021222324252627283031[[#This Row],[الدولار]]+(Table1345678101112131415161718192021222324252627283031[[#This Row],[اللبناني]]/90)</f>
        <v>0</v>
      </c>
      <c r="M340" s="6"/>
    </row>
    <row r="341" spans="8:13" s="11" customFormat="1" x14ac:dyDescent="0.3">
      <c r="H341" s="5" t="s">
        <v>434</v>
      </c>
      <c r="I341" s="39"/>
      <c r="J341" s="18"/>
      <c r="L341" s="44">
        <f>Table1345678101112131415161718192021222324252627283031[[#This Row],[الدولار]]+(Table1345678101112131415161718192021222324252627283031[[#This Row],[اللبناني]]/90)</f>
        <v>0</v>
      </c>
      <c r="M341" s="6"/>
    </row>
    <row r="342" spans="8:13" s="11" customFormat="1" x14ac:dyDescent="0.3">
      <c r="H342" s="5" t="s">
        <v>434</v>
      </c>
      <c r="I342" s="39"/>
      <c r="J342" s="18"/>
      <c r="L342" s="44">
        <f>Table1345678101112131415161718192021222324252627283031[[#This Row],[الدولار]]+(Table1345678101112131415161718192021222324252627283031[[#This Row],[اللبناني]]/90)</f>
        <v>0</v>
      </c>
      <c r="M342" s="6"/>
    </row>
    <row r="343" spans="8:13" s="11" customFormat="1" x14ac:dyDescent="0.3">
      <c r="H343" s="5" t="s">
        <v>434</v>
      </c>
      <c r="I343" s="39"/>
      <c r="J343" s="18"/>
      <c r="L343" s="44">
        <f>Table1345678101112131415161718192021222324252627283031[[#This Row],[الدولار]]+(Table1345678101112131415161718192021222324252627283031[[#This Row],[اللبناني]]/90)</f>
        <v>0</v>
      </c>
      <c r="M343" s="6"/>
    </row>
    <row r="344" spans="8:13" s="11" customFormat="1" x14ac:dyDescent="0.3">
      <c r="H344" s="5" t="s">
        <v>434</v>
      </c>
      <c r="I344" s="39"/>
      <c r="J344" s="18"/>
      <c r="L344" s="44">
        <f>Table1345678101112131415161718192021222324252627283031[[#This Row],[الدولار]]+(Table1345678101112131415161718192021222324252627283031[[#This Row],[اللبناني]]/90)</f>
        <v>0</v>
      </c>
      <c r="M344" s="6"/>
    </row>
    <row r="345" spans="8:13" s="11" customFormat="1" x14ac:dyDescent="0.3">
      <c r="H345" s="5" t="s">
        <v>434</v>
      </c>
      <c r="I345" s="39"/>
      <c r="J345" s="18"/>
      <c r="L345" s="44">
        <f>Table1345678101112131415161718192021222324252627283031[[#This Row],[الدولار]]+(Table1345678101112131415161718192021222324252627283031[[#This Row],[اللبناني]]/90)</f>
        <v>0</v>
      </c>
      <c r="M345" s="6"/>
    </row>
    <row r="346" spans="8:13" s="11" customFormat="1" x14ac:dyDescent="0.3">
      <c r="H346" s="5" t="s">
        <v>434</v>
      </c>
      <c r="I346" s="39"/>
      <c r="J346" s="18"/>
      <c r="L346" s="44">
        <f>Table1345678101112131415161718192021222324252627283031[[#This Row],[الدولار]]+(Table1345678101112131415161718192021222324252627283031[[#This Row],[اللبناني]]/90)</f>
        <v>0</v>
      </c>
      <c r="M346" s="6"/>
    </row>
    <row r="347" spans="8:13" s="11" customFormat="1" x14ac:dyDescent="0.3">
      <c r="H347" s="5" t="s">
        <v>434</v>
      </c>
      <c r="I347" s="39"/>
      <c r="J347" s="18"/>
      <c r="L347" s="44">
        <f>Table1345678101112131415161718192021222324252627283031[[#This Row],[الدولار]]+(Table1345678101112131415161718192021222324252627283031[[#This Row],[اللبناني]]/90)</f>
        <v>0</v>
      </c>
      <c r="M347" s="6"/>
    </row>
    <row r="348" spans="8:13" s="11" customFormat="1" x14ac:dyDescent="0.3">
      <c r="H348" s="5" t="s">
        <v>434</v>
      </c>
      <c r="I348" s="39"/>
      <c r="J348" s="18"/>
      <c r="L348" s="44">
        <f>Table1345678101112131415161718192021222324252627283031[[#This Row],[الدولار]]+(Table1345678101112131415161718192021222324252627283031[[#This Row],[اللبناني]]/90)</f>
        <v>0</v>
      </c>
      <c r="M348" s="6"/>
    </row>
    <row r="349" spans="8:13" s="11" customFormat="1" x14ac:dyDescent="0.3">
      <c r="H349" s="5" t="s">
        <v>434</v>
      </c>
      <c r="I349" s="39"/>
      <c r="J349" s="18"/>
      <c r="L349" s="44">
        <f>Table1345678101112131415161718192021222324252627283031[[#This Row],[الدولار]]+(Table1345678101112131415161718192021222324252627283031[[#This Row],[اللبناني]]/90)</f>
        <v>0</v>
      </c>
      <c r="M349" s="6"/>
    </row>
    <row r="350" spans="8:13" s="11" customFormat="1" x14ac:dyDescent="0.3">
      <c r="H350" s="5" t="s">
        <v>434</v>
      </c>
      <c r="I350" s="39"/>
      <c r="J350" s="18"/>
      <c r="L350" s="44">
        <f>Table1345678101112131415161718192021222324252627283031[[#This Row],[الدولار]]+(Table1345678101112131415161718192021222324252627283031[[#This Row],[اللبناني]]/90)</f>
        <v>0</v>
      </c>
      <c r="M350" s="6"/>
    </row>
    <row r="351" spans="8:13" s="11" customFormat="1" x14ac:dyDescent="0.3">
      <c r="H351" s="5" t="s">
        <v>434</v>
      </c>
      <c r="I351" s="39"/>
      <c r="J351" s="18"/>
      <c r="L351" s="44">
        <f>Table1345678101112131415161718192021222324252627283031[[#This Row],[الدولار]]+(Table1345678101112131415161718192021222324252627283031[[#This Row],[اللبناني]]/90)</f>
        <v>0</v>
      </c>
      <c r="M351" s="6"/>
    </row>
    <row r="352" spans="8:13" s="11" customFormat="1" x14ac:dyDescent="0.3">
      <c r="H352" s="5" t="s">
        <v>434</v>
      </c>
      <c r="I352" s="39"/>
      <c r="J352" s="18"/>
      <c r="L352" s="44">
        <f>Table1345678101112131415161718192021222324252627283031[[#This Row],[الدولار]]+(Table1345678101112131415161718192021222324252627283031[[#This Row],[اللبناني]]/90)</f>
        <v>0</v>
      </c>
      <c r="M352" s="6"/>
    </row>
    <row r="353" spans="8:13" s="11" customFormat="1" x14ac:dyDescent="0.3">
      <c r="H353" s="5" t="s">
        <v>434</v>
      </c>
      <c r="I353" s="39"/>
      <c r="J353" s="18"/>
      <c r="L353" s="44">
        <f>Table1345678101112131415161718192021222324252627283031[[#This Row],[الدولار]]+(Table1345678101112131415161718192021222324252627283031[[#This Row],[اللبناني]]/90)</f>
        <v>0</v>
      </c>
      <c r="M353" s="6"/>
    </row>
    <row r="354" spans="8:13" s="11" customFormat="1" x14ac:dyDescent="0.3">
      <c r="H354" s="5" t="s">
        <v>434</v>
      </c>
      <c r="I354" s="39"/>
      <c r="J354" s="18"/>
      <c r="L354" s="44">
        <f>Table1345678101112131415161718192021222324252627283031[[#This Row],[الدولار]]+(Table1345678101112131415161718192021222324252627283031[[#This Row],[اللبناني]]/90)</f>
        <v>0</v>
      </c>
      <c r="M354" s="6"/>
    </row>
    <row r="355" spans="8:13" s="11" customFormat="1" x14ac:dyDescent="0.3">
      <c r="H355" s="5" t="s">
        <v>434</v>
      </c>
      <c r="I355" s="39"/>
      <c r="J355" s="18"/>
      <c r="L355" s="44">
        <f>Table1345678101112131415161718192021222324252627283031[[#This Row],[الدولار]]+(Table1345678101112131415161718192021222324252627283031[[#This Row],[اللبناني]]/90)</f>
        <v>0</v>
      </c>
      <c r="M355" s="6"/>
    </row>
    <row r="356" spans="8:13" s="11" customFormat="1" x14ac:dyDescent="0.3">
      <c r="H356" s="5" t="s">
        <v>434</v>
      </c>
      <c r="I356" s="39"/>
      <c r="J356" s="18"/>
      <c r="L356" s="44">
        <f>Table1345678101112131415161718192021222324252627283031[[#This Row],[الدولار]]+(Table1345678101112131415161718192021222324252627283031[[#This Row],[اللبناني]]/90)</f>
        <v>0</v>
      </c>
      <c r="M356" s="6"/>
    </row>
    <row r="357" spans="8:13" s="11" customFormat="1" x14ac:dyDescent="0.3">
      <c r="H357" s="5" t="s">
        <v>434</v>
      </c>
      <c r="I357" s="39"/>
      <c r="J357" s="18"/>
      <c r="L357" s="44">
        <f>Table1345678101112131415161718192021222324252627283031[[#This Row],[الدولار]]+(Table1345678101112131415161718192021222324252627283031[[#This Row],[اللبناني]]/90)</f>
        <v>0</v>
      </c>
      <c r="M357" s="6"/>
    </row>
    <row r="358" spans="8:13" s="11" customFormat="1" x14ac:dyDescent="0.3">
      <c r="H358" s="5" t="s">
        <v>434</v>
      </c>
      <c r="I358" s="39"/>
      <c r="J358" s="18"/>
      <c r="L358" s="44">
        <f>Table1345678101112131415161718192021222324252627283031[[#This Row],[الدولار]]+(Table1345678101112131415161718192021222324252627283031[[#This Row],[اللبناني]]/90)</f>
        <v>0</v>
      </c>
      <c r="M358" s="6"/>
    </row>
    <row r="359" spans="8:13" s="11" customFormat="1" x14ac:dyDescent="0.3">
      <c r="H359" s="5" t="s">
        <v>434</v>
      </c>
      <c r="I359" s="39"/>
      <c r="J359" s="18"/>
      <c r="L359" s="44">
        <f>Table1345678101112131415161718192021222324252627283031[[#This Row],[الدولار]]+(Table1345678101112131415161718192021222324252627283031[[#This Row],[اللبناني]]/90)</f>
        <v>0</v>
      </c>
      <c r="M359" s="6"/>
    </row>
    <row r="360" spans="8:13" s="11" customFormat="1" x14ac:dyDescent="0.3">
      <c r="H360" s="5" t="s">
        <v>434</v>
      </c>
      <c r="I360" s="39"/>
      <c r="J360" s="18"/>
      <c r="L360" s="44">
        <f>Table1345678101112131415161718192021222324252627283031[[#This Row],[الدولار]]+(Table1345678101112131415161718192021222324252627283031[[#This Row],[اللبناني]]/90)</f>
        <v>0</v>
      </c>
      <c r="M360" s="6"/>
    </row>
    <row r="361" spans="8:13" s="11" customFormat="1" x14ac:dyDescent="0.3">
      <c r="H361" s="5" t="s">
        <v>434</v>
      </c>
      <c r="I361" s="39"/>
      <c r="J361" s="18"/>
      <c r="L361" s="44">
        <f>Table1345678101112131415161718192021222324252627283031[[#This Row],[الدولار]]+(Table1345678101112131415161718192021222324252627283031[[#This Row],[اللبناني]]/90)</f>
        <v>0</v>
      </c>
      <c r="M361" s="6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.3" footer="0.3"/>
  <pageSetup paperSize="9" scale="65" fitToHeight="0" orientation="portrait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9DE4F-3E55-4836-860C-C153BF83E696}">
  <sheetPr>
    <pageSetUpPr fitToPage="1"/>
  </sheetPr>
  <dimension ref="A1:S361"/>
  <sheetViews>
    <sheetView rightToLeft="1" topLeftCell="A83" zoomScale="115" zoomScaleNormal="115" workbookViewId="0">
      <selection activeCell="J102" sqref="J102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8.44140625" style="2" bestFit="1" customWidth="1"/>
    <col min="4" max="4" width="10.44140625" style="2" customWidth="1"/>
    <col min="5" max="5" width="7" style="2" customWidth="1"/>
    <col min="6" max="6" width="11.44140625" style="2" bestFit="1" customWidth="1"/>
    <col min="7" max="7" width="2.44140625" style="2" customWidth="1"/>
    <col min="8" max="8" width="8.88671875" style="2" bestFit="1" customWidth="1"/>
    <col min="9" max="9" width="17.88671875" style="39" customWidth="1"/>
    <col min="10" max="10" width="12.109375" style="7" bestFit="1" customWidth="1"/>
    <col min="11" max="11" width="8.5546875" style="11" bestFit="1" customWidth="1"/>
    <col min="12" max="12" width="9" style="6" bestFit="1" customWidth="1"/>
    <col min="13" max="13" width="2.5546875" style="6" customWidth="1"/>
    <col min="14" max="14" width="9.44140625" style="2" bestFit="1" customWidth="1"/>
    <col min="15" max="15" width="5.109375" style="2" bestFit="1" customWidth="1"/>
    <col min="16" max="16" width="8.5546875" style="2" bestFit="1" customWidth="1"/>
    <col min="17" max="17" width="9.109375" style="2" bestFit="1" customWidth="1"/>
    <col min="18" max="18" width="5.109375" style="2" bestFit="1" customWidth="1"/>
    <col min="19" max="19" width="11.109375" style="2" bestFit="1" customWidth="1"/>
    <col min="20" max="16384" width="8.88671875" style="2"/>
  </cols>
  <sheetData>
    <row r="1" spans="1:19" x14ac:dyDescent="0.3">
      <c r="I1" s="39" t="s">
        <v>38</v>
      </c>
      <c r="J1" s="7">
        <f>SUM(J3:J18)</f>
        <v>880</v>
      </c>
      <c r="K1" s="7">
        <f>SUM(K3:K18)</f>
        <v>390</v>
      </c>
      <c r="L1" s="7">
        <f>SUM(L3:L18)</f>
        <v>399.77777777777777</v>
      </c>
    </row>
    <row r="2" spans="1:19" x14ac:dyDescent="0.3">
      <c r="H2" s="2" t="s">
        <v>426</v>
      </c>
      <c r="I2" s="40" t="s">
        <v>6</v>
      </c>
      <c r="J2" s="3" t="s">
        <v>5</v>
      </c>
      <c r="K2" s="12" t="s">
        <v>4</v>
      </c>
      <c r="L2" s="12" t="s">
        <v>415</v>
      </c>
    </row>
    <row r="3" spans="1:19" x14ac:dyDescent="0.3">
      <c r="H3" s="5" t="s">
        <v>434</v>
      </c>
      <c r="I3" s="41"/>
      <c r="J3" s="20">
        <v>-50</v>
      </c>
      <c r="K3" s="11">
        <v>20</v>
      </c>
      <c r="L3" s="44">
        <f t="shared" ref="L3:L18" si="0">K3+(J3/90)</f>
        <v>19.444444444444443</v>
      </c>
    </row>
    <row r="4" spans="1:19" x14ac:dyDescent="0.3">
      <c r="H4" s="5" t="s">
        <v>434</v>
      </c>
      <c r="I4" s="41"/>
      <c r="J4" s="20">
        <v>990</v>
      </c>
      <c r="L4" s="44">
        <f t="shared" si="0"/>
        <v>11</v>
      </c>
    </row>
    <row r="5" spans="1:19" x14ac:dyDescent="0.3">
      <c r="H5" s="5" t="s">
        <v>434</v>
      </c>
      <c r="I5" s="41"/>
      <c r="J5" s="20">
        <v>180</v>
      </c>
      <c r="L5" s="44">
        <f t="shared" si="0"/>
        <v>2</v>
      </c>
    </row>
    <row r="6" spans="1:19" x14ac:dyDescent="0.3">
      <c r="H6" s="5" t="s">
        <v>434</v>
      </c>
      <c r="I6" s="41"/>
      <c r="J6" s="20">
        <v>350</v>
      </c>
      <c r="L6" s="44">
        <f t="shared" si="0"/>
        <v>3.8888888888888888</v>
      </c>
    </row>
    <row r="7" spans="1:19" x14ac:dyDescent="0.3">
      <c r="H7" s="5" t="s">
        <v>434</v>
      </c>
      <c r="I7" s="41"/>
      <c r="J7" s="20">
        <v>180</v>
      </c>
      <c r="L7" s="44">
        <f t="shared" si="0"/>
        <v>2</v>
      </c>
    </row>
    <row r="8" spans="1:19" x14ac:dyDescent="0.3">
      <c r="H8" s="5" t="s">
        <v>434</v>
      </c>
      <c r="I8" s="41"/>
      <c r="J8" s="20"/>
      <c r="K8" s="11">
        <v>5</v>
      </c>
      <c r="L8" s="44">
        <f t="shared" si="0"/>
        <v>5</v>
      </c>
    </row>
    <row r="9" spans="1:19" x14ac:dyDescent="0.3">
      <c r="H9" s="5" t="s">
        <v>434</v>
      </c>
      <c r="I9" s="41"/>
      <c r="J9" s="20">
        <v>-270</v>
      </c>
      <c r="L9" s="44">
        <f t="shared" si="0"/>
        <v>-3</v>
      </c>
    </row>
    <row r="10" spans="1:19" x14ac:dyDescent="0.3">
      <c r="H10" s="5" t="s">
        <v>434</v>
      </c>
      <c r="I10" s="41"/>
      <c r="J10" s="20"/>
      <c r="K10" s="11">
        <v>65</v>
      </c>
      <c r="L10" s="44">
        <f t="shared" si="0"/>
        <v>65</v>
      </c>
    </row>
    <row r="11" spans="1:19" s="6" customFormat="1" x14ac:dyDescent="0.3">
      <c r="A11" s="2"/>
      <c r="B11" s="2"/>
      <c r="C11" s="2"/>
      <c r="D11" s="2"/>
      <c r="E11" s="2"/>
      <c r="F11" s="2"/>
      <c r="G11" s="2"/>
      <c r="H11" s="5" t="s">
        <v>434</v>
      </c>
      <c r="I11" s="42"/>
      <c r="J11" s="20"/>
      <c r="K11" s="11">
        <v>110</v>
      </c>
      <c r="L11" s="44">
        <f t="shared" si="0"/>
        <v>110</v>
      </c>
      <c r="N11" s="2"/>
      <c r="O11" s="2"/>
      <c r="P11" s="2"/>
      <c r="Q11" s="2"/>
      <c r="R11" s="2"/>
      <c r="S11" s="2"/>
    </row>
    <row r="12" spans="1:19" s="6" customFormat="1" x14ac:dyDescent="0.3">
      <c r="A12" s="2"/>
      <c r="B12" s="2"/>
      <c r="C12" s="2"/>
      <c r="D12" s="2"/>
      <c r="E12" s="2"/>
      <c r="F12" s="2"/>
      <c r="G12" s="2"/>
      <c r="H12" s="5" t="s">
        <v>434</v>
      </c>
      <c r="I12" s="41"/>
      <c r="J12" s="20">
        <v>200</v>
      </c>
      <c r="K12" s="11"/>
      <c r="L12" s="44">
        <f t="shared" si="0"/>
        <v>2.2222222222222223</v>
      </c>
      <c r="N12" s="2"/>
      <c r="O12" s="2"/>
      <c r="P12" s="2"/>
      <c r="Q12" s="2"/>
      <c r="R12" s="2"/>
      <c r="S12" s="2"/>
    </row>
    <row r="13" spans="1:19" s="6" customFormat="1" x14ac:dyDescent="0.3">
      <c r="A13" s="2"/>
      <c r="B13" s="2"/>
      <c r="C13" s="2"/>
      <c r="D13" s="2"/>
      <c r="E13" s="2"/>
      <c r="F13" s="2"/>
      <c r="G13" s="2"/>
      <c r="H13" s="5" t="s">
        <v>434</v>
      </c>
      <c r="I13" s="41"/>
      <c r="J13" s="20">
        <v>200</v>
      </c>
      <c r="K13" s="11"/>
      <c r="L13" s="44">
        <f t="shared" si="0"/>
        <v>2.2222222222222223</v>
      </c>
      <c r="N13" s="2"/>
      <c r="O13" s="2"/>
      <c r="P13" s="2"/>
      <c r="Q13" s="2"/>
      <c r="R13" s="2"/>
      <c r="S13" s="2"/>
    </row>
    <row r="14" spans="1:19" s="6" customFormat="1" x14ac:dyDescent="0.3">
      <c r="A14" s="2"/>
      <c r="B14" s="2"/>
      <c r="C14" s="2"/>
      <c r="D14" s="2"/>
      <c r="E14" s="2"/>
      <c r="F14" s="2"/>
      <c r="G14" s="2"/>
      <c r="H14" s="5" t="s">
        <v>434</v>
      </c>
      <c r="I14" s="41"/>
      <c r="J14" s="20"/>
      <c r="K14" s="11">
        <v>-10</v>
      </c>
      <c r="L14" s="44">
        <f t="shared" si="0"/>
        <v>-10</v>
      </c>
      <c r="N14" s="2"/>
      <c r="O14" s="2"/>
      <c r="P14" s="2"/>
      <c r="Q14" s="2"/>
      <c r="R14" s="2"/>
      <c r="S14" s="2"/>
    </row>
    <row r="15" spans="1:19" s="6" customFormat="1" x14ac:dyDescent="0.3">
      <c r="A15" s="2"/>
      <c r="B15" s="2"/>
      <c r="C15" s="2"/>
      <c r="D15" s="2"/>
      <c r="E15" s="2"/>
      <c r="F15" s="2"/>
      <c r="G15" s="2"/>
      <c r="H15" s="5" t="s">
        <v>434</v>
      </c>
      <c r="I15" s="41"/>
      <c r="J15" s="20">
        <v>-900</v>
      </c>
      <c r="K15" s="11">
        <v>200</v>
      </c>
      <c r="L15" s="44">
        <f t="shared" si="0"/>
        <v>190</v>
      </c>
      <c r="N15" s="2"/>
      <c r="O15" s="2"/>
      <c r="P15" s="2"/>
      <c r="Q15" s="2"/>
      <c r="R15" s="2"/>
      <c r="S15" s="2"/>
    </row>
    <row r="16" spans="1:19" s="6" customFormat="1" x14ac:dyDescent="0.3">
      <c r="A16" s="2"/>
      <c r="B16" s="2"/>
      <c r="C16" s="2"/>
      <c r="D16" s="2"/>
      <c r="E16" s="2"/>
      <c r="F16" s="2"/>
      <c r="G16" s="2"/>
      <c r="H16" s="5" t="s">
        <v>434</v>
      </c>
      <c r="I16" s="41"/>
      <c r="J16" s="20"/>
      <c r="K16" s="11"/>
      <c r="L16" s="44">
        <f t="shared" si="0"/>
        <v>0</v>
      </c>
      <c r="N16" s="2"/>
      <c r="O16" s="2"/>
      <c r="P16" s="2"/>
      <c r="Q16" s="2"/>
      <c r="R16" s="2"/>
      <c r="S16" s="2"/>
    </row>
    <row r="17" spans="1:19" s="6" customFormat="1" x14ac:dyDescent="0.3">
      <c r="A17" s="2"/>
      <c r="B17" s="2"/>
      <c r="C17" s="2"/>
      <c r="D17" s="2"/>
      <c r="E17" s="2"/>
      <c r="F17" s="2"/>
      <c r="G17" s="2"/>
      <c r="H17" s="5" t="s">
        <v>434</v>
      </c>
      <c r="I17" s="41"/>
      <c r="J17" s="20"/>
      <c r="K17" s="11"/>
      <c r="L17" s="44">
        <f t="shared" si="0"/>
        <v>0</v>
      </c>
      <c r="N17" s="2"/>
      <c r="O17" s="2"/>
      <c r="P17" s="2"/>
      <c r="Q17" s="2"/>
      <c r="R17" s="2"/>
      <c r="S17" s="2"/>
    </row>
    <row r="18" spans="1:19" s="6" customFormat="1" x14ac:dyDescent="0.3">
      <c r="A18" s="2" t="s">
        <v>530</v>
      </c>
      <c r="B18" s="2"/>
      <c r="C18" s="2"/>
      <c r="D18" s="2"/>
      <c r="E18" s="2"/>
      <c r="F18" s="2"/>
      <c r="G18" s="2"/>
      <c r="H18" s="5" t="s">
        <v>434</v>
      </c>
      <c r="I18" s="41"/>
      <c r="J18" s="20"/>
      <c r="K18" s="11"/>
      <c r="L18" s="44">
        <f t="shared" si="0"/>
        <v>0</v>
      </c>
      <c r="N18" s="2"/>
      <c r="O18" s="2"/>
      <c r="P18" s="2"/>
      <c r="Q18" s="2"/>
      <c r="R18" s="2"/>
      <c r="S18" s="2"/>
    </row>
    <row r="19" spans="1:19" s="6" customFormat="1" x14ac:dyDescent="0.3">
      <c r="A19" s="49" t="s">
        <v>574</v>
      </c>
      <c r="B19" s="2"/>
      <c r="C19" s="2"/>
      <c r="D19" s="2"/>
      <c r="E19" s="2"/>
      <c r="F19" s="2"/>
      <c r="G19" s="2"/>
      <c r="H19" s="2"/>
      <c r="I19" s="39"/>
      <c r="J19" s="7"/>
      <c r="K19" s="11"/>
      <c r="N19" s="2"/>
      <c r="O19" s="2"/>
      <c r="P19" s="2"/>
      <c r="Q19" s="2"/>
      <c r="R19" s="2"/>
      <c r="S19" s="2"/>
    </row>
    <row r="20" spans="1:19" x14ac:dyDescent="0.3">
      <c r="A20" s="65" t="s">
        <v>29</v>
      </c>
      <c r="B20" s="65"/>
      <c r="C20" s="65"/>
      <c r="D20" s="65"/>
      <c r="E20" s="65"/>
      <c r="F20" s="65"/>
      <c r="I20" s="39" t="s">
        <v>38</v>
      </c>
      <c r="J20" s="7">
        <f>SUM(Table134567810111213141516171819202122232425262728303132[اللبناني])</f>
        <v>-1290</v>
      </c>
      <c r="K20" s="7">
        <f>SUM(Table134567810111213141516171819202122232425262728303132[الدولار])</f>
        <v>-94</v>
      </c>
      <c r="L20" s="7">
        <f>SUM(Table134567810111213141516171819202122232425262728303132[مبيع $])</f>
        <v>-108.33333333333445</v>
      </c>
      <c r="N20" s="65" t="s">
        <v>33</v>
      </c>
      <c r="O20" s="65"/>
      <c r="P20" s="65"/>
      <c r="Q20" s="65"/>
      <c r="R20" s="65"/>
      <c r="S20" s="65"/>
    </row>
    <row r="21" spans="1:19" x14ac:dyDescent="0.3">
      <c r="A21" s="1" t="s">
        <v>2</v>
      </c>
      <c r="B21" s="1" t="s">
        <v>0</v>
      </c>
      <c r="C21" s="1" t="s">
        <v>1</v>
      </c>
      <c r="D21" s="1" t="s">
        <v>3</v>
      </c>
      <c r="E21" s="1" t="s">
        <v>0</v>
      </c>
      <c r="F21" s="1" t="s">
        <v>1</v>
      </c>
      <c r="H21" s="2" t="s">
        <v>426</v>
      </c>
      <c r="I21" s="40" t="s">
        <v>6</v>
      </c>
      <c r="J21" s="3" t="s">
        <v>5</v>
      </c>
      <c r="K21" s="12" t="s">
        <v>4</v>
      </c>
      <c r="L21" s="12" t="s">
        <v>415</v>
      </c>
      <c r="M21" s="2"/>
      <c r="N21" s="1" t="s">
        <v>2</v>
      </c>
      <c r="O21" s="1" t="s">
        <v>0</v>
      </c>
      <c r="P21" s="1" t="s">
        <v>1</v>
      </c>
      <c r="Q21" s="1" t="s">
        <v>3</v>
      </c>
      <c r="R21" s="1" t="s">
        <v>0</v>
      </c>
      <c r="S21" s="1" t="s">
        <v>1</v>
      </c>
    </row>
    <row r="22" spans="1:19" x14ac:dyDescent="0.3">
      <c r="A22" s="15">
        <v>1</v>
      </c>
      <c r="B22" s="2">
        <v>8</v>
      </c>
      <c r="C22" s="21">
        <f>A22*B22</f>
        <v>8</v>
      </c>
      <c r="D22" s="17">
        <v>5</v>
      </c>
      <c r="E22" s="2">
        <v>37</v>
      </c>
      <c r="F22" s="23">
        <f>D22*E22</f>
        <v>185</v>
      </c>
      <c r="G22" s="5"/>
      <c r="H22" s="5" t="s">
        <v>434</v>
      </c>
      <c r="I22" s="41" t="s">
        <v>575</v>
      </c>
      <c r="J22" s="20">
        <v>-900</v>
      </c>
      <c r="K22" s="11">
        <v>10</v>
      </c>
      <c r="L22" s="44">
        <f>Table134567810111213141516171819202122232425262728303132[[#This Row],[الدولار]]+(Table134567810111213141516171819202122232425262728303132[[#This Row],[اللبناني]]/90)</f>
        <v>0</v>
      </c>
      <c r="N22" s="15">
        <v>1</v>
      </c>
      <c r="O22" s="2">
        <v>7</v>
      </c>
      <c r="P22" s="21">
        <f>N22*O22</f>
        <v>7</v>
      </c>
      <c r="Q22" s="17">
        <v>5</v>
      </c>
      <c r="R22" s="2">
        <v>34</v>
      </c>
      <c r="S22" s="23">
        <f>Q22*R22</f>
        <v>170</v>
      </c>
    </row>
    <row r="23" spans="1:19" x14ac:dyDescent="0.3">
      <c r="A23" s="15">
        <v>5</v>
      </c>
      <c r="B23" s="2">
        <v>2</v>
      </c>
      <c r="C23" s="21">
        <f t="shared" ref="C23:C27" si="1">A23*B23</f>
        <v>10</v>
      </c>
      <c r="D23" s="17">
        <v>10</v>
      </c>
      <c r="E23" s="2">
        <v>20</v>
      </c>
      <c r="F23" s="23">
        <f t="shared" ref="F23:F26" si="2">D23*E23</f>
        <v>200</v>
      </c>
      <c r="G23" s="5"/>
      <c r="H23" s="5" t="s">
        <v>434</v>
      </c>
      <c r="I23" s="41" t="s">
        <v>251</v>
      </c>
      <c r="J23" s="20">
        <v>-225</v>
      </c>
      <c r="K23" s="11">
        <v>20</v>
      </c>
      <c r="L23" s="44">
        <f>Table134567810111213141516171819202122232425262728303132[[#This Row],[الدولار]]+(Table134567810111213141516171819202122232425262728303132[[#This Row],[اللبناني]]/90)</f>
        <v>17.5</v>
      </c>
      <c r="N23" s="15">
        <v>5</v>
      </c>
      <c r="O23" s="2">
        <v>2</v>
      </c>
      <c r="P23" s="21">
        <f t="shared" ref="P23:P27" si="3">N23*O23</f>
        <v>10</v>
      </c>
      <c r="Q23" s="17">
        <v>10</v>
      </c>
      <c r="R23" s="2">
        <v>19</v>
      </c>
      <c r="S23" s="23">
        <f t="shared" ref="S23:S26" si="4">Q23*R23</f>
        <v>190</v>
      </c>
    </row>
    <row r="24" spans="1:19" x14ac:dyDescent="0.3">
      <c r="A24" s="15">
        <v>10</v>
      </c>
      <c r="B24" s="2">
        <v>23</v>
      </c>
      <c r="C24" s="21">
        <f t="shared" si="1"/>
        <v>230</v>
      </c>
      <c r="D24" s="17">
        <v>20</v>
      </c>
      <c r="E24" s="2">
        <v>20</v>
      </c>
      <c r="F24" s="23">
        <f t="shared" si="2"/>
        <v>400</v>
      </c>
      <c r="G24" s="5"/>
      <c r="H24" s="5" t="s">
        <v>434</v>
      </c>
      <c r="I24" s="41" t="s">
        <v>216</v>
      </c>
      <c r="J24" s="20">
        <v>940</v>
      </c>
      <c r="L24" s="44">
        <f>Table134567810111213141516171819202122232425262728303132[[#This Row],[الدولار]]+(Table134567810111213141516171819202122232425262728303132[[#This Row],[اللبناني]]/90)</f>
        <v>10.444444444444445</v>
      </c>
      <c r="N24" s="15">
        <v>10</v>
      </c>
      <c r="O24" s="2">
        <v>27</v>
      </c>
      <c r="P24" s="21">
        <f t="shared" si="3"/>
        <v>270</v>
      </c>
      <c r="Q24" s="17">
        <v>20</v>
      </c>
      <c r="R24" s="2">
        <v>26</v>
      </c>
      <c r="S24" s="23">
        <f t="shared" si="4"/>
        <v>520</v>
      </c>
    </row>
    <row r="25" spans="1:19" x14ac:dyDescent="0.3">
      <c r="A25" s="15">
        <v>20</v>
      </c>
      <c r="B25" s="2">
        <v>22</v>
      </c>
      <c r="C25" s="21">
        <f t="shared" si="1"/>
        <v>440</v>
      </c>
      <c r="D25" s="17">
        <v>50</v>
      </c>
      <c r="E25" s="2">
        <v>2</v>
      </c>
      <c r="F25" s="23">
        <f t="shared" si="2"/>
        <v>100</v>
      </c>
      <c r="G25" s="5"/>
      <c r="H25" s="5" t="s">
        <v>435</v>
      </c>
      <c r="I25" s="41" t="s">
        <v>104</v>
      </c>
      <c r="J25" s="20">
        <v>-300</v>
      </c>
      <c r="L25" s="44">
        <f>Table134567810111213141516171819202122232425262728303132[[#This Row],[الدولار]]+(Table134567810111213141516171819202122232425262728303132[[#This Row],[اللبناني]]/90)</f>
        <v>-3.3333333333333335</v>
      </c>
      <c r="N25" s="15">
        <v>20</v>
      </c>
      <c r="O25" s="2">
        <v>24</v>
      </c>
      <c r="P25" s="21">
        <f t="shared" si="3"/>
        <v>480</v>
      </c>
      <c r="Q25" s="17">
        <v>50</v>
      </c>
      <c r="R25" s="2">
        <v>1</v>
      </c>
      <c r="S25" s="23">
        <f t="shared" si="4"/>
        <v>50</v>
      </c>
    </row>
    <row r="26" spans="1:19" x14ac:dyDescent="0.3">
      <c r="A26" s="15">
        <v>50</v>
      </c>
      <c r="B26" s="2">
        <v>1</v>
      </c>
      <c r="C26" s="21">
        <f t="shared" si="1"/>
        <v>50</v>
      </c>
      <c r="D26" s="17">
        <v>100</v>
      </c>
      <c r="E26" s="2">
        <v>70</v>
      </c>
      <c r="F26" s="23">
        <f t="shared" si="2"/>
        <v>7000</v>
      </c>
      <c r="G26" s="5"/>
      <c r="H26" s="5" t="s">
        <v>434</v>
      </c>
      <c r="I26" s="42" t="s">
        <v>576</v>
      </c>
      <c r="J26" s="20">
        <v>18100</v>
      </c>
      <c r="L26" s="44">
        <f>Table134567810111213141516171819202122232425262728303132[[#This Row],[الدولار]]+(Table134567810111213141516171819202122232425262728303132[[#This Row],[اللبناني]]/90)</f>
        <v>201.11111111111111</v>
      </c>
      <c r="N26" s="15">
        <v>50</v>
      </c>
      <c r="O26" s="2">
        <v>7</v>
      </c>
      <c r="P26" s="21">
        <f t="shared" si="3"/>
        <v>350</v>
      </c>
      <c r="Q26" s="17">
        <v>100</v>
      </c>
      <c r="R26" s="2">
        <v>66</v>
      </c>
      <c r="S26" s="23">
        <f t="shared" si="4"/>
        <v>6600</v>
      </c>
    </row>
    <row r="27" spans="1:19" x14ac:dyDescent="0.3">
      <c r="A27" s="15">
        <v>100</v>
      </c>
      <c r="B27" s="2">
        <v>4</v>
      </c>
      <c r="C27" s="21">
        <f t="shared" si="1"/>
        <v>400</v>
      </c>
      <c r="D27" s="1" t="s">
        <v>1</v>
      </c>
      <c r="E27" s="1"/>
      <c r="F27" s="19">
        <f>SUM(F22:F26)</f>
        <v>7885</v>
      </c>
      <c r="G27" s="5"/>
      <c r="H27" s="5" t="s">
        <v>434</v>
      </c>
      <c r="I27" s="41" t="s">
        <v>463</v>
      </c>
      <c r="J27" s="20">
        <v>400</v>
      </c>
      <c r="K27" s="11">
        <v>5</v>
      </c>
      <c r="L27" s="44">
        <f>Table134567810111213141516171819202122232425262728303132[[#This Row],[الدولار]]+(Table134567810111213141516171819202122232425262728303132[[#This Row],[اللبناني]]/90)</f>
        <v>9.4444444444444446</v>
      </c>
      <c r="N27" s="15">
        <v>100</v>
      </c>
      <c r="O27" s="2">
        <v>18</v>
      </c>
      <c r="P27" s="21">
        <f t="shared" si="3"/>
        <v>1800</v>
      </c>
      <c r="Q27" s="1" t="s">
        <v>1</v>
      </c>
      <c r="R27" s="1"/>
      <c r="S27" s="19">
        <f>SUM(S22:S26)</f>
        <v>7530</v>
      </c>
    </row>
    <row r="28" spans="1:19" x14ac:dyDescent="0.3">
      <c r="A28" s="1" t="s">
        <v>1</v>
      </c>
      <c r="B28" s="1"/>
      <c r="C28" s="22">
        <f>SUM(C22:C27)</f>
        <v>1138</v>
      </c>
      <c r="H28" s="5" t="s">
        <v>434</v>
      </c>
      <c r="I28" s="41"/>
      <c r="J28" s="20">
        <v>75</v>
      </c>
      <c r="L28" s="44">
        <f>Table134567810111213141516171819202122232425262728303132[[#This Row],[الدولار]]+(Table134567810111213141516171819202122232425262728303132[[#This Row],[اللبناني]]/90)</f>
        <v>0.83333333333333337</v>
      </c>
      <c r="N28" s="1" t="s">
        <v>1</v>
      </c>
      <c r="O28" s="1"/>
      <c r="P28" s="22">
        <f>SUM(P22:P27)</f>
        <v>2917</v>
      </c>
      <c r="S28" s="20"/>
    </row>
    <row r="29" spans="1:19" x14ac:dyDescent="0.3">
      <c r="B29" s="2">
        <v>0</v>
      </c>
      <c r="C29" s="27"/>
      <c r="D29" s="66" t="s">
        <v>40</v>
      </c>
      <c r="E29" s="66"/>
      <c r="F29" s="24">
        <f ca="1">INDIRECT("'"&amp;$A$19&amp;"'!J20")+J1</f>
        <v>815</v>
      </c>
      <c r="H29" s="5" t="s">
        <v>436</v>
      </c>
      <c r="I29" s="41" t="s">
        <v>549</v>
      </c>
      <c r="J29" s="20">
        <v>-20000</v>
      </c>
      <c r="L29" s="44">
        <f>Table134567810111213141516171819202122232425262728303132[[#This Row],[الدولار]]+(Table134567810111213141516171819202122232425262728303132[[#This Row],[اللبناني]]/90)</f>
        <v>-222.22222222222223</v>
      </c>
      <c r="P29" s="27"/>
      <c r="Q29" s="66" t="s">
        <v>40</v>
      </c>
      <c r="R29" s="66"/>
      <c r="S29" s="24">
        <f>SUM(Table134567810111213141516171819202122232425262728303132[اللبناني])</f>
        <v>-1290</v>
      </c>
    </row>
    <row r="30" spans="1:19" x14ac:dyDescent="0.3">
      <c r="A30" s="66" t="s">
        <v>39</v>
      </c>
      <c r="B30" s="66"/>
      <c r="C30" s="12">
        <f ca="1">INDIRECT("'"&amp;$A$19&amp;"'!K20")+K1</f>
        <v>-6001</v>
      </c>
      <c r="F30" s="20"/>
      <c r="H30" s="5" t="s">
        <v>434</v>
      </c>
      <c r="I30" s="41" t="s">
        <v>393</v>
      </c>
      <c r="J30" s="20">
        <v>200</v>
      </c>
      <c r="L30" s="44">
        <f>Table134567810111213141516171819202122232425262728303132[[#This Row],[الدولار]]+(Table134567810111213141516171819202122232425262728303132[[#This Row],[اللبناني]]/90)</f>
        <v>2.2222222222222223</v>
      </c>
      <c r="N30" s="66" t="s">
        <v>39</v>
      </c>
      <c r="O30" s="66"/>
      <c r="P30" s="12">
        <f>SUM(Table134567810111213141516171819202122232425262728303132[الدولار])</f>
        <v>-94</v>
      </c>
      <c r="S30" s="20"/>
    </row>
    <row r="31" spans="1:19" x14ac:dyDescent="0.3">
      <c r="C31" s="27"/>
      <c r="D31" s="1" t="s">
        <v>27</v>
      </c>
      <c r="E31" s="1"/>
      <c r="F31" s="24">
        <f ca="1">F27-F29-INDIRECT("'"&amp;$A$19&amp;"'!f27")</f>
        <v>0</v>
      </c>
      <c r="H31" s="5" t="s">
        <v>434</v>
      </c>
      <c r="I31" s="41" t="s">
        <v>254</v>
      </c>
      <c r="J31" s="20"/>
      <c r="K31" s="11">
        <v>10</v>
      </c>
      <c r="L31" s="44">
        <f>Table134567810111213141516171819202122232425262728303132[[#This Row],[الدولار]]+(Table134567810111213141516171819202122232425262728303132[[#This Row],[اللبناني]]/90)</f>
        <v>10</v>
      </c>
      <c r="P31" s="27"/>
      <c r="Q31" s="1" t="s">
        <v>27</v>
      </c>
      <c r="R31" s="1"/>
      <c r="S31" s="24">
        <f>S27-S29-F27</f>
        <v>935</v>
      </c>
    </row>
    <row r="32" spans="1:19" x14ac:dyDescent="0.3">
      <c r="A32" s="1" t="s">
        <v>27</v>
      </c>
      <c r="B32" s="1"/>
      <c r="C32" s="12">
        <f ca="1">C28-C30-INDIRECT("'"&amp;$A$19&amp;"'!c28")</f>
        <v>0</v>
      </c>
      <c r="H32" s="5" t="s">
        <v>434</v>
      </c>
      <c r="I32" s="41" t="s">
        <v>254</v>
      </c>
      <c r="J32" s="20">
        <v>-180</v>
      </c>
      <c r="K32" s="11">
        <v>10</v>
      </c>
      <c r="L32" s="44">
        <f>Table134567810111213141516171819202122232425262728303132[[#This Row],[الدولار]]+(Table134567810111213141516171819202122232425262728303132[[#This Row],[اللبناني]]/90)</f>
        <v>8</v>
      </c>
      <c r="N32" s="1" t="s">
        <v>27</v>
      </c>
      <c r="O32" s="1"/>
      <c r="P32" s="12">
        <f>P28-P30-C28</f>
        <v>1873</v>
      </c>
    </row>
    <row r="33" spans="3:13" x14ac:dyDescent="0.3">
      <c r="C33" s="14"/>
      <c r="D33" s="14"/>
      <c r="F33" s="14"/>
      <c r="H33" s="5" t="s">
        <v>434</v>
      </c>
      <c r="I33" s="43" t="s">
        <v>101</v>
      </c>
      <c r="J33" s="18"/>
      <c r="K33" s="11">
        <v>90</v>
      </c>
      <c r="L33" s="44">
        <f>Table134567810111213141516171819202122232425262728303132[[#This Row],[الدولار]]+(Table134567810111213141516171819202122232425262728303132[[#This Row],[اللبناني]]/90)</f>
        <v>90</v>
      </c>
    </row>
    <row r="34" spans="3:13" x14ac:dyDescent="0.3">
      <c r="C34" s="14"/>
      <c r="D34" s="14"/>
      <c r="F34" s="14"/>
      <c r="H34" s="5" t="s">
        <v>434</v>
      </c>
      <c r="I34" s="43" t="s">
        <v>394</v>
      </c>
      <c r="J34" s="18">
        <v>50</v>
      </c>
      <c r="K34" s="11">
        <v>10</v>
      </c>
      <c r="L34" s="44">
        <f>Table134567810111213141516171819202122232425262728303132[[#This Row],[الدولار]]+(Table134567810111213141516171819202122232425262728303132[[#This Row],[اللبناني]]/90)</f>
        <v>10.555555555555555</v>
      </c>
    </row>
    <row r="35" spans="3:13" x14ac:dyDescent="0.3">
      <c r="C35" s="14"/>
      <c r="D35" s="14"/>
      <c r="F35" s="14"/>
      <c r="H35" s="5" t="s">
        <v>434</v>
      </c>
      <c r="I35" s="41" t="s">
        <v>572</v>
      </c>
      <c r="J35" s="18"/>
      <c r="K35" s="11">
        <v>34</v>
      </c>
      <c r="L35" s="44">
        <f>Table134567810111213141516171819202122232425262728303132[[#This Row],[الدولار]]+(Table134567810111213141516171819202122232425262728303132[[#This Row],[اللبناني]]/90)</f>
        <v>34</v>
      </c>
    </row>
    <row r="36" spans="3:13" s="11" customFormat="1" x14ac:dyDescent="0.3">
      <c r="C36" s="14"/>
      <c r="D36" s="14"/>
      <c r="E36" s="2"/>
      <c r="F36" s="14"/>
      <c r="G36" s="2"/>
      <c r="H36" s="5" t="s">
        <v>434</v>
      </c>
      <c r="I36" s="43" t="s">
        <v>216</v>
      </c>
      <c r="J36" s="20"/>
      <c r="K36" s="11">
        <v>130</v>
      </c>
      <c r="L36" s="44">
        <f>Table134567810111213141516171819202122232425262728303132[[#This Row],[الدولار]]+(Table134567810111213141516171819202122232425262728303132[[#This Row],[اللبناني]]/90)</f>
        <v>130</v>
      </c>
      <c r="M36" s="6"/>
    </row>
    <row r="37" spans="3:13" s="11" customFormat="1" x14ac:dyDescent="0.3">
      <c r="C37" s="14"/>
      <c r="D37" s="2"/>
      <c r="E37" s="2"/>
      <c r="F37" s="14"/>
      <c r="G37" s="2"/>
      <c r="H37" s="5" t="s">
        <v>434</v>
      </c>
      <c r="I37" s="43" t="s">
        <v>577</v>
      </c>
      <c r="J37" s="20">
        <v>500</v>
      </c>
      <c r="L37" s="44">
        <f>Table134567810111213141516171819202122232425262728303132[[#This Row],[الدولار]]+(Table134567810111213141516171819202122232425262728303132[[#This Row],[اللبناني]]/90)</f>
        <v>5.5555555555555554</v>
      </c>
      <c r="M37" s="6"/>
    </row>
    <row r="38" spans="3:13" s="11" customFormat="1" x14ac:dyDescent="0.3">
      <c r="C38" s="14"/>
      <c r="D38" s="2"/>
      <c r="E38" s="2"/>
      <c r="F38" s="2"/>
      <c r="G38" s="2"/>
      <c r="H38" s="5" t="s">
        <v>434</v>
      </c>
      <c r="I38" s="43" t="s">
        <v>274</v>
      </c>
      <c r="J38" s="20">
        <v>150</v>
      </c>
      <c r="L38" s="44">
        <f>Table134567810111213141516171819202122232425262728303132[[#This Row],[الدولار]]+(Table134567810111213141516171819202122232425262728303132[[#This Row],[اللبناني]]/90)</f>
        <v>1.6666666666666667</v>
      </c>
      <c r="M38" s="6"/>
    </row>
    <row r="39" spans="3:13" s="11" customFormat="1" x14ac:dyDescent="0.3">
      <c r="C39" s="2"/>
      <c r="D39" s="2"/>
      <c r="E39" s="2"/>
      <c r="F39" s="6"/>
      <c r="G39" s="2"/>
      <c r="H39" s="5" t="s">
        <v>434</v>
      </c>
      <c r="I39" s="41" t="s">
        <v>578</v>
      </c>
      <c r="J39" s="20">
        <v>-270</v>
      </c>
      <c r="K39" s="11">
        <v>40</v>
      </c>
      <c r="L39" s="44">
        <f>Table134567810111213141516171819202122232425262728303132[[#This Row],[الدولار]]+(Table134567810111213141516171819202122232425262728303132[[#This Row],[اللبناني]]/90)</f>
        <v>37</v>
      </c>
      <c r="M39" s="6"/>
    </row>
    <row r="40" spans="3:13" s="11" customFormat="1" x14ac:dyDescent="0.3">
      <c r="C40" s="6"/>
      <c r="D40" s="2"/>
      <c r="E40" s="2"/>
      <c r="F40" s="2"/>
      <c r="G40" s="2"/>
      <c r="H40" s="5" t="s">
        <v>434</v>
      </c>
      <c r="I40" s="41" t="s">
        <v>579</v>
      </c>
      <c r="J40" s="20">
        <v>70</v>
      </c>
      <c r="L40" s="44">
        <f>Table134567810111213141516171819202122232425262728303132[[#This Row],[الدولار]]+(Table134567810111213141516171819202122232425262728303132[[#This Row],[اللبناني]]/90)</f>
        <v>0.77777777777777779</v>
      </c>
      <c r="M40" s="6"/>
    </row>
    <row r="41" spans="3:13" s="11" customFormat="1" x14ac:dyDescent="0.3">
      <c r="C41" s="2"/>
      <c r="D41" s="2"/>
      <c r="E41" s="2"/>
      <c r="F41" s="6"/>
      <c r="G41" s="2"/>
      <c r="H41" s="5" t="s">
        <v>434</v>
      </c>
      <c r="I41" s="41" t="s">
        <v>490</v>
      </c>
      <c r="J41" s="20">
        <v>250</v>
      </c>
      <c r="L41" s="44">
        <f>Table134567810111213141516171819202122232425262728303132[[#This Row],[الدولار]]+(Table134567810111213141516171819202122232425262728303132[[#This Row],[اللبناني]]/90)</f>
        <v>2.7777777777777777</v>
      </c>
      <c r="M41" s="6"/>
    </row>
    <row r="42" spans="3:13" s="11" customFormat="1" x14ac:dyDescent="0.3">
      <c r="C42" s="6"/>
      <c r="D42" s="2"/>
      <c r="E42" s="2"/>
      <c r="F42" s="2"/>
      <c r="G42" s="2"/>
      <c r="H42" s="5" t="s">
        <v>434</v>
      </c>
      <c r="I42" s="41" t="s">
        <v>579</v>
      </c>
      <c r="J42" s="20">
        <v>70</v>
      </c>
      <c r="L42" s="44">
        <f>Table134567810111213141516171819202122232425262728303132[[#This Row],[الدولار]]+(Table134567810111213141516171819202122232425262728303132[[#This Row],[اللبناني]]/90)</f>
        <v>0.77777777777777779</v>
      </c>
      <c r="M42" s="6"/>
    </row>
    <row r="43" spans="3:13" s="11" customFormat="1" x14ac:dyDescent="0.3">
      <c r="C43" s="2"/>
      <c r="D43" s="2"/>
      <c r="E43" s="2"/>
      <c r="F43" s="2"/>
      <c r="G43" s="2"/>
      <c r="H43" s="5" t="s">
        <v>434</v>
      </c>
      <c r="I43" s="41" t="s">
        <v>580</v>
      </c>
      <c r="J43" s="20"/>
      <c r="K43" s="11">
        <v>107</v>
      </c>
      <c r="L43" s="44">
        <f>Table134567810111213141516171819202122232425262728303132[[#This Row],[الدولار]]+(Table134567810111213141516171819202122232425262728303132[[#This Row],[اللبناني]]/90)</f>
        <v>107</v>
      </c>
      <c r="M43" s="6"/>
    </row>
    <row r="44" spans="3:13" s="11" customFormat="1" x14ac:dyDescent="0.3">
      <c r="C44" s="2"/>
      <c r="D44" s="2"/>
      <c r="E44" s="2"/>
      <c r="F44" s="2"/>
      <c r="G44" s="2"/>
      <c r="H44" s="5" t="s">
        <v>434</v>
      </c>
      <c r="I44" s="41"/>
      <c r="J44" s="20">
        <v>100</v>
      </c>
      <c r="L44" s="44">
        <f>Table134567810111213141516171819202122232425262728303132[[#This Row],[الدولار]]+(Table134567810111213141516171819202122232425262728303132[[#This Row],[اللبناني]]/90)</f>
        <v>1.1111111111111112</v>
      </c>
      <c r="M44" s="6"/>
    </row>
    <row r="45" spans="3:13" s="11" customFormat="1" x14ac:dyDescent="0.3">
      <c r="C45" s="2"/>
      <c r="D45" s="2"/>
      <c r="E45" s="2"/>
      <c r="F45" s="2"/>
      <c r="G45" s="2"/>
      <c r="H45" s="5" t="s">
        <v>434</v>
      </c>
      <c r="I45" s="41" t="s">
        <v>581</v>
      </c>
      <c r="J45" s="20"/>
      <c r="K45" s="11">
        <v>3</v>
      </c>
      <c r="L45" s="44">
        <f>Table134567810111213141516171819202122232425262728303132[[#This Row],[الدولار]]+(Table134567810111213141516171819202122232425262728303132[[#This Row],[اللبناني]]/90)</f>
        <v>3</v>
      </c>
      <c r="M45" s="6"/>
    </row>
    <row r="46" spans="3:13" s="11" customFormat="1" x14ac:dyDescent="0.3">
      <c r="C46" s="2"/>
      <c r="D46" s="2"/>
      <c r="E46" s="2"/>
      <c r="F46" s="2"/>
      <c r="G46" s="2"/>
      <c r="H46" s="5" t="s">
        <v>434</v>
      </c>
      <c r="I46" s="41"/>
      <c r="J46" s="18">
        <v>350</v>
      </c>
      <c r="L46" s="44">
        <f>Table134567810111213141516171819202122232425262728303132[[#This Row],[الدولار]]+(Table134567810111213141516171819202122232425262728303132[[#This Row],[اللبناني]]/90)</f>
        <v>3.8888888888888888</v>
      </c>
      <c r="M46" s="6"/>
    </row>
    <row r="47" spans="3:13" s="11" customFormat="1" x14ac:dyDescent="0.3">
      <c r="C47" s="2"/>
      <c r="D47" s="2"/>
      <c r="E47" s="2"/>
      <c r="F47" s="2"/>
      <c r="G47" s="2"/>
      <c r="H47" s="5" t="s">
        <v>434</v>
      </c>
      <c r="I47" s="39"/>
      <c r="J47" s="18">
        <v>50</v>
      </c>
      <c r="L47" s="44">
        <f>Table134567810111213141516171819202122232425262728303132[[#This Row],[الدولار]]+(Table134567810111213141516171819202122232425262728303132[[#This Row],[اللبناني]]/90)</f>
        <v>0.55555555555555558</v>
      </c>
      <c r="M47" s="6"/>
    </row>
    <row r="48" spans="3:13" s="11" customFormat="1" x14ac:dyDescent="0.3">
      <c r="C48" s="2"/>
      <c r="D48" s="2"/>
      <c r="E48" s="2"/>
      <c r="F48" s="2"/>
      <c r="G48" s="2"/>
      <c r="H48" s="5" t="s">
        <v>434</v>
      </c>
      <c r="I48" s="39"/>
      <c r="J48" s="18"/>
      <c r="K48" s="11">
        <v>60</v>
      </c>
      <c r="L48" s="44">
        <f>Table134567810111213141516171819202122232425262728303132[[#This Row],[الدولار]]+(Table134567810111213141516171819202122232425262728303132[[#This Row],[اللبناني]]/90)</f>
        <v>60</v>
      </c>
      <c r="M48" s="6"/>
    </row>
    <row r="49" spans="3:19" s="11" customFormat="1" x14ac:dyDescent="0.3">
      <c r="C49" s="2"/>
      <c r="D49" s="2"/>
      <c r="E49" s="2"/>
      <c r="F49" s="2"/>
      <c r="G49" s="2"/>
      <c r="H49" s="5" t="s">
        <v>434</v>
      </c>
      <c r="I49" s="39" t="s">
        <v>583</v>
      </c>
      <c r="J49" s="18"/>
      <c r="K49" s="11">
        <v>110</v>
      </c>
      <c r="L49" s="44">
        <f>Table134567810111213141516171819202122232425262728303132[[#This Row],[الدولار]]+(Table134567810111213141516171819202122232425262728303132[[#This Row],[اللبناني]]/90)</f>
        <v>110</v>
      </c>
      <c r="M49" s="6"/>
      <c r="S49" s="19"/>
    </row>
    <row r="50" spans="3:19" s="11" customFormat="1" x14ac:dyDescent="0.3">
      <c r="C50" s="2"/>
      <c r="D50" s="2"/>
      <c r="E50" s="2"/>
      <c r="F50" s="2"/>
      <c r="G50" s="2"/>
      <c r="H50" s="5" t="s">
        <v>434</v>
      </c>
      <c r="I50" s="39" t="s">
        <v>584</v>
      </c>
      <c r="J50" s="18"/>
      <c r="K50" s="11">
        <v>80</v>
      </c>
      <c r="L50" s="44">
        <f>Table134567810111213141516171819202122232425262728303132[[#This Row],[الدولار]]+(Table134567810111213141516171819202122232425262728303132[[#This Row],[اللبناني]]/90)</f>
        <v>80</v>
      </c>
      <c r="M50" s="6"/>
    </row>
    <row r="51" spans="3:19" s="11" customFormat="1" x14ac:dyDescent="0.3">
      <c r="C51" s="2"/>
      <c r="D51" s="2"/>
      <c r="E51" s="2"/>
      <c r="F51" s="2"/>
      <c r="G51" s="2"/>
      <c r="H51" s="5" t="s">
        <v>434</v>
      </c>
      <c r="I51" s="39" t="s">
        <v>394</v>
      </c>
      <c r="J51" s="18">
        <v>60</v>
      </c>
      <c r="L51" s="44">
        <f>Table134567810111213141516171819202122232425262728303132[[#This Row],[الدولار]]+(Table134567810111213141516171819202122232425262728303132[[#This Row],[اللبناني]]/90)</f>
        <v>0.66666666666666663</v>
      </c>
      <c r="M51" s="6"/>
    </row>
    <row r="52" spans="3:19" s="11" customFormat="1" x14ac:dyDescent="0.3">
      <c r="H52" s="5" t="s">
        <v>434</v>
      </c>
      <c r="I52" s="39" t="s">
        <v>585</v>
      </c>
      <c r="J52" s="18"/>
      <c r="K52" s="11">
        <v>63</v>
      </c>
      <c r="L52" s="44">
        <f>Table134567810111213141516171819202122232425262728303132[[#This Row],[الدولار]]+(Table134567810111213141516171819202122232425262728303132[[#This Row],[اللبناني]]/90)</f>
        <v>63</v>
      </c>
      <c r="M52" s="6"/>
    </row>
    <row r="53" spans="3:19" s="11" customFormat="1" x14ac:dyDescent="0.3">
      <c r="H53" s="5" t="s">
        <v>434</v>
      </c>
      <c r="I53" s="39" t="s">
        <v>49</v>
      </c>
      <c r="J53" s="18"/>
      <c r="K53" s="11">
        <v>25</v>
      </c>
      <c r="L53" s="44">
        <f>Table134567810111213141516171819202122232425262728303132[[#This Row],[الدولار]]+(Table134567810111213141516171819202122232425262728303132[[#This Row],[اللبناني]]/90)</f>
        <v>25</v>
      </c>
      <c r="M53" s="6"/>
    </row>
    <row r="54" spans="3:19" s="11" customFormat="1" x14ac:dyDescent="0.3">
      <c r="H54" s="5" t="s">
        <v>434</v>
      </c>
      <c r="I54" s="39" t="s">
        <v>586</v>
      </c>
      <c r="J54" s="18"/>
      <c r="K54" s="11">
        <v>500</v>
      </c>
      <c r="L54" s="44">
        <f>Table134567810111213141516171819202122232425262728303132[[#This Row],[الدولار]]+(Table134567810111213141516171819202122232425262728303132[[#This Row],[اللبناني]]/90)</f>
        <v>500</v>
      </c>
      <c r="M54" s="6"/>
    </row>
    <row r="55" spans="3:19" s="11" customFormat="1" x14ac:dyDescent="0.3">
      <c r="H55" s="5" t="s">
        <v>434</v>
      </c>
      <c r="I55" s="39" t="s">
        <v>207</v>
      </c>
      <c r="J55" s="18">
        <v>630</v>
      </c>
      <c r="L55" s="44">
        <f>Table134567810111213141516171819202122232425262728303132[[#This Row],[الدولار]]+(Table134567810111213141516171819202122232425262728303132[[#This Row],[اللبناني]]/90)</f>
        <v>7</v>
      </c>
      <c r="M55" s="6"/>
    </row>
    <row r="56" spans="3:19" s="11" customFormat="1" x14ac:dyDescent="0.3">
      <c r="H56" s="5" t="s">
        <v>434</v>
      </c>
      <c r="I56" s="39"/>
      <c r="J56" s="18">
        <v>50</v>
      </c>
      <c r="L56" s="44">
        <f>Table134567810111213141516171819202122232425262728303132[[#This Row],[الدولار]]+(Table134567810111213141516171819202122232425262728303132[[#This Row],[اللبناني]]/90)</f>
        <v>0.55555555555555558</v>
      </c>
      <c r="M56" s="6"/>
    </row>
    <row r="57" spans="3:19" s="11" customFormat="1" x14ac:dyDescent="0.3">
      <c r="H57" s="5" t="s">
        <v>434</v>
      </c>
      <c r="I57" s="39" t="s">
        <v>587</v>
      </c>
      <c r="J57" s="18"/>
      <c r="K57" s="11">
        <v>400</v>
      </c>
      <c r="L57" s="44">
        <f>Table134567810111213141516171819202122232425262728303132[[#This Row],[الدولار]]+(Table134567810111213141516171819202122232425262728303132[[#This Row],[اللبناني]]/90)</f>
        <v>400</v>
      </c>
      <c r="M57" s="6"/>
      <c r="N57" s="11" t="s">
        <v>193</v>
      </c>
      <c r="P57" s="22">
        <v>2856</v>
      </c>
      <c r="S57" s="19">
        <v>8155</v>
      </c>
    </row>
    <row r="58" spans="3:19" s="11" customFormat="1" x14ac:dyDescent="0.3">
      <c r="H58" s="5" t="s">
        <v>434</v>
      </c>
      <c r="I58" s="39" t="s">
        <v>429</v>
      </c>
      <c r="J58" s="18">
        <v>100</v>
      </c>
      <c r="K58" s="11">
        <v>11</v>
      </c>
      <c r="L58" s="44">
        <f>Table134567810111213141516171819202122232425262728303132[[#This Row],[الدولار]]+(Table134567810111213141516171819202122232425262728303132[[#This Row],[اللبناني]]/90)</f>
        <v>12.111111111111111</v>
      </c>
      <c r="M58" s="6"/>
      <c r="P58" s="22"/>
      <c r="S58" s="19"/>
    </row>
    <row r="59" spans="3:19" s="11" customFormat="1" x14ac:dyDescent="0.3">
      <c r="H59" s="5" t="s">
        <v>434</v>
      </c>
      <c r="I59" s="39"/>
      <c r="J59" s="18">
        <v>-500</v>
      </c>
      <c r="K59" s="11">
        <v>10</v>
      </c>
      <c r="L59" s="44">
        <f>Table134567810111213141516171819202122232425262728303132[[#This Row],[الدولار]]+(Table134567810111213141516171819202122232425262728303132[[#This Row],[اللبناني]]/90)</f>
        <v>4.4444444444444446</v>
      </c>
      <c r="M59" s="6"/>
    </row>
    <row r="60" spans="3:19" s="11" customFormat="1" x14ac:dyDescent="0.3">
      <c r="H60" s="5" t="s">
        <v>434</v>
      </c>
      <c r="I60" s="39" t="s">
        <v>588</v>
      </c>
      <c r="J60" s="18">
        <v>150</v>
      </c>
      <c r="L60" s="44">
        <f>Table134567810111213141516171819202122232425262728303132[[#This Row],[الدولار]]+(Table134567810111213141516171819202122232425262728303132[[#This Row],[اللبناني]]/90)</f>
        <v>1.6666666666666667</v>
      </c>
      <c r="M60" s="6"/>
    </row>
    <row r="61" spans="3:19" s="11" customFormat="1" x14ac:dyDescent="0.3">
      <c r="H61" s="5" t="s">
        <v>434</v>
      </c>
      <c r="I61" s="39"/>
      <c r="J61" s="18">
        <v>10</v>
      </c>
      <c r="K61" s="11">
        <v>1</v>
      </c>
      <c r="L61" s="44">
        <f>Table134567810111213141516171819202122232425262728303132[[#This Row],[الدولار]]+(Table134567810111213141516171819202122232425262728303132[[#This Row],[اللبناني]]/90)</f>
        <v>1.1111111111111112</v>
      </c>
      <c r="M61" s="6"/>
    </row>
    <row r="62" spans="3:19" s="11" customFormat="1" x14ac:dyDescent="0.3">
      <c r="H62" s="5" t="s">
        <v>434</v>
      </c>
      <c r="I62" s="39" t="s">
        <v>585</v>
      </c>
      <c r="J62" s="18">
        <v>-135</v>
      </c>
      <c r="K62" s="11">
        <v>45</v>
      </c>
      <c r="L62" s="44">
        <f>Table134567810111213141516171819202122232425262728303132[[#This Row],[الدولار]]+(Table134567810111213141516171819202122232425262728303132[[#This Row],[اللبناني]]/90)</f>
        <v>43.5</v>
      </c>
      <c r="M62" s="6"/>
    </row>
    <row r="63" spans="3:19" s="11" customFormat="1" x14ac:dyDescent="0.3">
      <c r="H63" s="5" t="s">
        <v>434</v>
      </c>
      <c r="I63" s="39" t="s">
        <v>589</v>
      </c>
      <c r="J63" s="18">
        <v>-150</v>
      </c>
      <c r="K63" s="11">
        <v>5</v>
      </c>
      <c r="L63" s="44">
        <f>Table134567810111213141516171819202122232425262728303132[[#This Row],[الدولار]]+(Table134567810111213141516171819202122232425262728303132[[#This Row],[اللبناني]]/90)</f>
        <v>3.333333333333333</v>
      </c>
      <c r="M63" s="6"/>
      <c r="N63" s="11" t="s">
        <v>193</v>
      </c>
      <c r="P63" s="22">
        <v>2917</v>
      </c>
      <c r="S63" s="19">
        <v>7530</v>
      </c>
    </row>
    <row r="64" spans="3:19" s="11" customFormat="1" x14ac:dyDescent="0.3">
      <c r="H64" s="5" t="s">
        <v>434</v>
      </c>
      <c r="I64" s="39"/>
      <c r="J64" s="18">
        <v>100</v>
      </c>
      <c r="K64" s="11">
        <v>21</v>
      </c>
      <c r="L64" s="44">
        <f>Table134567810111213141516171819202122232425262728303132[[#This Row],[الدولار]]+(Table134567810111213141516171819202122232425262728303132[[#This Row],[اللبناني]]/90)</f>
        <v>22.111111111111111</v>
      </c>
      <c r="M64" s="6"/>
      <c r="P64" s="22"/>
      <c r="S64" s="19"/>
    </row>
    <row r="65" spans="4:19" s="11" customFormat="1" x14ac:dyDescent="0.3">
      <c r="D65" s="54"/>
      <c r="H65" s="5" t="s">
        <v>434</v>
      </c>
      <c r="I65" s="39"/>
      <c r="J65" s="50">
        <v>600</v>
      </c>
      <c r="K65" s="51"/>
      <c r="L65" s="44">
        <f>Table134567810111213141516171819202122232425262728303132[[#This Row],[الدولار]]+(Table134567810111213141516171819202122232425262728303132[[#This Row],[اللبناني]]/90)</f>
        <v>6.666666666666667</v>
      </c>
      <c r="M65" s="6"/>
      <c r="P65" s="22"/>
      <c r="S65" s="19"/>
    </row>
    <row r="66" spans="4:19" s="11" customFormat="1" x14ac:dyDescent="0.3">
      <c r="D66" s="54"/>
      <c r="H66" s="5" t="s">
        <v>434</v>
      </c>
      <c r="I66" s="39"/>
      <c r="J66" s="52">
        <v>325</v>
      </c>
      <c r="K66" s="53"/>
      <c r="L66" s="44">
        <f>Table134567810111213141516171819202122232425262728303132[[#This Row],[الدولار]]+(Table134567810111213141516171819202122232425262728303132[[#This Row],[اللبناني]]/90)</f>
        <v>3.6111111111111112</v>
      </c>
      <c r="M66" s="6"/>
    </row>
    <row r="67" spans="4:19" s="11" customFormat="1" x14ac:dyDescent="0.3">
      <c r="D67" s="54"/>
      <c r="H67" s="5" t="s">
        <v>434</v>
      </c>
      <c r="I67" s="39"/>
      <c r="J67" s="50"/>
      <c r="K67" s="51">
        <v>10</v>
      </c>
      <c r="L67" s="44">
        <f>Table134567810111213141516171819202122232425262728303132[[#This Row],[الدولار]]+(Table134567810111213141516171819202122232425262728303132[[#This Row],[اللبناني]]/90)</f>
        <v>10</v>
      </c>
      <c r="M67" s="6"/>
    </row>
    <row r="68" spans="4:19" s="11" customFormat="1" x14ac:dyDescent="0.3">
      <c r="D68" s="54"/>
      <c r="H68" s="5" t="s">
        <v>434</v>
      </c>
      <c r="I68" s="39"/>
      <c r="J68" s="52">
        <v>-550</v>
      </c>
      <c r="K68" s="53">
        <v>10</v>
      </c>
      <c r="L68" s="44">
        <f>Table134567810111213141516171819202122232425262728303132[[#This Row],[الدولار]]+(Table134567810111213141516171819202122232425262728303132[[#This Row],[اللبناني]]/90)</f>
        <v>3.8888888888888893</v>
      </c>
      <c r="M68" s="6"/>
    </row>
    <row r="69" spans="4:19" s="11" customFormat="1" x14ac:dyDescent="0.3">
      <c r="D69" s="54"/>
      <c r="H69" s="5" t="s">
        <v>434</v>
      </c>
      <c r="I69" s="39"/>
      <c r="J69" s="50">
        <v>100</v>
      </c>
      <c r="K69" s="51">
        <v>75</v>
      </c>
      <c r="L69" s="44">
        <f>Table134567810111213141516171819202122232425262728303132[[#This Row],[الدولار]]+(Table134567810111213141516171819202122232425262728303132[[#This Row],[اللبناني]]/90)</f>
        <v>76.111111111111114</v>
      </c>
      <c r="M69" s="6"/>
    </row>
    <row r="70" spans="4:19" s="11" customFormat="1" x14ac:dyDescent="0.3">
      <c r="H70" s="5" t="s">
        <v>434</v>
      </c>
      <c r="I70" s="39"/>
      <c r="J70" s="18">
        <v>100</v>
      </c>
      <c r="K70" s="11">
        <v>5</v>
      </c>
      <c r="L70" s="44">
        <f>Table134567810111213141516171819202122232425262728303132[[#This Row],[الدولار]]+(Table134567810111213141516171819202122232425262728303132[[#This Row],[اللبناني]]/90)</f>
        <v>6.1111111111111107</v>
      </c>
      <c r="M70" s="6"/>
    </row>
    <row r="71" spans="4:19" s="11" customFormat="1" x14ac:dyDescent="0.3">
      <c r="H71" s="5" t="s">
        <v>434</v>
      </c>
      <c r="I71" s="39"/>
      <c r="J71" s="18">
        <v>-200</v>
      </c>
      <c r="L71" s="44">
        <f>Table134567810111213141516171819202122232425262728303132[[#This Row],[الدولار]]+(Table134567810111213141516171819202122232425262728303132[[#This Row],[اللبناني]]/90)</f>
        <v>-2.2222222222222223</v>
      </c>
      <c r="M71" s="6"/>
    </row>
    <row r="72" spans="4:19" s="11" customFormat="1" x14ac:dyDescent="0.3">
      <c r="H72" s="5" t="s">
        <v>434</v>
      </c>
      <c r="I72" s="39"/>
      <c r="J72" s="18"/>
      <c r="K72" s="11">
        <v>3000</v>
      </c>
      <c r="L72" s="44">
        <f>Table134567810111213141516171819202122232425262728303132[[#This Row],[الدولار]]+(Table134567810111213141516171819202122232425262728303132[[#This Row],[اللبناني]]/90)</f>
        <v>3000</v>
      </c>
      <c r="M72" s="6"/>
    </row>
    <row r="73" spans="4:19" s="11" customFormat="1" x14ac:dyDescent="0.3">
      <c r="H73" s="5" t="s">
        <v>434</v>
      </c>
      <c r="I73" s="39"/>
      <c r="J73" s="18">
        <v>-500</v>
      </c>
      <c r="K73" s="11">
        <v>20</v>
      </c>
      <c r="L73" s="44">
        <f>Table134567810111213141516171819202122232425262728303132[[#This Row],[الدولار]]+(Table134567810111213141516171819202122232425262728303132[[#This Row],[اللبناني]]/90)</f>
        <v>14.444444444444445</v>
      </c>
      <c r="M73" s="6"/>
    </row>
    <row r="74" spans="4:19" s="11" customFormat="1" x14ac:dyDescent="0.3">
      <c r="H74" s="5" t="s">
        <v>434</v>
      </c>
      <c r="I74" s="39"/>
      <c r="J74" s="18"/>
      <c r="K74" s="11">
        <v>10</v>
      </c>
      <c r="L74" s="44">
        <f>Table134567810111213141516171819202122232425262728303132[[#This Row],[الدولار]]+(Table134567810111213141516171819202122232425262728303132[[#This Row],[اللبناني]]/90)</f>
        <v>10</v>
      </c>
      <c r="M74" s="6"/>
    </row>
    <row r="75" spans="4:19" s="11" customFormat="1" x14ac:dyDescent="0.3">
      <c r="H75" s="5" t="s">
        <v>434</v>
      </c>
      <c r="I75" s="39"/>
      <c r="J75" s="18">
        <v>-125</v>
      </c>
      <c r="K75" s="11">
        <v>5</v>
      </c>
      <c r="L75" s="44">
        <f>Table134567810111213141516171819202122232425262728303132[[#This Row],[الدولار]]+(Table134567810111213141516171819202122232425262728303132[[#This Row],[اللبناني]]/90)</f>
        <v>3.6111111111111112</v>
      </c>
      <c r="M75" s="6"/>
    </row>
    <row r="76" spans="4:19" s="11" customFormat="1" x14ac:dyDescent="0.3">
      <c r="H76" s="5" t="s">
        <v>434</v>
      </c>
      <c r="I76" s="39"/>
      <c r="J76" s="18"/>
      <c r="K76" s="11">
        <v>10</v>
      </c>
      <c r="L76" s="44">
        <f>Table134567810111213141516171819202122232425262728303132[[#This Row],[الدولار]]+(Table134567810111213141516171819202122232425262728303132[[#This Row],[اللبناني]]/90)</f>
        <v>10</v>
      </c>
      <c r="M76" s="6"/>
    </row>
    <row r="77" spans="4:19" s="11" customFormat="1" x14ac:dyDescent="0.3">
      <c r="H77" s="5" t="s">
        <v>434</v>
      </c>
      <c r="I77" s="39"/>
      <c r="J77" s="18">
        <v>-200</v>
      </c>
      <c r="K77" s="11">
        <v>10</v>
      </c>
      <c r="L77" s="44">
        <f>Table134567810111213141516171819202122232425262728303132[[#This Row],[الدولار]]+(Table134567810111213141516171819202122232425262728303132[[#This Row],[اللبناني]]/90)</f>
        <v>7.7777777777777777</v>
      </c>
      <c r="M77" s="6"/>
    </row>
    <row r="78" spans="4:19" s="11" customFormat="1" x14ac:dyDescent="0.3">
      <c r="H78" s="5" t="s">
        <v>434</v>
      </c>
      <c r="I78" s="39"/>
      <c r="J78" s="18">
        <v>2700</v>
      </c>
      <c r="K78" s="11">
        <v>75</v>
      </c>
      <c r="L78" s="44">
        <f>Table134567810111213141516171819202122232425262728303132[[#This Row],[الدولار]]+(Table134567810111213141516171819202122232425262728303132[[#This Row],[اللبناني]]/90)</f>
        <v>105</v>
      </c>
      <c r="M78" s="6"/>
    </row>
    <row r="79" spans="4:19" s="11" customFormat="1" x14ac:dyDescent="0.3">
      <c r="H79" s="5" t="s">
        <v>434</v>
      </c>
      <c r="I79" s="39"/>
      <c r="J79" s="18"/>
      <c r="K79" s="11">
        <v>46</v>
      </c>
      <c r="L79" s="44">
        <f>Table134567810111213141516171819202122232425262728303132[[#This Row],[الدولار]]+(Table134567810111213141516171819202122232425262728303132[[#This Row],[اللبناني]]/90)</f>
        <v>46</v>
      </c>
      <c r="M79" s="6"/>
    </row>
    <row r="80" spans="4:19" s="11" customFormat="1" x14ac:dyDescent="0.3">
      <c r="H80" s="5" t="s">
        <v>434</v>
      </c>
      <c r="I80" s="39"/>
      <c r="J80" s="18"/>
      <c r="K80" s="11">
        <v>1000</v>
      </c>
      <c r="L80" s="44">
        <f>Table134567810111213141516171819202122232425262728303132[[#This Row],[الدولار]]+(Table134567810111213141516171819202122232425262728303132[[#This Row],[اللبناني]]/90)</f>
        <v>1000</v>
      </c>
      <c r="M80" s="6"/>
    </row>
    <row r="81" spans="8:19" s="11" customFormat="1" x14ac:dyDescent="0.3">
      <c r="H81" s="5" t="s">
        <v>434</v>
      </c>
      <c r="I81" s="39"/>
      <c r="J81" s="18"/>
      <c r="K81" s="11">
        <v>1000</v>
      </c>
      <c r="L81" s="44">
        <f>Table134567810111213141516171819202122232425262728303132[[#This Row],[الدولار]]+(Table134567810111213141516171819202122232425262728303132[[#This Row],[اللبناني]]/90)</f>
        <v>1000</v>
      </c>
      <c r="M81" s="6"/>
      <c r="S81" s="24"/>
    </row>
    <row r="82" spans="8:19" s="11" customFormat="1" x14ac:dyDescent="0.3">
      <c r="H82" s="5" t="s">
        <v>434</v>
      </c>
      <c r="I82" s="39"/>
      <c r="J82" s="18">
        <v>250</v>
      </c>
      <c r="L82" s="44">
        <f>Table134567810111213141516171819202122232425262728303132[[#This Row],[الدولار]]+(Table134567810111213141516171819202122232425262728303132[[#This Row],[اللبناني]]/90)</f>
        <v>2.7777777777777777</v>
      </c>
      <c r="M82" s="6"/>
    </row>
    <row r="83" spans="8:19" s="11" customFormat="1" x14ac:dyDescent="0.3">
      <c r="H83" s="5" t="s">
        <v>436</v>
      </c>
      <c r="I83" s="39"/>
      <c r="J83" s="18"/>
      <c r="K83" s="11">
        <v>-150</v>
      </c>
      <c r="L83" s="44">
        <f>Table134567810111213141516171819202122232425262728303132[[#This Row],[الدولار]]+(Table134567810111213141516171819202122232425262728303132[[#This Row],[اللبناني]]/90)</f>
        <v>-150</v>
      </c>
      <c r="M83" s="6"/>
    </row>
    <row r="84" spans="8:19" s="11" customFormat="1" x14ac:dyDescent="0.3">
      <c r="H84" s="5" t="s">
        <v>434</v>
      </c>
      <c r="I84" s="39"/>
      <c r="J84" s="18">
        <v>70</v>
      </c>
      <c r="L84" s="44">
        <f>Table134567810111213141516171819202122232425262728303132[[#This Row],[الدولار]]+(Table134567810111213141516171819202122232425262728303132[[#This Row],[اللبناني]]/90)</f>
        <v>0.77777777777777779</v>
      </c>
      <c r="M84" s="6"/>
    </row>
    <row r="85" spans="8:19" s="11" customFormat="1" x14ac:dyDescent="0.3">
      <c r="H85" s="5" t="s">
        <v>434</v>
      </c>
      <c r="I85" s="39"/>
      <c r="J85" s="18">
        <v>180</v>
      </c>
      <c r="K85" s="11">
        <v>10</v>
      </c>
      <c r="L85" s="44">
        <f>Table134567810111213141516171819202122232425262728303132[[#This Row],[الدولار]]+(Table134567810111213141516171819202122232425262728303132[[#This Row],[اللبناني]]/90)</f>
        <v>12</v>
      </c>
      <c r="M85" s="6"/>
    </row>
    <row r="86" spans="8:19" s="11" customFormat="1" x14ac:dyDescent="0.3">
      <c r="H86" s="5" t="s">
        <v>434</v>
      </c>
      <c r="I86" s="39"/>
      <c r="J86" s="18"/>
      <c r="K86" s="11">
        <v>70</v>
      </c>
      <c r="L86" s="44">
        <f>Table134567810111213141516171819202122232425262728303132[[#This Row],[الدولار]]+(Table134567810111213141516171819202122232425262728303132[[#This Row],[اللبناني]]/90)</f>
        <v>70</v>
      </c>
      <c r="M86" s="6"/>
    </row>
    <row r="87" spans="8:19" s="11" customFormat="1" x14ac:dyDescent="0.3">
      <c r="H87" s="5" t="s">
        <v>434</v>
      </c>
      <c r="I87" s="39"/>
      <c r="J87" s="18"/>
      <c r="K87" s="11">
        <v>350</v>
      </c>
      <c r="L87" s="44">
        <f>Table134567810111213141516171819202122232425262728303132[[#This Row],[الدولار]]+(Table134567810111213141516171819202122232425262728303132[[#This Row],[اللبناني]]/90)</f>
        <v>350</v>
      </c>
      <c r="M87" s="6"/>
    </row>
    <row r="88" spans="8:19" s="11" customFormat="1" x14ac:dyDescent="0.3">
      <c r="H88" s="5" t="s">
        <v>434</v>
      </c>
      <c r="I88" s="39"/>
      <c r="J88" s="18">
        <v>720</v>
      </c>
      <c r="L88" s="44">
        <f>Table134567810111213141516171819202122232425262728303132[[#This Row],[الدولار]]+(Table134567810111213141516171819202122232425262728303132[[#This Row],[اللبناني]]/90)</f>
        <v>8</v>
      </c>
      <c r="M88" s="6"/>
    </row>
    <row r="89" spans="8:19" s="11" customFormat="1" x14ac:dyDescent="0.3">
      <c r="H89" s="5" t="s">
        <v>434</v>
      </c>
      <c r="I89" s="39"/>
      <c r="J89" s="18">
        <v>135</v>
      </c>
      <c r="L89" s="44">
        <f>Table134567810111213141516171819202122232425262728303132[[#This Row],[الدولار]]+(Table134567810111213141516171819202122232425262728303132[[#This Row],[اللبناني]]/90)</f>
        <v>1.5</v>
      </c>
      <c r="M89" s="6"/>
    </row>
    <row r="90" spans="8:19" s="11" customFormat="1" x14ac:dyDescent="0.3">
      <c r="H90" s="5" t="s">
        <v>434</v>
      </c>
      <c r="I90" s="39"/>
      <c r="J90" s="18">
        <v>195</v>
      </c>
      <c r="L90" s="44">
        <f>Table134567810111213141516171819202122232425262728303132[[#This Row],[الدولار]]+(Table134567810111213141516171819202122232425262728303132[[#This Row],[اللبناني]]/90)</f>
        <v>2.1666666666666665</v>
      </c>
      <c r="M90" s="6"/>
    </row>
    <row r="91" spans="8:19" s="11" customFormat="1" x14ac:dyDescent="0.3">
      <c r="H91" s="5" t="s">
        <v>434</v>
      </c>
      <c r="I91" s="39"/>
      <c r="J91" s="18"/>
      <c r="K91" s="11">
        <v>-5000</v>
      </c>
      <c r="L91" s="44">
        <f>Table134567810111213141516171819202122232425262728303132[[#This Row],[الدولار]]+(Table134567810111213141516171819202122232425262728303132[[#This Row],[اللبناني]]/90)</f>
        <v>-5000</v>
      </c>
      <c r="M91" s="6"/>
    </row>
    <row r="92" spans="8:19" s="11" customFormat="1" x14ac:dyDescent="0.3">
      <c r="H92" s="5" t="s">
        <v>434</v>
      </c>
      <c r="I92" s="39"/>
      <c r="J92" s="18"/>
      <c r="K92" s="11">
        <v>-2600</v>
      </c>
      <c r="L92" s="44">
        <f>Table134567810111213141516171819202122232425262728303132[[#This Row],[الدولار]]+(Table134567810111213141516171819202122232425262728303132[[#This Row],[اللبناني]]/90)</f>
        <v>-2600</v>
      </c>
      <c r="M92" s="6"/>
    </row>
    <row r="93" spans="8:19" s="11" customFormat="1" x14ac:dyDescent="0.3">
      <c r="H93" s="5" t="s">
        <v>434</v>
      </c>
      <c r="I93" s="39"/>
      <c r="J93" s="18">
        <v>-5000</v>
      </c>
      <c r="L93" s="44">
        <f>Table134567810111213141516171819202122232425262728303132[[#This Row],[الدولار]]+(Table134567810111213141516171819202122232425262728303132[[#This Row],[اللبناني]]/90)</f>
        <v>-55.555555555555557</v>
      </c>
      <c r="M93" s="6"/>
    </row>
    <row r="94" spans="8:19" s="11" customFormat="1" x14ac:dyDescent="0.3">
      <c r="H94" s="5" t="s">
        <v>434</v>
      </c>
      <c r="I94" s="39"/>
      <c r="J94" s="18"/>
      <c r="L94" s="44">
        <f>Table134567810111213141516171819202122232425262728303132[[#This Row],[الدولار]]+(Table134567810111213141516171819202122232425262728303132[[#This Row],[اللبناني]]/90)</f>
        <v>0</v>
      </c>
      <c r="M94" s="6"/>
    </row>
    <row r="95" spans="8:19" s="11" customFormat="1" x14ac:dyDescent="0.3">
      <c r="H95" s="5" t="s">
        <v>435</v>
      </c>
      <c r="I95" s="39" t="s">
        <v>590</v>
      </c>
      <c r="J95" s="18"/>
      <c r="K95" s="11">
        <v>-20</v>
      </c>
      <c r="L95" s="44">
        <f>Table134567810111213141516171819202122232425262728303132[[#This Row],[الدولار]]+(Table134567810111213141516171819202122232425262728303132[[#This Row],[اللبناني]]/90)</f>
        <v>-20</v>
      </c>
      <c r="M95" s="6"/>
    </row>
    <row r="96" spans="8:19" s="11" customFormat="1" x14ac:dyDescent="0.3">
      <c r="H96" s="5" t="s">
        <v>435</v>
      </c>
      <c r="I96" s="39" t="s">
        <v>590</v>
      </c>
      <c r="J96" s="18">
        <v>-2000</v>
      </c>
      <c r="L96" s="44">
        <f>Table134567810111213141516171819202122232425262728303132[[#This Row],[الدولار]]+(Table134567810111213141516171819202122232425262728303132[[#This Row],[اللبناني]]/90)</f>
        <v>-22.222222222222221</v>
      </c>
      <c r="M96" s="6"/>
    </row>
    <row r="97" spans="8:13" s="11" customFormat="1" x14ac:dyDescent="0.3">
      <c r="H97" s="5" t="s">
        <v>435</v>
      </c>
      <c r="I97" s="39" t="s">
        <v>590</v>
      </c>
      <c r="J97" s="18">
        <v>-2000</v>
      </c>
      <c r="L97" s="44">
        <f>Table134567810111213141516171819202122232425262728303132[[#This Row],[الدولار]]+(Table134567810111213141516171819202122232425262728303132[[#This Row],[اللبناني]]/90)</f>
        <v>-22.222222222222221</v>
      </c>
      <c r="M97" s="6"/>
    </row>
    <row r="98" spans="8:13" s="11" customFormat="1" x14ac:dyDescent="0.3">
      <c r="H98" s="5" t="s">
        <v>435</v>
      </c>
      <c r="I98" s="39" t="s">
        <v>590</v>
      </c>
      <c r="J98" s="18">
        <v>-300</v>
      </c>
      <c r="L98" s="44">
        <f>Table134567810111213141516171819202122232425262728303132[[#This Row],[الدولار]]+(Table134567810111213141516171819202122232425262728303132[[#This Row],[اللبناني]]/90)</f>
        <v>-3.3333333333333335</v>
      </c>
      <c r="M98" s="6"/>
    </row>
    <row r="99" spans="8:13" s="11" customFormat="1" x14ac:dyDescent="0.3">
      <c r="H99" s="5" t="s">
        <v>436</v>
      </c>
      <c r="I99" s="39" t="s">
        <v>22</v>
      </c>
      <c r="J99" s="18">
        <v>4300</v>
      </c>
      <c r="K99" s="11">
        <v>20</v>
      </c>
      <c r="L99" s="44">
        <f>Table134567810111213141516171819202122232425262728303132[[#This Row],[الدولار]]+(Table134567810111213141516171819202122232425262728303132[[#This Row],[اللبناني]]/90)</f>
        <v>67.777777777777771</v>
      </c>
      <c r="M99" s="6"/>
    </row>
    <row r="100" spans="8:13" s="11" customFormat="1" x14ac:dyDescent="0.3">
      <c r="H100" s="5" t="s">
        <v>434</v>
      </c>
      <c r="I100" s="39" t="s">
        <v>591</v>
      </c>
      <c r="J100" s="18">
        <v>300</v>
      </c>
      <c r="L100" s="44">
        <f>Table134567810111213141516171819202122232425262728303132[[#This Row],[الدولار]]+(Table134567810111213141516171819202122232425262728303132[[#This Row],[اللبناني]]/90)</f>
        <v>3.3333333333333335</v>
      </c>
      <c r="M100" s="6"/>
    </row>
    <row r="101" spans="8:13" s="11" customFormat="1" x14ac:dyDescent="0.3">
      <c r="H101" s="5" t="s">
        <v>434</v>
      </c>
      <c r="I101" s="39" t="s">
        <v>592</v>
      </c>
      <c r="J101" s="18"/>
      <c r="K101" s="11">
        <v>150</v>
      </c>
      <c r="L101" s="44">
        <f>Table134567810111213141516171819202122232425262728303132[[#This Row],[الدولار]]+(Table134567810111213141516171819202122232425262728303132[[#This Row],[اللبناني]]/90)</f>
        <v>150</v>
      </c>
      <c r="M101" s="6"/>
    </row>
    <row r="102" spans="8:13" s="11" customFormat="1" x14ac:dyDescent="0.3">
      <c r="H102" s="5" t="s">
        <v>434</v>
      </c>
      <c r="I102" s="39" t="s">
        <v>85</v>
      </c>
      <c r="J102" s="18">
        <v>-135</v>
      </c>
      <c r="L102" s="44">
        <f>Table134567810111213141516171819202122232425262728303132[[#This Row],[الدولار]]+(Table134567810111213141516171819202122232425262728303132[[#This Row],[اللبناني]]/90)</f>
        <v>-1.5</v>
      </c>
      <c r="M102" s="6"/>
    </row>
    <row r="103" spans="8:13" s="11" customFormat="1" x14ac:dyDescent="0.3">
      <c r="H103" s="5" t="s">
        <v>434</v>
      </c>
      <c r="I103" s="39"/>
      <c r="J103" s="18"/>
      <c r="L103" s="44">
        <f>Table134567810111213141516171819202122232425262728303132[[#This Row],[الدولار]]+(Table134567810111213141516171819202122232425262728303132[[#This Row],[اللبناني]]/90)</f>
        <v>0</v>
      </c>
      <c r="M103" s="6"/>
    </row>
    <row r="104" spans="8:13" s="11" customFormat="1" x14ac:dyDescent="0.3">
      <c r="H104" s="5" t="s">
        <v>434</v>
      </c>
      <c r="I104" s="39"/>
      <c r="J104" s="18"/>
      <c r="L104" s="44">
        <f>Table134567810111213141516171819202122232425262728303132[[#This Row],[الدولار]]+(Table134567810111213141516171819202122232425262728303132[[#This Row],[اللبناني]]/90)</f>
        <v>0</v>
      </c>
      <c r="M104" s="6"/>
    </row>
    <row r="105" spans="8:13" s="11" customFormat="1" x14ac:dyDescent="0.3">
      <c r="H105" s="5" t="s">
        <v>434</v>
      </c>
      <c r="I105" s="39"/>
      <c r="J105" s="18"/>
      <c r="L105" s="44">
        <f>Table134567810111213141516171819202122232425262728303132[[#This Row],[الدولار]]+(Table134567810111213141516171819202122232425262728303132[[#This Row],[اللبناني]]/90)</f>
        <v>0</v>
      </c>
      <c r="M105" s="6"/>
    </row>
    <row r="106" spans="8:13" s="11" customFormat="1" x14ac:dyDescent="0.3">
      <c r="H106" s="5" t="s">
        <v>434</v>
      </c>
      <c r="I106" s="39"/>
      <c r="J106" s="18"/>
      <c r="L106" s="44">
        <f>Table134567810111213141516171819202122232425262728303132[[#This Row],[الدولار]]+(Table134567810111213141516171819202122232425262728303132[[#This Row],[اللبناني]]/90)</f>
        <v>0</v>
      </c>
      <c r="M106" s="6"/>
    </row>
    <row r="107" spans="8:13" s="11" customFormat="1" x14ac:dyDescent="0.3">
      <c r="H107" s="5" t="s">
        <v>434</v>
      </c>
      <c r="I107" s="39"/>
      <c r="J107" s="18"/>
      <c r="L107" s="44">
        <f>Table134567810111213141516171819202122232425262728303132[[#This Row],[الدولار]]+(Table134567810111213141516171819202122232425262728303132[[#This Row],[اللبناني]]/90)</f>
        <v>0</v>
      </c>
      <c r="M107" s="6"/>
    </row>
    <row r="108" spans="8:13" s="11" customFormat="1" x14ac:dyDescent="0.3">
      <c r="H108" s="5" t="s">
        <v>434</v>
      </c>
      <c r="I108" s="39"/>
      <c r="J108" s="18"/>
      <c r="L108" s="44">
        <f>Table134567810111213141516171819202122232425262728303132[[#This Row],[الدولار]]+(Table134567810111213141516171819202122232425262728303132[[#This Row],[اللبناني]]/90)</f>
        <v>0</v>
      </c>
      <c r="M108" s="6"/>
    </row>
    <row r="109" spans="8:13" s="11" customFormat="1" x14ac:dyDescent="0.3">
      <c r="H109" s="5" t="s">
        <v>434</v>
      </c>
      <c r="I109" s="39"/>
      <c r="J109" s="18"/>
      <c r="L109" s="44">
        <f>Table134567810111213141516171819202122232425262728303132[[#This Row],[الدولار]]+(Table134567810111213141516171819202122232425262728303132[[#This Row],[اللبناني]]/90)</f>
        <v>0</v>
      </c>
      <c r="M109" s="6"/>
    </row>
    <row r="110" spans="8:13" s="11" customFormat="1" x14ac:dyDescent="0.3">
      <c r="H110" s="5" t="s">
        <v>434</v>
      </c>
      <c r="I110" s="39"/>
      <c r="J110" s="18"/>
      <c r="L110" s="44">
        <f>Table134567810111213141516171819202122232425262728303132[[#This Row],[الدولار]]+(Table134567810111213141516171819202122232425262728303132[[#This Row],[اللبناني]]/90)</f>
        <v>0</v>
      </c>
      <c r="M110" s="6"/>
    </row>
    <row r="111" spans="8:13" s="11" customFormat="1" x14ac:dyDescent="0.3">
      <c r="H111" s="5" t="s">
        <v>434</v>
      </c>
      <c r="I111" s="39"/>
      <c r="J111" s="18"/>
      <c r="L111" s="44">
        <f>Table134567810111213141516171819202122232425262728303132[[#This Row],[الدولار]]+(Table134567810111213141516171819202122232425262728303132[[#This Row],[اللبناني]]/90)</f>
        <v>0</v>
      </c>
      <c r="M111" s="6"/>
    </row>
    <row r="112" spans="8:13" s="11" customFormat="1" x14ac:dyDescent="0.3">
      <c r="H112" s="5" t="s">
        <v>434</v>
      </c>
      <c r="I112" s="39"/>
      <c r="J112" s="18"/>
      <c r="L112" s="44">
        <f>Table134567810111213141516171819202122232425262728303132[[#This Row],[الدولار]]+(Table134567810111213141516171819202122232425262728303132[[#This Row],[اللبناني]]/90)</f>
        <v>0</v>
      </c>
      <c r="M112" s="6"/>
    </row>
    <row r="113" spans="8:13" s="11" customFormat="1" x14ac:dyDescent="0.3">
      <c r="H113" s="5" t="s">
        <v>434</v>
      </c>
      <c r="I113" s="39"/>
      <c r="J113" s="18"/>
      <c r="L113" s="44">
        <f>Table134567810111213141516171819202122232425262728303132[[#This Row],[الدولار]]+(Table134567810111213141516171819202122232425262728303132[[#This Row],[اللبناني]]/90)</f>
        <v>0</v>
      </c>
      <c r="M113" s="6"/>
    </row>
    <row r="114" spans="8:13" s="11" customFormat="1" x14ac:dyDescent="0.3">
      <c r="H114" s="5" t="s">
        <v>434</v>
      </c>
      <c r="I114" s="39"/>
      <c r="J114" s="18"/>
      <c r="L114" s="44">
        <f>Table134567810111213141516171819202122232425262728303132[[#This Row],[الدولار]]+(Table134567810111213141516171819202122232425262728303132[[#This Row],[اللبناني]]/90)</f>
        <v>0</v>
      </c>
      <c r="M114" s="6"/>
    </row>
    <row r="115" spans="8:13" s="11" customFormat="1" x14ac:dyDescent="0.3">
      <c r="H115" s="5" t="s">
        <v>434</v>
      </c>
      <c r="I115" s="39"/>
      <c r="J115" s="18"/>
      <c r="L115" s="44">
        <f>Table134567810111213141516171819202122232425262728303132[[#This Row],[الدولار]]+(Table134567810111213141516171819202122232425262728303132[[#This Row],[اللبناني]]/90)</f>
        <v>0</v>
      </c>
      <c r="M115" s="6"/>
    </row>
    <row r="116" spans="8:13" s="11" customFormat="1" x14ac:dyDescent="0.3">
      <c r="H116" s="5" t="s">
        <v>434</v>
      </c>
      <c r="I116" s="39"/>
      <c r="J116" s="18"/>
      <c r="L116" s="44">
        <f>Table134567810111213141516171819202122232425262728303132[[#This Row],[الدولار]]+(Table134567810111213141516171819202122232425262728303132[[#This Row],[اللبناني]]/90)</f>
        <v>0</v>
      </c>
      <c r="M116" s="6"/>
    </row>
    <row r="117" spans="8:13" s="11" customFormat="1" x14ac:dyDescent="0.3">
      <c r="H117" s="5" t="s">
        <v>434</v>
      </c>
      <c r="I117" s="39"/>
      <c r="J117" s="18"/>
      <c r="L117" s="44">
        <f>Table134567810111213141516171819202122232425262728303132[[#This Row],[الدولار]]+(Table134567810111213141516171819202122232425262728303132[[#This Row],[اللبناني]]/90)</f>
        <v>0</v>
      </c>
      <c r="M117" s="6"/>
    </row>
    <row r="118" spans="8:13" s="11" customFormat="1" x14ac:dyDescent="0.3">
      <c r="H118" s="5" t="s">
        <v>434</v>
      </c>
      <c r="I118" s="39"/>
      <c r="J118" s="18"/>
      <c r="L118" s="44">
        <f>Table134567810111213141516171819202122232425262728303132[[#This Row],[الدولار]]+(Table134567810111213141516171819202122232425262728303132[[#This Row],[اللبناني]]/90)</f>
        <v>0</v>
      </c>
      <c r="M118" s="6"/>
    </row>
    <row r="119" spans="8:13" s="11" customFormat="1" x14ac:dyDescent="0.3">
      <c r="H119" s="5" t="s">
        <v>434</v>
      </c>
      <c r="I119" s="39"/>
      <c r="J119" s="18"/>
      <c r="L119" s="44">
        <f>Table134567810111213141516171819202122232425262728303132[[#This Row],[الدولار]]+(Table134567810111213141516171819202122232425262728303132[[#This Row],[اللبناني]]/90)</f>
        <v>0</v>
      </c>
      <c r="M119" s="6"/>
    </row>
    <row r="120" spans="8:13" s="11" customFormat="1" x14ac:dyDescent="0.3">
      <c r="H120" s="5" t="s">
        <v>434</v>
      </c>
      <c r="I120" s="39"/>
      <c r="J120" s="18"/>
      <c r="L120" s="44">
        <f>Table134567810111213141516171819202122232425262728303132[[#This Row],[الدولار]]+(Table134567810111213141516171819202122232425262728303132[[#This Row],[اللبناني]]/90)</f>
        <v>0</v>
      </c>
      <c r="M120" s="6"/>
    </row>
    <row r="121" spans="8:13" s="11" customFormat="1" x14ac:dyDescent="0.3">
      <c r="H121" s="5" t="s">
        <v>434</v>
      </c>
      <c r="I121" s="39"/>
      <c r="J121" s="18"/>
      <c r="L121" s="44">
        <f>Table134567810111213141516171819202122232425262728303132[[#This Row],[الدولار]]+(Table134567810111213141516171819202122232425262728303132[[#This Row],[اللبناني]]/90)</f>
        <v>0</v>
      </c>
      <c r="M121" s="6"/>
    </row>
    <row r="122" spans="8:13" s="11" customFormat="1" x14ac:dyDescent="0.3">
      <c r="H122" s="5" t="s">
        <v>434</v>
      </c>
      <c r="I122" s="39"/>
      <c r="J122" s="18"/>
      <c r="L122" s="44">
        <f>Table134567810111213141516171819202122232425262728303132[[#This Row],[الدولار]]+(Table134567810111213141516171819202122232425262728303132[[#This Row],[اللبناني]]/90)</f>
        <v>0</v>
      </c>
      <c r="M122" s="6"/>
    </row>
    <row r="123" spans="8:13" s="11" customFormat="1" x14ac:dyDescent="0.3">
      <c r="H123" s="5" t="s">
        <v>434</v>
      </c>
      <c r="I123" s="39"/>
      <c r="J123" s="18"/>
      <c r="L123" s="44">
        <f>Table134567810111213141516171819202122232425262728303132[[#This Row],[الدولار]]+(Table134567810111213141516171819202122232425262728303132[[#This Row],[اللبناني]]/90)</f>
        <v>0</v>
      </c>
      <c r="M123" s="6"/>
    </row>
    <row r="124" spans="8:13" s="11" customFormat="1" x14ac:dyDescent="0.3">
      <c r="H124" s="5" t="s">
        <v>434</v>
      </c>
      <c r="I124" s="39"/>
      <c r="J124" s="18"/>
      <c r="L124" s="44">
        <f>Table134567810111213141516171819202122232425262728303132[[#This Row],[الدولار]]+(Table134567810111213141516171819202122232425262728303132[[#This Row],[اللبناني]]/90)</f>
        <v>0</v>
      </c>
      <c r="M124" s="6"/>
    </row>
    <row r="125" spans="8:13" s="11" customFormat="1" x14ac:dyDescent="0.3">
      <c r="H125" s="5" t="s">
        <v>434</v>
      </c>
      <c r="I125" s="39"/>
      <c r="J125" s="18"/>
      <c r="L125" s="44">
        <f>Table134567810111213141516171819202122232425262728303132[[#This Row],[الدولار]]+(Table134567810111213141516171819202122232425262728303132[[#This Row],[اللبناني]]/90)</f>
        <v>0</v>
      </c>
      <c r="M125" s="6"/>
    </row>
    <row r="126" spans="8:13" s="11" customFormat="1" x14ac:dyDescent="0.3">
      <c r="H126" s="5" t="s">
        <v>434</v>
      </c>
      <c r="I126" s="39"/>
      <c r="J126" s="18"/>
      <c r="L126" s="44">
        <f>Table134567810111213141516171819202122232425262728303132[[#This Row],[الدولار]]+(Table134567810111213141516171819202122232425262728303132[[#This Row],[اللبناني]]/90)</f>
        <v>0</v>
      </c>
      <c r="M126" s="6"/>
    </row>
    <row r="127" spans="8:13" s="11" customFormat="1" x14ac:dyDescent="0.3">
      <c r="H127" s="5" t="s">
        <v>434</v>
      </c>
      <c r="I127" s="39"/>
      <c r="J127" s="18"/>
      <c r="L127" s="44">
        <f>Table134567810111213141516171819202122232425262728303132[[#This Row],[الدولار]]+(Table134567810111213141516171819202122232425262728303132[[#This Row],[اللبناني]]/90)</f>
        <v>0</v>
      </c>
      <c r="M127" s="6"/>
    </row>
    <row r="128" spans="8:13" s="11" customFormat="1" x14ac:dyDescent="0.3">
      <c r="H128" s="5" t="s">
        <v>434</v>
      </c>
      <c r="I128" s="39"/>
      <c r="J128" s="18"/>
      <c r="L128" s="44">
        <f>Table134567810111213141516171819202122232425262728303132[[#This Row],[الدولار]]+(Table134567810111213141516171819202122232425262728303132[[#This Row],[اللبناني]]/90)</f>
        <v>0</v>
      </c>
      <c r="M128" s="6"/>
    </row>
    <row r="129" spans="8:13" s="11" customFormat="1" x14ac:dyDescent="0.3">
      <c r="H129" s="5" t="s">
        <v>434</v>
      </c>
      <c r="I129" s="39"/>
      <c r="J129" s="18"/>
      <c r="L129" s="44">
        <f>Table134567810111213141516171819202122232425262728303132[[#This Row],[الدولار]]+(Table134567810111213141516171819202122232425262728303132[[#This Row],[اللبناني]]/90)</f>
        <v>0</v>
      </c>
      <c r="M129" s="6"/>
    </row>
    <row r="130" spans="8:13" s="11" customFormat="1" x14ac:dyDescent="0.3">
      <c r="H130" s="5" t="s">
        <v>434</v>
      </c>
      <c r="I130" s="39"/>
      <c r="J130" s="18"/>
      <c r="L130" s="44">
        <f>Table134567810111213141516171819202122232425262728303132[[#This Row],[الدولار]]+(Table134567810111213141516171819202122232425262728303132[[#This Row],[اللبناني]]/90)</f>
        <v>0</v>
      </c>
      <c r="M130" s="6"/>
    </row>
    <row r="131" spans="8:13" s="11" customFormat="1" x14ac:dyDescent="0.3">
      <c r="H131" s="5" t="s">
        <v>434</v>
      </c>
      <c r="I131" s="39"/>
      <c r="J131" s="18"/>
      <c r="L131" s="44">
        <f>Table134567810111213141516171819202122232425262728303132[[#This Row],[الدولار]]+(Table134567810111213141516171819202122232425262728303132[[#This Row],[اللبناني]]/90)</f>
        <v>0</v>
      </c>
      <c r="M131" s="6"/>
    </row>
    <row r="132" spans="8:13" s="11" customFormat="1" x14ac:dyDescent="0.3">
      <c r="H132" s="5" t="s">
        <v>434</v>
      </c>
      <c r="I132" s="39"/>
      <c r="J132" s="18"/>
      <c r="L132" s="44">
        <f>Table134567810111213141516171819202122232425262728303132[[#This Row],[الدولار]]+(Table134567810111213141516171819202122232425262728303132[[#This Row],[اللبناني]]/90)</f>
        <v>0</v>
      </c>
      <c r="M132" s="6"/>
    </row>
    <row r="133" spans="8:13" s="11" customFormat="1" x14ac:dyDescent="0.3">
      <c r="H133" s="5" t="s">
        <v>434</v>
      </c>
      <c r="I133" s="39"/>
      <c r="J133" s="18"/>
      <c r="L133" s="44">
        <f>Table134567810111213141516171819202122232425262728303132[[#This Row],[الدولار]]+(Table134567810111213141516171819202122232425262728303132[[#This Row],[اللبناني]]/90)</f>
        <v>0</v>
      </c>
      <c r="M133" s="6"/>
    </row>
    <row r="134" spans="8:13" s="11" customFormat="1" x14ac:dyDescent="0.3">
      <c r="H134" s="5" t="s">
        <v>434</v>
      </c>
      <c r="I134" s="39"/>
      <c r="J134" s="18"/>
      <c r="L134" s="44">
        <f>Table134567810111213141516171819202122232425262728303132[[#This Row],[الدولار]]+(Table134567810111213141516171819202122232425262728303132[[#This Row],[اللبناني]]/90)</f>
        <v>0</v>
      </c>
      <c r="M134" s="6"/>
    </row>
    <row r="135" spans="8:13" s="11" customFormat="1" x14ac:dyDescent="0.3">
      <c r="H135" s="5" t="s">
        <v>434</v>
      </c>
      <c r="I135" s="39"/>
      <c r="J135" s="18"/>
      <c r="L135" s="44">
        <f>Table134567810111213141516171819202122232425262728303132[[#This Row],[الدولار]]+(Table134567810111213141516171819202122232425262728303132[[#This Row],[اللبناني]]/90)</f>
        <v>0</v>
      </c>
      <c r="M135" s="6"/>
    </row>
    <row r="136" spans="8:13" s="11" customFormat="1" x14ac:dyDescent="0.3">
      <c r="H136" s="5" t="s">
        <v>434</v>
      </c>
      <c r="I136" s="39"/>
      <c r="J136" s="18"/>
      <c r="L136" s="44">
        <f>Table134567810111213141516171819202122232425262728303132[[#This Row],[الدولار]]+(Table134567810111213141516171819202122232425262728303132[[#This Row],[اللبناني]]/90)</f>
        <v>0</v>
      </c>
      <c r="M136" s="6"/>
    </row>
    <row r="137" spans="8:13" s="11" customFormat="1" x14ac:dyDescent="0.3">
      <c r="H137" s="5" t="s">
        <v>434</v>
      </c>
      <c r="I137" s="39"/>
      <c r="J137" s="18"/>
      <c r="L137" s="44">
        <f>Table134567810111213141516171819202122232425262728303132[[#This Row],[الدولار]]+(Table134567810111213141516171819202122232425262728303132[[#This Row],[اللبناني]]/90)</f>
        <v>0</v>
      </c>
      <c r="M137" s="6"/>
    </row>
    <row r="138" spans="8:13" s="11" customFormat="1" x14ac:dyDescent="0.3">
      <c r="H138" s="5" t="s">
        <v>434</v>
      </c>
      <c r="I138" s="39"/>
      <c r="J138" s="18"/>
      <c r="L138" s="44">
        <f>Table134567810111213141516171819202122232425262728303132[[#This Row],[الدولار]]+(Table134567810111213141516171819202122232425262728303132[[#This Row],[اللبناني]]/90)</f>
        <v>0</v>
      </c>
      <c r="M138" s="6"/>
    </row>
    <row r="139" spans="8:13" s="11" customFormat="1" x14ac:dyDescent="0.3">
      <c r="H139" s="5" t="s">
        <v>434</v>
      </c>
      <c r="I139" s="39"/>
      <c r="J139" s="18"/>
      <c r="L139" s="44">
        <f>Table134567810111213141516171819202122232425262728303132[[#This Row],[الدولار]]+(Table134567810111213141516171819202122232425262728303132[[#This Row],[اللبناني]]/90)</f>
        <v>0</v>
      </c>
      <c r="M139" s="6"/>
    </row>
    <row r="140" spans="8:13" s="11" customFormat="1" x14ac:dyDescent="0.3">
      <c r="H140" s="5" t="s">
        <v>434</v>
      </c>
      <c r="I140" s="39"/>
      <c r="J140" s="18"/>
      <c r="L140" s="44">
        <f>Table134567810111213141516171819202122232425262728303132[[#This Row],[الدولار]]+(Table134567810111213141516171819202122232425262728303132[[#This Row],[اللبناني]]/90)</f>
        <v>0</v>
      </c>
      <c r="M140" s="6"/>
    </row>
    <row r="141" spans="8:13" s="11" customFormat="1" x14ac:dyDescent="0.3">
      <c r="H141" s="5" t="s">
        <v>434</v>
      </c>
      <c r="I141" s="39"/>
      <c r="J141" s="18"/>
      <c r="L141" s="44">
        <f>Table134567810111213141516171819202122232425262728303132[[#This Row],[الدولار]]+(Table134567810111213141516171819202122232425262728303132[[#This Row],[اللبناني]]/90)</f>
        <v>0</v>
      </c>
      <c r="M141" s="6"/>
    </row>
    <row r="142" spans="8:13" s="11" customFormat="1" x14ac:dyDescent="0.3">
      <c r="H142" s="5" t="s">
        <v>434</v>
      </c>
      <c r="I142" s="39"/>
      <c r="J142" s="18"/>
      <c r="L142" s="44">
        <f>Table134567810111213141516171819202122232425262728303132[[#This Row],[الدولار]]+(Table134567810111213141516171819202122232425262728303132[[#This Row],[اللبناني]]/90)</f>
        <v>0</v>
      </c>
      <c r="M142" s="6"/>
    </row>
    <row r="143" spans="8:13" s="11" customFormat="1" x14ac:dyDescent="0.3">
      <c r="H143" s="5" t="s">
        <v>434</v>
      </c>
      <c r="I143" s="39"/>
      <c r="J143" s="18"/>
      <c r="L143" s="44">
        <f>Table134567810111213141516171819202122232425262728303132[[#This Row],[الدولار]]+(Table134567810111213141516171819202122232425262728303132[[#This Row],[اللبناني]]/90)</f>
        <v>0</v>
      </c>
      <c r="M143" s="6"/>
    </row>
    <row r="144" spans="8:13" s="11" customFormat="1" x14ac:dyDescent="0.3">
      <c r="H144" s="5" t="s">
        <v>434</v>
      </c>
      <c r="I144" s="39"/>
      <c r="J144" s="18"/>
      <c r="L144" s="44">
        <f>Table134567810111213141516171819202122232425262728303132[[#This Row],[الدولار]]+(Table134567810111213141516171819202122232425262728303132[[#This Row],[اللبناني]]/90)</f>
        <v>0</v>
      </c>
      <c r="M144" s="6"/>
    </row>
    <row r="145" spans="8:13" s="11" customFormat="1" x14ac:dyDescent="0.3">
      <c r="H145" s="5" t="s">
        <v>434</v>
      </c>
      <c r="I145" s="39"/>
      <c r="J145" s="18"/>
      <c r="L145" s="44">
        <f>Table134567810111213141516171819202122232425262728303132[[#This Row],[الدولار]]+(Table134567810111213141516171819202122232425262728303132[[#This Row],[اللبناني]]/90)</f>
        <v>0</v>
      </c>
      <c r="M145" s="6"/>
    </row>
    <row r="146" spans="8:13" s="11" customFormat="1" x14ac:dyDescent="0.3">
      <c r="H146" s="5" t="s">
        <v>434</v>
      </c>
      <c r="I146" s="39"/>
      <c r="J146" s="18"/>
      <c r="L146" s="44">
        <f>Table134567810111213141516171819202122232425262728303132[[#This Row],[الدولار]]+(Table134567810111213141516171819202122232425262728303132[[#This Row],[اللبناني]]/90)</f>
        <v>0</v>
      </c>
      <c r="M146" s="6"/>
    </row>
    <row r="147" spans="8:13" s="11" customFormat="1" x14ac:dyDescent="0.3">
      <c r="H147" s="5" t="s">
        <v>434</v>
      </c>
      <c r="I147" s="39"/>
      <c r="J147" s="18"/>
      <c r="L147" s="44">
        <f>Table134567810111213141516171819202122232425262728303132[[#This Row],[الدولار]]+(Table134567810111213141516171819202122232425262728303132[[#This Row],[اللبناني]]/90)</f>
        <v>0</v>
      </c>
      <c r="M147" s="6"/>
    </row>
    <row r="148" spans="8:13" s="11" customFormat="1" x14ac:dyDescent="0.3">
      <c r="H148" s="5" t="s">
        <v>434</v>
      </c>
      <c r="I148" s="39"/>
      <c r="J148" s="18"/>
      <c r="L148" s="44">
        <f>Table134567810111213141516171819202122232425262728303132[[#This Row],[الدولار]]+(Table134567810111213141516171819202122232425262728303132[[#This Row],[اللبناني]]/90)</f>
        <v>0</v>
      </c>
      <c r="M148" s="6"/>
    </row>
    <row r="149" spans="8:13" s="11" customFormat="1" x14ac:dyDescent="0.3">
      <c r="H149" s="5" t="s">
        <v>434</v>
      </c>
      <c r="I149" s="39"/>
      <c r="J149" s="18"/>
      <c r="L149" s="44">
        <f>Table134567810111213141516171819202122232425262728303132[[#This Row],[الدولار]]+(Table134567810111213141516171819202122232425262728303132[[#This Row],[اللبناني]]/90)</f>
        <v>0</v>
      </c>
      <c r="M149" s="6"/>
    </row>
    <row r="150" spans="8:13" s="11" customFormat="1" x14ac:dyDescent="0.3">
      <c r="H150" s="5" t="s">
        <v>434</v>
      </c>
      <c r="I150" s="39"/>
      <c r="J150" s="18"/>
      <c r="L150" s="44">
        <f>Table134567810111213141516171819202122232425262728303132[[#This Row],[الدولار]]+(Table134567810111213141516171819202122232425262728303132[[#This Row],[اللبناني]]/90)</f>
        <v>0</v>
      </c>
      <c r="M150" s="6"/>
    </row>
    <row r="151" spans="8:13" s="11" customFormat="1" x14ac:dyDescent="0.3">
      <c r="H151" s="5" t="s">
        <v>434</v>
      </c>
      <c r="I151" s="39"/>
      <c r="J151" s="18"/>
      <c r="L151" s="44">
        <f>Table134567810111213141516171819202122232425262728303132[[#This Row],[الدولار]]+(Table134567810111213141516171819202122232425262728303132[[#This Row],[اللبناني]]/90)</f>
        <v>0</v>
      </c>
      <c r="M151" s="6"/>
    </row>
    <row r="152" spans="8:13" s="11" customFormat="1" x14ac:dyDescent="0.3">
      <c r="H152" s="5" t="s">
        <v>434</v>
      </c>
      <c r="I152" s="39"/>
      <c r="J152" s="18"/>
      <c r="L152" s="44">
        <f>Table134567810111213141516171819202122232425262728303132[[#This Row],[الدولار]]+(Table134567810111213141516171819202122232425262728303132[[#This Row],[اللبناني]]/90)</f>
        <v>0</v>
      </c>
      <c r="M152" s="6"/>
    </row>
    <row r="153" spans="8:13" s="11" customFormat="1" x14ac:dyDescent="0.3">
      <c r="H153" s="5" t="s">
        <v>434</v>
      </c>
      <c r="I153" s="39"/>
      <c r="J153" s="18"/>
      <c r="L153" s="44">
        <f>Table134567810111213141516171819202122232425262728303132[[#This Row],[الدولار]]+(Table134567810111213141516171819202122232425262728303132[[#This Row],[اللبناني]]/90)</f>
        <v>0</v>
      </c>
      <c r="M153" s="6"/>
    </row>
    <row r="154" spans="8:13" s="11" customFormat="1" x14ac:dyDescent="0.3">
      <c r="H154" s="5" t="s">
        <v>434</v>
      </c>
      <c r="I154" s="39"/>
      <c r="J154" s="18"/>
      <c r="L154" s="44">
        <f>Table134567810111213141516171819202122232425262728303132[[#This Row],[الدولار]]+(Table134567810111213141516171819202122232425262728303132[[#This Row],[اللبناني]]/90)</f>
        <v>0</v>
      </c>
      <c r="M154" s="6"/>
    </row>
    <row r="155" spans="8:13" s="11" customFormat="1" x14ac:dyDescent="0.3">
      <c r="H155" s="5" t="s">
        <v>434</v>
      </c>
      <c r="I155" s="39"/>
      <c r="J155" s="18"/>
      <c r="L155" s="44">
        <f>Table134567810111213141516171819202122232425262728303132[[#This Row],[الدولار]]+(Table134567810111213141516171819202122232425262728303132[[#This Row],[اللبناني]]/90)</f>
        <v>0</v>
      </c>
      <c r="M155" s="6"/>
    </row>
    <row r="156" spans="8:13" s="11" customFormat="1" x14ac:dyDescent="0.3">
      <c r="H156" s="5" t="s">
        <v>434</v>
      </c>
      <c r="I156" s="39"/>
      <c r="J156" s="18"/>
      <c r="L156" s="44">
        <f>Table134567810111213141516171819202122232425262728303132[[#This Row],[الدولار]]+(Table134567810111213141516171819202122232425262728303132[[#This Row],[اللبناني]]/90)</f>
        <v>0</v>
      </c>
      <c r="M156" s="6"/>
    </row>
    <row r="157" spans="8:13" s="11" customFormat="1" x14ac:dyDescent="0.3">
      <c r="H157" s="5" t="s">
        <v>434</v>
      </c>
      <c r="I157" s="39"/>
      <c r="J157" s="18"/>
      <c r="L157" s="44">
        <f>Table134567810111213141516171819202122232425262728303132[[#This Row],[الدولار]]+(Table134567810111213141516171819202122232425262728303132[[#This Row],[اللبناني]]/90)</f>
        <v>0</v>
      </c>
      <c r="M157" s="6"/>
    </row>
    <row r="158" spans="8:13" s="11" customFormat="1" x14ac:dyDescent="0.3">
      <c r="H158" s="5" t="s">
        <v>434</v>
      </c>
      <c r="I158" s="39"/>
      <c r="J158" s="18"/>
      <c r="L158" s="44">
        <f>Table134567810111213141516171819202122232425262728303132[[#This Row],[الدولار]]+(Table134567810111213141516171819202122232425262728303132[[#This Row],[اللبناني]]/90)</f>
        <v>0</v>
      </c>
      <c r="M158" s="6"/>
    </row>
    <row r="159" spans="8:13" s="11" customFormat="1" x14ac:dyDescent="0.3">
      <c r="H159" s="5" t="s">
        <v>434</v>
      </c>
      <c r="I159" s="39"/>
      <c r="J159" s="18"/>
      <c r="L159" s="44">
        <f>Table134567810111213141516171819202122232425262728303132[[#This Row],[الدولار]]+(Table134567810111213141516171819202122232425262728303132[[#This Row],[اللبناني]]/90)</f>
        <v>0</v>
      </c>
      <c r="M159" s="6"/>
    </row>
    <row r="160" spans="8:13" s="11" customFormat="1" x14ac:dyDescent="0.3">
      <c r="H160" s="5" t="s">
        <v>434</v>
      </c>
      <c r="I160" s="39"/>
      <c r="J160" s="18"/>
      <c r="L160" s="44">
        <f>Table134567810111213141516171819202122232425262728303132[[#This Row],[الدولار]]+(Table134567810111213141516171819202122232425262728303132[[#This Row],[اللبناني]]/90)</f>
        <v>0</v>
      </c>
      <c r="M160" s="6"/>
    </row>
    <row r="161" spans="8:13" s="11" customFormat="1" x14ac:dyDescent="0.3">
      <c r="H161" s="5" t="s">
        <v>434</v>
      </c>
      <c r="I161" s="39"/>
      <c r="J161" s="18"/>
      <c r="L161" s="44">
        <f>Table134567810111213141516171819202122232425262728303132[[#This Row],[الدولار]]+(Table134567810111213141516171819202122232425262728303132[[#This Row],[اللبناني]]/90)</f>
        <v>0</v>
      </c>
      <c r="M161" s="6"/>
    </row>
    <row r="162" spans="8:13" s="11" customFormat="1" x14ac:dyDescent="0.3">
      <c r="H162" s="5" t="s">
        <v>434</v>
      </c>
      <c r="I162" s="39"/>
      <c r="J162" s="18"/>
      <c r="L162" s="44">
        <f>Table134567810111213141516171819202122232425262728303132[[#This Row],[الدولار]]+(Table134567810111213141516171819202122232425262728303132[[#This Row],[اللبناني]]/90)</f>
        <v>0</v>
      </c>
      <c r="M162" s="6"/>
    </row>
    <row r="163" spans="8:13" s="11" customFormat="1" x14ac:dyDescent="0.3">
      <c r="H163" s="5" t="s">
        <v>434</v>
      </c>
      <c r="I163" s="39"/>
      <c r="J163" s="18"/>
      <c r="L163" s="44">
        <f>Table134567810111213141516171819202122232425262728303132[[#This Row],[الدولار]]+(Table134567810111213141516171819202122232425262728303132[[#This Row],[اللبناني]]/90)</f>
        <v>0</v>
      </c>
      <c r="M163" s="6"/>
    </row>
    <row r="164" spans="8:13" s="11" customFormat="1" x14ac:dyDescent="0.3">
      <c r="H164" s="5" t="s">
        <v>434</v>
      </c>
      <c r="I164" s="39"/>
      <c r="J164" s="18"/>
      <c r="L164" s="44">
        <f>Table134567810111213141516171819202122232425262728303132[[#This Row],[الدولار]]+(Table134567810111213141516171819202122232425262728303132[[#This Row],[اللبناني]]/90)</f>
        <v>0</v>
      </c>
      <c r="M164" s="6"/>
    </row>
    <row r="165" spans="8:13" s="11" customFormat="1" x14ac:dyDescent="0.3">
      <c r="H165" s="5" t="s">
        <v>434</v>
      </c>
      <c r="I165" s="39"/>
      <c r="J165" s="18"/>
      <c r="L165" s="44">
        <f>Table134567810111213141516171819202122232425262728303132[[#This Row],[الدولار]]+(Table134567810111213141516171819202122232425262728303132[[#This Row],[اللبناني]]/90)</f>
        <v>0</v>
      </c>
      <c r="M165" s="6"/>
    </row>
    <row r="166" spans="8:13" s="11" customFormat="1" x14ac:dyDescent="0.3">
      <c r="H166" s="5" t="s">
        <v>434</v>
      </c>
      <c r="I166" s="39"/>
      <c r="J166" s="18"/>
      <c r="L166" s="44">
        <f>Table134567810111213141516171819202122232425262728303132[[#This Row],[الدولار]]+(Table134567810111213141516171819202122232425262728303132[[#This Row],[اللبناني]]/90)</f>
        <v>0</v>
      </c>
      <c r="M166" s="6"/>
    </row>
    <row r="167" spans="8:13" s="11" customFormat="1" x14ac:dyDescent="0.3">
      <c r="H167" s="5" t="s">
        <v>434</v>
      </c>
      <c r="I167" s="39"/>
      <c r="J167" s="18"/>
      <c r="L167" s="44">
        <f>Table134567810111213141516171819202122232425262728303132[[#This Row],[الدولار]]+(Table134567810111213141516171819202122232425262728303132[[#This Row],[اللبناني]]/90)</f>
        <v>0</v>
      </c>
      <c r="M167" s="6"/>
    </row>
    <row r="168" spans="8:13" s="11" customFormat="1" x14ac:dyDescent="0.3">
      <c r="H168" s="5" t="s">
        <v>434</v>
      </c>
      <c r="I168" s="39"/>
      <c r="J168" s="18"/>
      <c r="L168" s="44">
        <f>Table134567810111213141516171819202122232425262728303132[[#This Row],[الدولار]]+(Table134567810111213141516171819202122232425262728303132[[#This Row],[اللبناني]]/90)</f>
        <v>0</v>
      </c>
      <c r="M168" s="6"/>
    </row>
    <row r="169" spans="8:13" s="11" customFormat="1" x14ac:dyDescent="0.3">
      <c r="H169" s="5" t="s">
        <v>434</v>
      </c>
      <c r="I169" s="39"/>
      <c r="J169" s="18"/>
      <c r="L169" s="44">
        <f>Table134567810111213141516171819202122232425262728303132[[#This Row],[الدولار]]+(Table134567810111213141516171819202122232425262728303132[[#This Row],[اللبناني]]/90)</f>
        <v>0</v>
      </c>
      <c r="M169" s="6"/>
    </row>
    <row r="170" spans="8:13" s="11" customFormat="1" x14ac:dyDescent="0.3">
      <c r="H170" s="5" t="s">
        <v>434</v>
      </c>
      <c r="I170" s="39"/>
      <c r="J170" s="18"/>
      <c r="L170" s="44">
        <f>Table134567810111213141516171819202122232425262728303132[[#This Row],[الدولار]]+(Table134567810111213141516171819202122232425262728303132[[#This Row],[اللبناني]]/90)</f>
        <v>0</v>
      </c>
      <c r="M170" s="6"/>
    </row>
    <row r="171" spans="8:13" s="11" customFormat="1" x14ac:dyDescent="0.3">
      <c r="H171" s="5" t="s">
        <v>434</v>
      </c>
      <c r="I171" s="39"/>
      <c r="J171" s="18"/>
      <c r="L171" s="44">
        <f>Table134567810111213141516171819202122232425262728303132[[#This Row],[الدولار]]+(Table134567810111213141516171819202122232425262728303132[[#This Row],[اللبناني]]/90)</f>
        <v>0</v>
      </c>
      <c r="M171" s="6"/>
    </row>
    <row r="172" spans="8:13" s="11" customFormat="1" x14ac:dyDescent="0.3">
      <c r="H172" s="5" t="s">
        <v>434</v>
      </c>
      <c r="I172" s="39"/>
      <c r="J172" s="18"/>
      <c r="L172" s="44">
        <f>Table134567810111213141516171819202122232425262728303132[[#This Row],[الدولار]]+(Table134567810111213141516171819202122232425262728303132[[#This Row],[اللبناني]]/90)</f>
        <v>0</v>
      </c>
      <c r="M172" s="6"/>
    </row>
    <row r="173" spans="8:13" s="11" customFormat="1" x14ac:dyDescent="0.3">
      <c r="H173" s="5" t="s">
        <v>434</v>
      </c>
      <c r="I173" s="39"/>
      <c r="J173" s="18"/>
      <c r="L173" s="44">
        <f>Table134567810111213141516171819202122232425262728303132[[#This Row],[الدولار]]+(Table134567810111213141516171819202122232425262728303132[[#This Row],[اللبناني]]/90)</f>
        <v>0</v>
      </c>
      <c r="M173" s="6"/>
    </row>
    <row r="174" spans="8:13" s="11" customFormat="1" x14ac:dyDescent="0.3">
      <c r="H174" s="5" t="s">
        <v>434</v>
      </c>
      <c r="I174" s="39"/>
      <c r="J174" s="18"/>
      <c r="L174" s="44">
        <f>Table134567810111213141516171819202122232425262728303132[[#This Row],[الدولار]]+(Table134567810111213141516171819202122232425262728303132[[#This Row],[اللبناني]]/90)</f>
        <v>0</v>
      </c>
      <c r="M174" s="6"/>
    </row>
    <row r="175" spans="8:13" s="11" customFormat="1" x14ac:dyDescent="0.3">
      <c r="H175" s="5" t="s">
        <v>434</v>
      </c>
      <c r="I175" s="39"/>
      <c r="J175" s="18"/>
      <c r="L175" s="44">
        <f>Table134567810111213141516171819202122232425262728303132[[#This Row],[الدولار]]+(Table134567810111213141516171819202122232425262728303132[[#This Row],[اللبناني]]/90)</f>
        <v>0</v>
      </c>
      <c r="M175" s="6"/>
    </row>
    <row r="176" spans="8:13" s="11" customFormat="1" x14ac:dyDescent="0.3">
      <c r="H176" s="5" t="s">
        <v>434</v>
      </c>
      <c r="I176" s="39"/>
      <c r="J176" s="18"/>
      <c r="L176" s="44">
        <f>Table134567810111213141516171819202122232425262728303132[[#This Row],[الدولار]]+(Table134567810111213141516171819202122232425262728303132[[#This Row],[اللبناني]]/90)</f>
        <v>0</v>
      </c>
      <c r="M176" s="6"/>
    </row>
    <row r="177" spans="8:13" s="11" customFormat="1" x14ac:dyDescent="0.3">
      <c r="H177" s="5" t="s">
        <v>434</v>
      </c>
      <c r="I177" s="39"/>
      <c r="J177" s="18"/>
      <c r="L177" s="44">
        <f>Table134567810111213141516171819202122232425262728303132[[#This Row],[الدولار]]+(Table134567810111213141516171819202122232425262728303132[[#This Row],[اللبناني]]/90)</f>
        <v>0</v>
      </c>
      <c r="M177" s="6"/>
    </row>
    <row r="178" spans="8:13" s="11" customFormat="1" x14ac:dyDescent="0.3">
      <c r="H178" s="5" t="s">
        <v>434</v>
      </c>
      <c r="I178" s="39"/>
      <c r="J178" s="18"/>
      <c r="L178" s="44">
        <f>Table134567810111213141516171819202122232425262728303132[[#This Row],[الدولار]]+(Table134567810111213141516171819202122232425262728303132[[#This Row],[اللبناني]]/90)</f>
        <v>0</v>
      </c>
      <c r="M178" s="6"/>
    </row>
    <row r="179" spans="8:13" s="11" customFormat="1" x14ac:dyDescent="0.3">
      <c r="H179" s="5" t="s">
        <v>434</v>
      </c>
      <c r="I179" s="39"/>
      <c r="J179" s="18"/>
      <c r="L179" s="44">
        <f>Table134567810111213141516171819202122232425262728303132[[#This Row],[الدولار]]+(Table134567810111213141516171819202122232425262728303132[[#This Row],[اللبناني]]/90)</f>
        <v>0</v>
      </c>
      <c r="M179" s="6"/>
    </row>
    <row r="180" spans="8:13" s="11" customFormat="1" x14ac:dyDescent="0.3">
      <c r="H180" s="5" t="s">
        <v>434</v>
      </c>
      <c r="I180" s="39"/>
      <c r="J180" s="18"/>
      <c r="L180" s="44">
        <f>Table134567810111213141516171819202122232425262728303132[[#This Row],[الدولار]]+(Table134567810111213141516171819202122232425262728303132[[#This Row],[اللبناني]]/90)</f>
        <v>0</v>
      </c>
      <c r="M180" s="6"/>
    </row>
    <row r="181" spans="8:13" s="11" customFormat="1" x14ac:dyDescent="0.3">
      <c r="H181" s="5" t="s">
        <v>434</v>
      </c>
      <c r="I181" s="39"/>
      <c r="J181" s="18"/>
      <c r="L181" s="44">
        <f>Table134567810111213141516171819202122232425262728303132[[#This Row],[الدولار]]+(Table134567810111213141516171819202122232425262728303132[[#This Row],[اللبناني]]/90)</f>
        <v>0</v>
      </c>
      <c r="M181" s="6"/>
    </row>
    <row r="182" spans="8:13" s="11" customFormat="1" x14ac:dyDescent="0.3">
      <c r="H182" s="5" t="s">
        <v>434</v>
      </c>
      <c r="I182" s="39"/>
      <c r="J182" s="18"/>
      <c r="L182" s="44">
        <f>Table134567810111213141516171819202122232425262728303132[[#This Row],[الدولار]]+(Table134567810111213141516171819202122232425262728303132[[#This Row],[اللبناني]]/90)</f>
        <v>0</v>
      </c>
      <c r="M182" s="6"/>
    </row>
    <row r="183" spans="8:13" s="11" customFormat="1" x14ac:dyDescent="0.3">
      <c r="H183" s="5" t="s">
        <v>434</v>
      </c>
      <c r="I183" s="39"/>
      <c r="J183" s="18"/>
      <c r="L183" s="44">
        <f>Table134567810111213141516171819202122232425262728303132[[#This Row],[الدولار]]+(Table134567810111213141516171819202122232425262728303132[[#This Row],[اللبناني]]/90)</f>
        <v>0</v>
      </c>
      <c r="M183" s="6"/>
    </row>
    <row r="184" spans="8:13" s="11" customFormat="1" x14ac:dyDescent="0.3">
      <c r="H184" s="5" t="s">
        <v>434</v>
      </c>
      <c r="I184" s="39"/>
      <c r="J184" s="18"/>
      <c r="L184" s="44">
        <f>Table134567810111213141516171819202122232425262728303132[[#This Row],[الدولار]]+(Table134567810111213141516171819202122232425262728303132[[#This Row],[اللبناني]]/90)</f>
        <v>0</v>
      </c>
      <c r="M184" s="6"/>
    </row>
    <row r="185" spans="8:13" s="11" customFormat="1" x14ac:dyDescent="0.3">
      <c r="H185" s="5" t="s">
        <v>434</v>
      </c>
      <c r="I185" s="39"/>
      <c r="J185" s="18"/>
      <c r="L185" s="44">
        <f>Table134567810111213141516171819202122232425262728303132[[#This Row],[الدولار]]+(Table134567810111213141516171819202122232425262728303132[[#This Row],[اللبناني]]/90)</f>
        <v>0</v>
      </c>
      <c r="M185" s="6"/>
    </row>
    <row r="186" spans="8:13" s="11" customFormat="1" x14ac:dyDescent="0.3">
      <c r="H186" s="5" t="s">
        <v>434</v>
      </c>
      <c r="I186" s="39"/>
      <c r="J186" s="18"/>
      <c r="L186" s="44">
        <f>Table134567810111213141516171819202122232425262728303132[[#This Row],[الدولار]]+(Table134567810111213141516171819202122232425262728303132[[#This Row],[اللبناني]]/90)</f>
        <v>0</v>
      </c>
      <c r="M186" s="6"/>
    </row>
    <row r="187" spans="8:13" s="11" customFormat="1" x14ac:dyDescent="0.3">
      <c r="H187" s="5" t="s">
        <v>434</v>
      </c>
      <c r="I187" s="39"/>
      <c r="J187" s="18"/>
      <c r="L187" s="44">
        <f>Table134567810111213141516171819202122232425262728303132[[#This Row],[الدولار]]+(Table134567810111213141516171819202122232425262728303132[[#This Row],[اللبناني]]/90)</f>
        <v>0</v>
      </c>
      <c r="M187" s="6"/>
    </row>
    <row r="188" spans="8:13" s="11" customFormat="1" x14ac:dyDescent="0.3">
      <c r="H188" s="5" t="s">
        <v>434</v>
      </c>
      <c r="I188" s="39"/>
      <c r="J188" s="18"/>
      <c r="L188" s="44">
        <f>Table134567810111213141516171819202122232425262728303132[[#This Row],[الدولار]]+(Table134567810111213141516171819202122232425262728303132[[#This Row],[اللبناني]]/90)</f>
        <v>0</v>
      </c>
      <c r="M188" s="6"/>
    </row>
    <row r="189" spans="8:13" s="11" customFormat="1" x14ac:dyDescent="0.3">
      <c r="H189" s="5" t="s">
        <v>434</v>
      </c>
      <c r="I189" s="39"/>
      <c r="J189" s="18"/>
      <c r="L189" s="44">
        <f>Table134567810111213141516171819202122232425262728303132[[#This Row],[الدولار]]+(Table134567810111213141516171819202122232425262728303132[[#This Row],[اللبناني]]/90)</f>
        <v>0</v>
      </c>
      <c r="M189" s="6"/>
    </row>
    <row r="190" spans="8:13" s="11" customFormat="1" x14ac:dyDescent="0.3">
      <c r="H190" s="5" t="s">
        <v>434</v>
      </c>
      <c r="I190" s="39"/>
      <c r="J190" s="18"/>
      <c r="L190" s="44">
        <f>Table134567810111213141516171819202122232425262728303132[[#This Row],[الدولار]]+(Table134567810111213141516171819202122232425262728303132[[#This Row],[اللبناني]]/90)</f>
        <v>0</v>
      </c>
      <c r="M190" s="6"/>
    </row>
    <row r="191" spans="8:13" s="11" customFormat="1" x14ac:dyDescent="0.3">
      <c r="H191" s="5" t="s">
        <v>434</v>
      </c>
      <c r="I191" s="39"/>
      <c r="J191" s="18"/>
      <c r="L191" s="44">
        <f>Table134567810111213141516171819202122232425262728303132[[#This Row],[الدولار]]+(Table134567810111213141516171819202122232425262728303132[[#This Row],[اللبناني]]/90)</f>
        <v>0</v>
      </c>
      <c r="M191" s="6"/>
    </row>
    <row r="192" spans="8:13" s="11" customFormat="1" x14ac:dyDescent="0.3">
      <c r="H192" s="5" t="s">
        <v>434</v>
      </c>
      <c r="I192" s="39"/>
      <c r="J192" s="18"/>
      <c r="L192" s="44">
        <f>Table134567810111213141516171819202122232425262728303132[[#This Row],[الدولار]]+(Table134567810111213141516171819202122232425262728303132[[#This Row],[اللبناني]]/90)</f>
        <v>0</v>
      </c>
      <c r="M192" s="6"/>
    </row>
    <row r="193" spans="8:13" s="11" customFormat="1" x14ac:dyDescent="0.3">
      <c r="H193" s="5" t="s">
        <v>434</v>
      </c>
      <c r="I193" s="39"/>
      <c r="J193" s="18"/>
      <c r="L193" s="44">
        <f>Table134567810111213141516171819202122232425262728303132[[#This Row],[الدولار]]+(Table134567810111213141516171819202122232425262728303132[[#This Row],[اللبناني]]/90)</f>
        <v>0</v>
      </c>
      <c r="M193" s="6"/>
    </row>
    <row r="194" spans="8:13" s="11" customFormat="1" x14ac:dyDescent="0.3">
      <c r="H194" s="5" t="s">
        <v>434</v>
      </c>
      <c r="I194" s="39"/>
      <c r="J194" s="18"/>
      <c r="L194" s="44">
        <f>Table134567810111213141516171819202122232425262728303132[[#This Row],[الدولار]]+(Table134567810111213141516171819202122232425262728303132[[#This Row],[اللبناني]]/90)</f>
        <v>0</v>
      </c>
      <c r="M194" s="6"/>
    </row>
    <row r="195" spans="8:13" s="11" customFormat="1" x14ac:dyDescent="0.3">
      <c r="H195" s="5" t="s">
        <v>434</v>
      </c>
      <c r="I195" s="39"/>
      <c r="J195" s="18"/>
      <c r="L195" s="44">
        <f>Table134567810111213141516171819202122232425262728303132[[#This Row],[الدولار]]+(Table134567810111213141516171819202122232425262728303132[[#This Row],[اللبناني]]/90)</f>
        <v>0</v>
      </c>
      <c r="M195" s="6"/>
    </row>
    <row r="196" spans="8:13" s="11" customFormat="1" x14ac:dyDescent="0.3">
      <c r="H196" s="5" t="s">
        <v>434</v>
      </c>
      <c r="I196" s="39"/>
      <c r="J196" s="18"/>
      <c r="L196" s="44">
        <f>Table134567810111213141516171819202122232425262728303132[[#This Row],[الدولار]]+(Table134567810111213141516171819202122232425262728303132[[#This Row],[اللبناني]]/90)</f>
        <v>0</v>
      </c>
      <c r="M196" s="6"/>
    </row>
    <row r="197" spans="8:13" s="11" customFormat="1" x14ac:dyDescent="0.3">
      <c r="H197" s="5" t="s">
        <v>434</v>
      </c>
      <c r="I197" s="39"/>
      <c r="J197" s="18"/>
      <c r="L197" s="44">
        <f>Table134567810111213141516171819202122232425262728303132[[#This Row],[الدولار]]+(Table134567810111213141516171819202122232425262728303132[[#This Row],[اللبناني]]/90)</f>
        <v>0</v>
      </c>
      <c r="M197" s="6"/>
    </row>
    <row r="198" spans="8:13" s="11" customFormat="1" x14ac:dyDescent="0.3">
      <c r="H198" s="5" t="s">
        <v>434</v>
      </c>
      <c r="I198" s="39"/>
      <c r="J198" s="18"/>
      <c r="L198" s="44">
        <f>Table134567810111213141516171819202122232425262728303132[[#This Row],[الدولار]]+(Table134567810111213141516171819202122232425262728303132[[#This Row],[اللبناني]]/90)</f>
        <v>0</v>
      </c>
      <c r="M198" s="6"/>
    </row>
    <row r="199" spans="8:13" s="11" customFormat="1" x14ac:dyDescent="0.3">
      <c r="H199" s="5" t="s">
        <v>434</v>
      </c>
      <c r="I199" s="39"/>
      <c r="J199" s="18"/>
      <c r="L199" s="44">
        <f>Table134567810111213141516171819202122232425262728303132[[#This Row],[الدولار]]+(Table134567810111213141516171819202122232425262728303132[[#This Row],[اللبناني]]/90)</f>
        <v>0</v>
      </c>
      <c r="M199" s="6"/>
    </row>
    <row r="200" spans="8:13" s="11" customFormat="1" x14ac:dyDescent="0.3">
      <c r="H200" s="5" t="s">
        <v>434</v>
      </c>
      <c r="I200" s="39"/>
      <c r="J200" s="18"/>
      <c r="L200" s="44">
        <f>Table134567810111213141516171819202122232425262728303132[[#This Row],[الدولار]]+(Table134567810111213141516171819202122232425262728303132[[#This Row],[اللبناني]]/90)</f>
        <v>0</v>
      </c>
      <c r="M200" s="6"/>
    </row>
    <row r="201" spans="8:13" s="11" customFormat="1" x14ac:dyDescent="0.3">
      <c r="H201" s="5" t="s">
        <v>434</v>
      </c>
      <c r="I201" s="39"/>
      <c r="J201" s="18"/>
      <c r="L201" s="44">
        <f>Table134567810111213141516171819202122232425262728303132[[#This Row],[الدولار]]+(Table134567810111213141516171819202122232425262728303132[[#This Row],[اللبناني]]/90)</f>
        <v>0</v>
      </c>
      <c r="M201" s="6"/>
    </row>
    <row r="202" spans="8:13" s="11" customFormat="1" x14ac:dyDescent="0.3">
      <c r="H202" s="5" t="s">
        <v>434</v>
      </c>
      <c r="I202" s="39"/>
      <c r="J202" s="18"/>
      <c r="L202" s="44">
        <f>Table134567810111213141516171819202122232425262728303132[[#This Row],[الدولار]]+(Table134567810111213141516171819202122232425262728303132[[#This Row],[اللبناني]]/90)</f>
        <v>0</v>
      </c>
      <c r="M202" s="6"/>
    </row>
    <row r="203" spans="8:13" s="11" customFormat="1" x14ac:dyDescent="0.3">
      <c r="H203" s="5" t="s">
        <v>434</v>
      </c>
      <c r="I203" s="39"/>
      <c r="J203" s="18"/>
      <c r="L203" s="44">
        <f>Table134567810111213141516171819202122232425262728303132[[#This Row],[الدولار]]+(Table134567810111213141516171819202122232425262728303132[[#This Row],[اللبناني]]/90)</f>
        <v>0</v>
      </c>
      <c r="M203" s="6"/>
    </row>
    <row r="204" spans="8:13" s="11" customFormat="1" x14ac:dyDescent="0.3">
      <c r="H204" s="5" t="s">
        <v>434</v>
      </c>
      <c r="I204" s="39"/>
      <c r="J204" s="18"/>
      <c r="L204" s="44">
        <f>Table134567810111213141516171819202122232425262728303132[[#This Row],[الدولار]]+(Table134567810111213141516171819202122232425262728303132[[#This Row],[اللبناني]]/90)</f>
        <v>0</v>
      </c>
      <c r="M204" s="6"/>
    </row>
    <row r="205" spans="8:13" s="11" customFormat="1" x14ac:dyDescent="0.3">
      <c r="H205" s="5" t="s">
        <v>434</v>
      </c>
      <c r="I205" s="39"/>
      <c r="J205" s="18"/>
      <c r="L205" s="44">
        <f>Table134567810111213141516171819202122232425262728303132[[#This Row],[الدولار]]+(Table134567810111213141516171819202122232425262728303132[[#This Row],[اللبناني]]/90)</f>
        <v>0</v>
      </c>
      <c r="M205" s="6"/>
    </row>
    <row r="206" spans="8:13" s="11" customFormat="1" x14ac:dyDescent="0.3">
      <c r="H206" s="5" t="s">
        <v>434</v>
      </c>
      <c r="I206" s="39"/>
      <c r="J206" s="18"/>
      <c r="L206" s="44">
        <f>Table134567810111213141516171819202122232425262728303132[[#This Row],[الدولار]]+(Table134567810111213141516171819202122232425262728303132[[#This Row],[اللبناني]]/90)</f>
        <v>0</v>
      </c>
      <c r="M206" s="6"/>
    </row>
    <row r="207" spans="8:13" s="11" customFormat="1" x14ac:dyDescent="0.3">
      <c r="H207" s="5" t="s">
        <v>434</v>
      </c>
      <c r="I207" s="39"/>
      <c r="J207" s="18"/>
      <c r="L207" s="44">
        <f>Table134567810111213141516171819202122232425262728303132[[#This Row],[الدولار]]+(Table134567810111213141516171819202122232425262728303132[[#This Row],[اللبناني]]/90)</f>
        <v>0</v>
      </c>
      <c r="M207" s="6"/>
    </row>
    <row r="208" spans="8:13" s="11" customFormat="1" x14ac:dyDescent="0.3">
      <c r="H208" s="5" t="s">
        <v>434</v>
      </c>
      <c r="I208" s="39"/>
      <c r="J208" s="18"/>
      <c r="L208" s="44">
        <f>Table134567810111213141516171819202122232425262728303132[[#This Row],[الدولار]]+(Table134567810111213141516171819202122232425262728303132[[#This Row],[اللبناني]]/90)</f>
        <v>0</v>
      </c>
      <c r="M208" s="6"/>
    </row>
    <row r="209" spans="8:13" s="11" customFormat="1" x14ac:dyDescent="0.3">
      <c r="H209" s="5" t="s">
        <v>434</v>
      </c>
      <c r="I209" s="39"/>
      <c r="J209" s="18"/>
      <c r="L209" s="44">
        <f>Table134567810111213141516171819202122232425262728303132[[#This Row],[الدولار]]+(Table134567810111213141516171819202122232425262728303132[[#This Row],[اللبناني]]/90)</f>
        <v>0</v>
      </c>
      <c r="M209" s="6"/>
    </row>
    <row r="210" spans="8:13" s="11" customFormat="1" x14ac:dyDescent="0.3">
      <c r="H210" s="5" t="s">
        <v>434</v>
      </c>
      <c r="I210" s="39"/>
      <c r="J210" s="18"/>
      <c r="L210" s="44">
        <f>Table134567810111213141516171819202122232425262728303132[[#This Row],[الدولار]]+(Table134567810111213141516171819202122232425262728303132[[#This Row],[اللبناني]]/90)</f>
        <v>0</v>
      </c>
      <c r="M210" s="6"/>
    </row>
    <row r="211" spans="8:13" s="11" customFormat="1" x14ac:dyDescent="0.3">
      <c r="H211" s="5" t="s">
        <v>434</v>
      </c>
      <c r="I211" s="39"/>
      <c r="J211" s="18"/>
      <c r="L211" s="44">
        <f>Table134567810111213141516171819202122232425262728303132[[#This Row],[الدولار]]+(Table134567810111213141516171819202122232425262728303132[[#This Row],[اللبناني]]/90)</f>
        <v>0</v>
      </c>
      <c r="M211" s="6"/>
    </row>
    <row r="212" spans="8:13" s="11" customFormat="1" x14ac:dyDescent="0.3">
      <c r="H212" s="5" t="s">
        <v>434</v>
      </c>
      <c r="I212" s="39"/>
      <c r="J212" s="18"/>
      <c r="L212" s="44">
        <f>Table134567810111213141516171819202122232425262728303132[[#This Row],[الدولار]]+(Table134567810111213141516171819202122232425262728303132[[#This Row],[اللبناني]]/90)</f>
        <v>0</v>
      </c>
      <c r="M212" s="6"/>
    </row>
    <row r="213" spans="8:13" s="11" customFormat="1" x14ac:dyDescent="0.3">
      <c r="H213" s="5" t="s">
        <v>434</v>
      </c>
      <c r="I213" s="39"/>
      <c r="J213" s="18"/>
      <c r="L213" s="44">
        <f>Table134567810111213141516171819202122232425262728303132[[#This Row],[الدولار]]+(Table134567810111213141516171819202122232425262728303132[[#This Row],[اللبناني]]/90)</f>
        <v>0</v>
      </c>
      <c r="M213" s="6"/>
    </row>
    <row r="214" spans="8:13" s="11" customFormat="1" x14ac:dyDescent="0.3">
      <c r="H214" s="5" t="s">
        <v>434</v>
      </c>
      <c r="I214" s="39"/>
      <c r="J214" s="18"/>
      <c r="L214" s="44">
        <f>Table134567810111213141516171819202122232425262728303132[[#This Row],[الدولار]]+(Table134567810111213141516171819202122232425262728303132[[#This Row],[اللبناني]]/90)</f>
        <v>0</v>
      </c>
      <c r="M214" s="6"/>
    </row>
    <row r="215" spans="8:13" s="11" customFormat="1" x14ac:dyDescent="0.3">
      <c r="H215" s="5" t="s">
        <v>434</v>
      </c>
      <c r="I215" s="39"/>
      <c r="J215" s="18"/>
      <c r="L215" s="44">
        <f>Table134567810111213141516171819202122232425262728303132[[#This Row],[الدولار]]+(Table134567810111213141516171819202122232425262728303132[[#This Row],[اللبناني]]/90)</f>
        <v>0</v>
      </c>
      <c r="M215" s="6"/>
    </row>
    <row r="216" spans="8:13" s="11" customFormat="1" x14ac:dyDescent="0.3">
      <c r="H216" s="5" t="s">
        <v>434</v>
      </c>
      <c r="I216" s="39"/>
      <c r="J216" s="18"/>
      <c r="L216" s="44">
        <f>Table134567810111213141516171819202122232425262728303132[[#This Row],[الدولار]]+(Table134567810111213141516171819202122232425262728303132[[#This Row],[اللبناني]]/90)</f>
        <v>0</v>
      </c>
      <c r="M216" s="6"/>
    </row>
    <row r="217" spans="8:13" s="11" customFormat="1" x14ac:dyDescent="0.3">
      <c r="H217" s="5" t="s">
        <v>434</v>
      </c>
      <c r="I217" s="39"/>
      <c r="J217" s="18"/>
      <c r="L217" s="44">
        <f>Table134567810111213141516171819202122232425262728303132[[#This Row],[الدولار]]+(Table134567810111213141516171819202122232425262728303132[[#This Row],[اللبناني]]/90)</f>
        <v>0</v>
      </c>
      <c r="M217" s="6"/>
    </row>
    <row r="218" spans="8:13" s="11" customFormat="1" x14ac:dyDescent="0.3">
      <c r="H218" s="5" t="s">
        <v>434</v>
      </c>
      <c r="I218" s="39"/>
      <c r="J218" s="18"/>
      <c r="L218" s="44">
        <f>Table134567810111213141516171819202122232425262728303132[[#This Row],[الدولار]]+(Table134567810111213141516171819202122232425262728303132[[#This Row],[اللبناني]]/90)</f>
        <v>0</v>
      </c>
      <c r="M218" s="6"/>
    </row>
    <row r="219" spans="8:13" s="11" customFormat="1" x14ac:dyDescent="0.3">
      <c r="H219" s="5" t="s">
        <v>434</v>
      </c>
      <c r="I219" s="39"/>
      <c r="J219" s="18"/>
      <c r="L219" s="44">
        <f>Table134567810111213141516171819202122232425262728303132[[#This Row],[الدولار]]+(Table134567810111213141516171819202122232425262728303132[[#This Row],[اللبناني]]/90)</f>
        <v>0</v>
      </c>
      <c r="M219" s="6"/>
    </row>
    <row r="220" spans="8:13" s="11" customFormat="1" x14ac:dyDescent="0.3">
      <c r="H220" s="5" t="s">
        <v>434</v>
      </c>
      <c r="I220" s="39"/>
      <c r="J220" s="18"/>
      <c r="L220" s="44">
        <f>Table134567810111213141516171819202122232425262728303132[[#This Row],[الدولار]]+(Table134567810111213141516171819202122232425262728303132[[#This Row],[اللبناني]]/90)</f>
        <v>0</v>
      </c>
      <c r="M220" s="6"/>
    </row>
    <row r="221" spans="8:13" s="11" customFormat="1" x14ac:dyDescent="0.3">
      <c r="H221" s="5" t="s">
        <v>434</v>
      </c>
      <c r="I221" s="39"/>
      <c r="J221" s="18"/>
      <c r="L221" s="44">
        <f>Table134567810111213141516171819202122232425262728303132[[#This Row],[الدولار]]+(Table134567810111213141516171819202122232425262728303132[[#This Row],[اللبناني]]/90)</f>
        <v>0</v>
      </c>
      <c r="M221" s="6"/>
    </row>
    <row r="222" spans="8:13" s="11" customFormat="1" x14ac:dyDescent="0.3">
      <c r="H222" s="5" t="s">
        <v>434</v>
      </c>
      <c r="I222" s="39"/>
      <c r="J222" s="18"/>
      <c r="L222" s="44">
        <f>Table134567810111213141516171819202122232425262728303132[[#This Row],[الدولار]]+(Table134567810111213141516171819202122232425262728303132[[#This Row],[اللبناني]]/90)</f>
        <v>0</v>
      </c>
      <c r="M222" s="6"/>
    </row>
    <row r="223" spans="8:13" s="11" customFormat="1" x14ac:dyDescent="0.3">
      <c r="H223" s="5" t="s">
        <v>434</v>
      </c>
      <c r="I223" s="39"/>
      <c r="J223" s="18"/>
      <c r="L223" s="44">
        <f>Table134567810111213141516171819202122232425262728303132[[#This Row],[الدولار]]+(Table134567810111213141516171819202122232425262728303132[[#This Row],[اللبناني]]/90)</f>
        <v>0</v>
      </c>
      <c r="M223" s="6"/>
    </row>
    <row r="224" spans="8:13" s="11" customFormat="1" x14ac:dyDescent="0.3">
      <c r="H224" s="5" t="s">
        <v>434</v>
      </c>
      <c r="I224" s="39"/>
      <c r="J224" s="18"/>
      <c r="L224" s="44">
        <f>Table134567810111213141516171819202122232425262728303132[[#This Row],[الدولار]]+(Table134567810111213141516171819202122232425262728303132[[#This Row],[اللبناني]]/90)</f>
        <v>0</v>
      </c>
      <c r="M224" s="6"/>
    </row>
    <row r="225" spans="8:13" s="11" customFormat="1" x14ac:dyDescent="0.3">
      <c r="H225" s="5" t="s">
        <v>434</v>
      </c>
      <c r="I225" s="39"/>
      <c r="J225" s="18"/>
      <c r="L225" s="44">
        <f>Table134567810111213141516171819202122232425262728303132[[#This Row],[الدولار]]+(Table134567810111213141516171819202122232425262728303132[[#This Row],[اللبناني]]/90)</f>
        <v>0</v>
      </c>
      <c r="M225" s="6"/>
    </row>
    <row r="226" spans="8:13" s="11" customFormat="1" x14ac:dyDescent="0.3">
      <c r="H226" s="5" t="s">
        <v>434</v>
      </c>
      <c r="I226" s="39"/>
      <c r="J226" s="18"/>
      <c r="L226" s="44">
        <f>Table134567810111213141516171819202122232425262728303132[[#This Row],[الدولار]]+(Table134567810111213141516171819202122232425262728303132[[#This Row],[اللبناني]]/90)</f>
        <v>0</v>
      </c>
      <c r="M226" s="6"/>
    </row>
    <row r="227" spans="8:13" s="11" customFormat="1" x14ac:dyDescent="0.3">
      <c r="H227" s="5" t="s">
        <v>434</v>
      </c>
      <c r="I227" s="39"/>
      <c r="J227" s="18"/>
      <c r="L227" s="44">
        <f>Table134567810111213141516171819202122232425262728303132[[#This Row],[الدولار]]+(Table134567810111213141516171819202122232425262728303132[[#This Row],[اللبناني]]/90)</f>
        <v>0</v>
      </c>
      <c r="M227" s="6"/>
    </row>
    <row r="228" spans="8:13" s="11" customFormat="1" x14ac:dyDescent="0.3">
      <c r="H228" s="5" t="s">
        <v>434</v>
      </c>
      <c r="I228" s="39"/>
      <c r="J228" s="18"/>
      <c r="L228" s="44">
        <f>Table134567810111213141516171819202122232425262728303132[[#This Row],[الدولار]]+(Table134567810111213141516171819202122232425262728303132[[#This Row],[اللبناني]]/90)</f>
        <v>0</v>
      </c>
      <c r="M228" s="6"/>
    </row>
    <row r="229" spans="8:13" s="11" customFormat="1" x14ac:dyDescent="0.3">
      <c r="H229" s="5" t="s">
        <v>434</v>
      </c>
      <c r="I229" s="39"/>
      <c r="J229" s="18"/>
      <c r="L229" s="44">
        <f>Table134567810111213141516171819202122232425262728303132[[#This Row],[الدولار]]+(Table134567810111213141516171819202122232425262728303132[[#This Row],[اللبناني]]/90)</f>
        <v>0</v>
      </c>
      <c r="M229" s="6"/>
    </row>
    <row r="230" spans="8:13" s="11" customFormat="1" x14ac:dyDescent="0.3">
      <c r="H230" s="5" t="s">
        <v>434</v>
      </c>
      <c r="I230" s="39"/>
      <c r="J230" s="18"/>
      <c r="L230" s="44">
        <f>Table134567810111213141516171819202122232425262728303132[[#This Row],[الدولار]]+(Table134567810111213141516171819202122232425262728303132[[#This Row],[اللبناني]]/90)</f>
        <v>0</v>
      </c>
      <c r="M230" s="6"/>
    </row>
    <row r="231" spans="8:13" s="11" customFormat="1" x14ac:dyDescent="0.3">
      <c r="H231" s="5" t="s">
        <v>434</v>
      </c>
      <c r="I231" s="39"/>
      <c r="J231" s="18"/>
      <c r="L231" s="44">
        <f>Table134567810111213141516171819202122232425262728303132[[#This Row],[الدولار]]+(Table134567810111213141516171819202122232425262728303132[[#This Row],[اللبناني]]/90)</f>
        <v>0</v>
      </c>
      <c r="M231" s="6"/>
    </row>
    <row r="232" spans="8:13" s="11" customFormat="1" x14ac:dyDescent="0.3">
      <c r="H232" s="5" t="s">
        <v>434</v>
      </c>
      <c r="I232" s="39"/>
      <c r="J232" s="18"/>
      <c r="L232" s="44">
        <f>Table134567810111213141516171819202122232425262728303132[[#This Row],[الدولار]]+(Table134567810111213141516171819202122232425262728303132[[#This Row],[اللبناني]]/90)</f>
        <v>0</v>
      </c>
      <c r="M232" s="6"/>
    </row>
    <row r="233" spans="8:13" s="11" customFormat="1" x14ac:dyDescent="0.3">
      <c r="H233" s="5" t="s">
        <v>434</v>
      </c>
      <c r="I233" s="39"/>
      <c r="J233" s="18"/>
      <c r="L233" s="44">
        <f>Table134567810111213141516171819202122232425262728303132[[#This Row],[الدولار]]+(Table134567810111213141516171819202122232425262728303132[[#This Row],[اللبناني]]/90)</f>
        <v>0</v>
      </c>
      <c r="M233" s="6"/>
    </row>
    <row r="234" spans="8:13" s="11" customFormat="1" x14ac:dyDescent="0.3">
      <c r="H234" s="5" t="s">
        <v>434</v>
      </c>
      <c r="I234" s="39"/>
      <c r="J234" s="18"/>
      <c r="L234" s="44">
        <f>Table134567810111213141516171819202122232425262728303132[[#This Row],[الدولار]]+(Table134567810111213141516171819202122232425262728303132[[#This Row],[اللبناني]]/90)</f>
        <v>0</v>
      </c>
      <c r="M234" s="6"/>
    </row>
    <row r="235" spans="8:13" s="11" customFormat="1" x14ac:dyDescent="0.3">
      <c r="H235" s="5" t="s">
        <v>434</v>
      </c>
      <c r="I235" s="39"/>
      <c r="J235" s="18"/>
      <c r="L235" s="44">
        <f>Table134567810111213141516171819202122232425262728303132[[#This Row],[الدولار]]+(Table134567810111213141516171819202122232425262728303132[[#This Row],[اللبناني]]/90)</f>
        <v>0</v>
      </c>
      <c r="M235" s="6"/>
    </row>
    <row r="236" spans="8:13" s="11" customFormat="1" x14ac:dyDescent="0.3">
      <c r="H236" s="5" t="s">
        <v>434</v>
      </c>
      <c r="I236" s="39"/>
      <c r="J236" s="18"/>
      <c r="L236" s="44">
        <f>Table134567810111213141516171819202122232425262728303132[[#This Row],[الدولار]]+(Table134567810111213141516171819202122232425262728303132[[#This Row],[اللبناني]]/90)</f>
        <v>0</v>
      </c>
      <c r="M236" s="6"/>
    </row>
    <row r="237" spans="8:13" s="11" customFormat="1" x14ac:dyDescent="0.3">
      <c r="H237" s="5" t="s">
        <v>434</v>
      </c>
      <c r="I237" s="39"/>
      <c r="J237" s="18"/>
      <c r="L237" s="44">
        <f>Table134567810111213141516171819202122232425262728303132[[#This Row],[الدولار]]+(Table134567810111213141516171819202122232425262728303132[[#This Row],[اللبناني]]/90)</f>
        <v>0</v>
      </c>
      <c r="M237" s="6"/>
    </row>
    <row r="238" spans="8:13" s="11" customFormat="1" x14ac:dyDescent="0.3">
      <c r="H238" s="5" t="s">
        <v>434</v>
      </c>
      <c r="I238" s="39"/>
      <c r="J238" s="18"/>
      <c r="L238" s="44">
        <f>Table134567810111213141516171819202122232425262728303132[[#This Row],[الدولار]]+(Table134567810111213141516171819202122232425262728303132[[#This Row],[اللبناني]]/90)</f>
        <v>0</v>
      </c>
      <c r="M238" s="6"/>
    </row>
    <row r="239" spans="8:13" s="11" customFormat="1" x14ac:dyDescent="0.3">
      <c r="H239" s="5" t="s">
        <v>434</v>
      </c>
      <c r="I239" s="39"/>
      <c r="J239" s="18"/>
      <c r="L239" s="44">
        <f>Table134567810111213141516171819202122232425262728303132[[#This Row],[الدولار]]+(Table134567810111213141516171819202122232425262728303132[[#This Row],[اللبناني]]/90)</f>
        <v>0</v>
      </c>
      <c r="M239" s="6"/>
    </row>
    <row r="240" spans="8:13" s="11" customFormat="1" x14ac:dyDescent="0.3">
      <c r="H240" s="5" t="s">
        <v>434</v>
      </c>
      <c r="I240" s="39"/>
      <c r="J240" s="18"/>
      <c r="L240" s="44">
        <f>Table134567810111213141516171819202122232425262728303132[[#This Row],[الدولار]]+(Table134567810111213141516171819202122232425262728303132[[#This Row],[اللبناني]]/90)</f>
        <v>0</v>
      </c>
      <c r="M240" s="6"/>
    </row>
    <row r="241" spans="8:13" s="11" customFormat="1" x14ac:dyDescent="0.3">
      <c r="H241" s="5" t="s">
        <v>434</v>
      </c>
      <c r="I241" s="39"/>
      <c r="J241" s="18"/>
      <c r="L241" s="44">
        <f>Table134567810111213141516171819202122232425262728303132[[#This Row],[الدولار]]+(Table134567810111213141516171819202122232425262728303132[[#This Row],[اللبناني]]/90)</f>
        <v>0</v>
      </c>
      <c r="M241" s="6"/>
    </row>
    <row r="242" spans="8:13" s="11" customFormat="1" x14ac:dyDescent="0.3">
      <c r="H242" s="5" t="s">
        <v>434</v>
      </c>
      <c r="I242" s="39"/>
      <c r="J242" s="18"/>
      <c r="L242" s="44">
        <f>Table134567810111213141516171819202122232425262728303132[[#This Row],[الدولار]]+(Table134567810111213141516171819202122232425262728303132[[#This Row],[اللبناني]]/90)</f>
        <v>0</v>
      </c>
      <c r="M242" s="6"/>
    </row>
    <row r="243" spans="8:13" s="11" customFormat="1" x14ac:dyDescent="0.3">
      <c r="H243" s="5" t="s">
        <v>434</v>
      </c>
      <c r="I243" s="39"/>
      <c r="J243" s="18"/>
      <c r="L243" s="44">
        <f>Table134567810111213141516171819202122232425262728303132[[#This Row],[الدولار]]+(Table134567810111213141516171819202122232425262728303132[[#This Row],[اللبناني]]/90)</f>
        <v>0</v>
      </c>
      <c r="M243" s="6"/>
    </row>
    <row r="244" spans="8:13" s="11" customFormat="1" x14ac:dyDescent="0.3">
      <c r="H244" s="5" t="s">
        <v>434</v>
      </c>
      <c r="I244" s="39"/>
      <c r="J244" s="18"/>
      <c r="L244" s="44">
        <f>Table134567810111213141516171819202122232425262728303132[[#This Row],[الدولار]]+(Table134567810111213141516171819202122232425262728303132[[#This Row],[اللبناني]]/90)</f>
        <v>0</v>
      </c>
      <c r="M244" s="6"/>
    </row>
    <row r="245" spans="8:13" s="11" customFormat="1" x14ac:dyDescent="0.3">
      <c r="H245" s="5" t="s">
        <v>434</v>
      </c>
      <c r="I245" s="39"/>
      <c r="J245" s="18"/>
      <c r="L245" s="44">
        <f>Table134567810111213141516171819202122232425262728303132[[#This Row],[الدولار]]+(Table134567810111213141516171819202122232425262728303132[[#This Row],[اللبناني]]/90)</f>
        <v>0</v>
      </c>
      <c r="M245" s="6"/>
    </row>
    <row r="246" spans="8:13" s="11" customFormat="1" x14ac:dyDescent="0.3">
      <c r="H246" s="5" t="s">
        <v>434</v>
      </c>
      <c r="I246" s="39"/>
      <c r="J246" s="18"/>
      <c r="L246" s="44">
        <f>Table134567810111213141516171819202122232425262728303132[[#This Row],[الدولار]]+(Table134567810111213141516171819202122232425262728303132[[#This Row],[اللبناني]]/90)</f>
        <v>0</v>
      </c>
      <c r="M246" s="6"/>
    </row>
    <row r="247" spans="8:13" s="11" customFormat="1" x14ac:dyDescent="0.3">
      <c r="H247" s="5" t="s">
        <v>434</v>
      </c>
      <c r="I247" s="39"/>
      <c r="J247" s="18"/>
      <c r="L247" s="44">
        <f>Table134567810111213141516171819202122232425262728303132[[#This Row],[الدولار]]+(Table134567810111213141516171819202122232425262728303132[[#This Row],[اللبناني]]/90)</f>
        <v>0</v>
      </c>
      <c r="M247" s="6"/>
    </row>
    <row r="248" spans="8:13" s="11" customFormat="1" x14ac:dyDescent="0.3">
      <c r="H248" s="5" t="s">
        <v>434</v>
      </c>
      <c r="I248" s="39"/>
      <c r="J248" s="18"/>
      <c r="L248" s="44">
        <f>Table134567810111213141516171819202122232425262728303132[[#This Row],[الدولار]]+(Table134567810111213141516171819202122232425262728303132[[#This Row],[اللبناني]]/90)</f>
        <v>0</v>
      </c>
      <c r="M248" s="6"/>
    </row>
    <row r="249" spans="8:13" s="11" customFormat="1" x14ac:dyDescent="0.3">
      <c r="H249" s="5" t="s">
        <v>434</v>
      </c>
      <c r="I249" s="39"/>
      <c r="J249" s="18"/>
      <c r="L249" s="44">
        <f>Table134567810111213141516171819202122232425262728303132[[#This Row],[الدولار]]+(Table134567810111213141516171819202122232425262728303132[[#This Row],[اللبناني]]/90)</f>
        <v>0</v>
      </c>
      <c r="M249" s="6"/>
    </row>
    <row r="250" spans="8:13" s="11" customFormat="1" x14ac:dyDescent="0.3">
      <c r="H250" s="5" t="s">
        <v>434</v>
      </c>
      <c r="I250" s="39"/>
      <c r="J250" s="18"/>
      <c r="L250" s="44">
        <f>Table134567810111213141516171819202122232425262728303132[[#This Row],[الدولار]]+(Table134567810111213141516171819202122232425262728303132[[#This Row],[اللبناني]]/90)</f>
        <v>0</v>
      </c>
      <c r="M250" s="6"/>
    </row>
    <row r="251" spans="8:13" s="11" customFormat="1" x14ac:dyDescent="0.3">
      <c r="H251" s="5" t="s">
        <v>434</v>
      </c>
      <c r="I251" s="39"/>
      <c r="J251" s="18"/>
      <c r="L251" s="44">
        <f>Table134567810111213141516171819202122232425262728303132[[#This Row],[الدولار]]+(Table134567810111213141516171819202122232425262728303132[[#This Row],[اللبناني]]/90)</f>
        <v>0</v>
      </c>
      <c r="M251" s="6"/>
    </row>
    <row r="252" spans="8:13" s="11" customFormat="1" x14ac:dyDescent="0.3">
      <c r="H252" s="5" t="s">
        <v>434</v>
      </c>
      <c r="I252" s="39"/>
      <c r="J252" s="18"/>
      <c r="L252" s="44">
        <f>Table134567810111213141516171819202122232425262728303132[[#This Row],[الدولار]]+(Table134567810111213141516171819202122232425262728303132[[#This Row],[اللبناني]]/90)</f>
        <v>0</v>
      </c>
      <c r="M252" s="6"/>
    </row>
    <row r="253" spans="8:13" s="11" customFormat="1" x14ac:dyDescent="0.3">
      <c r="H253" s="5" t="s">
        <v>434</v>
      </c>
      <c r="I253" s="39"/>
      <c r="J253" s="18"/>
      <c r="L253" s="44">
        <f>Table134567810111213141516171819202122232425262728303132[[#This Row],[الدولار]]+(Table134567810111213141516171819202122232425262728303132[[#This Row],[اللبناني]]/90)</f>
        <v>0</v>
      </c>
      <c r="M253" s="6"/>
    </row>
    <row r="254" spans="8:13" s="11" customFormat="1" x14ac:dyDescent="0.3">
      <c r="H254" s="5" t="s">
        <v>434</v>
      </c>
      <c r="I254" s="39"/>
      <c r="J254" s="18"/>
      <c r="L254" s="44">
        <f>Table134567810111213141516171819202122232425262728303132[[#This Row],[الدولار]]+(Table134567810111213141516171819202122232425262728303132[[#This Row],[اللبناني]]/90)</f>
        <v>0</v>
      </c>
      <c r="M254" s="6"/>
    </row>
    <row r="255" spans="8:13" s="11" customFormat="1" x14ac:dyDescent="0.3">
      <c r="H255" s="5" t="s">
        <v>434</v>
      </c>
      <c r="I255" s="39"/>
      <c r="J255" s="18"/>
      <c r="L255" s="44">
        <f>Table134567810111213141516171819202122232425262728303132[[#This Row],[الدولار]]+(Table134567810111213141516171819202122232425262728303132[[#This Row],[اللبناني]]/90)</f>
        <v>0</v>
      </c>
      <c r="M255" s="6"/>
    </row>
    <row r="256" spans="8:13" s="11" customFormat="1" x14ac:dyDescent="0.3">
      <c r="H256" s="5" t="s">
        <v>434</v>
      </c>
      <c r="I256" s="39"/>
      <c r="J256" s="18"/>
      <c r="L256" s="44">
        <f>Table134567810111213141516171819202122232425262728303132[[#This Row],[الدولار]]+(Table134567810111213141516171819202122232425262728303132[[#This Row],[اللبناني]]/90)</f>
        <v>0</v>
      </c>
      <c r="M256" s="6"/>
    </row>
    <row r="257" spans="8:13" s="11" customFormat="1" x14ac:dyDescent="0.3">
      <c r="H257" s="5" t="s">
        <v>434</v>
      </c>
      <c r="I257" s="39"/>
      <c r="J257" s="18"/>
      <c r="L257" s="44">
        <f>Table134567810111213141516171819202122232425262728303132[[#This Row],[الدولار]]+(Table134567810111213141516171819202122232425262728303132[[#This Row],[اللبناني]]/90)</f>
        <v>0</v>
      </c>
      <c r="M257" s="6"/>
    </row>
    <row r="258" spans="8:13" s="11" customFormat="1" x14ac:dyDescent="0.3">
      <c r="H258" s="5" t="s">
        <v>434</v>
      </c>
      <c r="I258" s="39"/>
      <c r="J258" s="18"/>
      <c r="L258" s="44">
        <f>Table134567810111213141516171819202122232425262728303132[[#This Row],[الدولار]]+(Table134567810111213141516171819202122232425262728303132[[#This Row],[اللبناني]]/90)</f>
        <v>0</v>
      </c>
      <c r="M258" s="6"/>
    </row>
    <row r="259" spans="8:13" s="11" customFormat="1" x14ac:dyDescent="0.3">
      <c r="H259" s="5" t="s">
        <v>434</v>
      </c>
      <c r="I259" s="39"/>
      <c r="J259" s="18"/>
      <c r="L259" s="44">
        <f>Table134567810111213141516171819202122232425262728303132[[#This Row],[الدولار]]+(Table134567810111213141516171819202122232425262728303132[[#This Row],[اللبناني]]/90)</f>
        <v>0</v>
      </c>
      <c r="M259" s="6"/>
    </row>
    <row r="260" spans="8:13" s="11" customFormat="1" x14ac:dyDescent="0.3">
      <c r="H260" s="5" t="s">
        <v>434</v>
      </c>
      <c r="I260" s="39"/>
      <c r="J260" s="18"/>
      <c r="L260" s="44">
        <f>Table134567810111213141516171819202122232425262728303132[[#This Row],[الدولار]]+(Table134567810111213141516171819202122232425262728303132[[#This Row],[اللبناني]]/90)</f>
        <v>0</v>
      </c>
      <c r="M260" s="6"/>
    </row>
    <row r="261" spans="8:13" s="11" customFormat="1" x14ac:dyDescent="0.3">
      <c r="H261" s="5" t="s">
        <v>434</v>
      </c>
      <c r="I261" s="39"/>
      <c r="J261" s="18"/>
      <c r="L261" s="44">
        <f>Table134567810111213141516171819202122232425262728303132[[#This Row],[الدولار]]+(Table134567810111213141516171819202122232425262728303132[[#This Row],[اللبناني]]/90)</f>
        <v>0</v>
      </c>
      <c r="M261" s="6"/>
    </row>
    <row r="262" spans="8:13" s="11" customFormat="1" x14ac:dyDescent="0.3">
      <c r="H262" s="5" t="s">
        <v>434</v>
      </c>
      <c r="I262" s="39"/>
      <c r="J262" s="18"/>
      <c r="L262" s="44">
        <f>Table134567810111213141516171819202122232425262728303132[[#This Row],[الدولار]]+(Table134567810111213141516171819202122232425262728303132[[#This Row],[اللبناني]]/90)</f>
        <v>0</v>
      </c>
      <c r="M262" s="6"/>
    </row>
    <row r="263" spans="8:13" s="11" customFormat="1" x14ac:dyDescent="0.3">
      <c r="H263" s="5" t="s">
        <v>434</v>
      </c>
      <c r="I263" s="39"/>
      <c r="J263" s="18"/>
      <c r="L263" s="44">
        <f>Table134567810111213141516171819202122232425262728303132[[#This Row],[الدولار]]+(Table134567810111213141516171819202122232425262728303132[[#This Row],[اللبناني]]/90)</f>
        <v>0</v>
      </c>
      <c r="M263" s="6"/>
    </row>
    <row r="264" spans="8:13" s="11" customFormat="1" x14ac:dyDescent="0.3">
      <c r="H264" s="5" t="s">
        <v>434</v>
      </c>
      <c r="I264" s="39"/>
      <c r="J264" s="18"/>
      <c r="L264" s="44">
        <f>Table134567810111213141516171819202122232425262728303132[[#This Row],[الدولار]]+(Table134567810111213141516171819202122232425262728303132[[#This Row],[اللبناني]]/90)</f>
        <v>0</v>
      </c>
      <c r="M264" s="6"/>
    </row>
    <row r="265" spans="8:13" s="11" customFormat="1" x14ac:dyDescent="0.3">
      <c r="H265" s="5" t="s">
        <v>434</v>
      </c>
      <c r="I265" s="39"/>
      <c r="J265" s="18"/>
      <c r="L265" s="44">
        <f>Table134567810111213141516171819202122232425262728303132[[#This Row],[الدولار]]+(Table134567810111213141516171819202122232425262728303132[[#This Row],[اللبناني]]/90)</f>
        <v>0</v>
      </c>
      <c r="M265" s="6"/>
    </row>
    <row r="266" spans="8:13" s="11" customFormat="1" x14ac:dyDescent="0.3">
      <c r="H266" s="5" t="s">
        <v>434</v>
      </c>
      <c r="I266" s="39"/>
      <c r="J266" s="18"/>
      <c r="L266" s="44">
        <f>Table134567810111213141516171819202122232425262728303132[[#This Row],[الدولار]]+(Table134567810111213141516171819202122232425262728303132[[#This Row],[اللبناني]]/90)</f>
        <v>0</v>
      </c>
      <c r="M266" s="6"/>
    </row>
    <row r="267" spans="8:13" s="11" customFormat="1" x14ac:dyDescent="0.3">
      <c r="H267" s="5" t="s">
        <v>434</v>
      </c>
      <c r="I267" s="39"/>
      <c r="J267" s="18"/>
      <c r="L267" s="44">
        <f>Table134567810111213141516171819202122232425262728303132[[#This Row],[الدولار]]+(Table134567810111213141516171819202122232425262728303132[[#This Row],[اللبناني]]/90)</f>
        <v>0</v>
      </c>
      <c r="M267" s="6"/>
    </row>
    <row r="268" spans="8:13" s="11" customFormat="1" x14ac:dyDescent="0.3">
      <c r="H268" s="5" t="s">
        <v>434</v>
      </c>
      <c r="I268" s="39"/>
      <c r="J268" s="18"/>
      <c r="L268" s="44">
        <f>Table134567810111213141516171819202122232425262728303132[[#This Row],[الدولار]]+(Table134567810111213141516171819202122232425262728303132[[#This Row],[اللبناني]]/90)</f>
        <v>0</v>
      </c>
      <c r="M268" s="6"/>
    </row>
    <row r="269" spans="8:13" s="11" customFormat="1" x14ac:dyDescent="0.3">
      <c r="H269" s="5" t="s">
        <v>434</v>
      </c>
      <c r="I269" s="39"/>
      <c r="J269" s="18"/>
      <c r="L269" s="44">
        <f>Table134567810111213141516171819202122232425262728303132[[#This Row],[الدولار]]+(Table134567810111213141516171819202122232425262728303132[[#This Row],[اللبناني]]/90)</f>
        <v>0</v>
      </c>
      <c r="M269" s="6"/>
    </row>
    <row r="270" spans="8:13" s="11" customFormat="1" x14ac:dyDescent="0.3">
      <c r="H270" s="5" t="s">
        <v>434</v>
      </c>
      <c r="I270" s="39"/>
      <c r="J270" s="18"/>
      <c r="L270" s="44">
        <f>Table134567810111213141516171819202122232425262728303132[[#This Row],[الدولار]]+(Table134567810111213141516171819202122232425262728303132[[#This Row],[اللبناني]]/90)</f>
        <v>0</v>
      </c>
      <c r="M270" s="6"/>
    </row>
    <row r="271" spans="8:13" s="11" customFormat="1" x14ac:dyDescent="0.3">
      <c r="H271" s="5" t="s">
        <v>434</v>
      </c>
      <c r="I271" s="39"/>
      <c r="J271" s="18"/>
      <c r="L271" s="44">
        <f>Table134567810111213141516171819202122232425262728303132[[#This Row],[الدولار]]+(Table134567810111213141516171819202122232425262728303132[[#This Row],[اللبناني]]/90)</f>
        <v>0</v>
      </c>
      <c r="M271" s="6"/>
    </row>
    <row r="272" spans="8:13" s="11" customFormat="1" x14ac:dyDescent="0.3">
      <c r="H272" s="5" t="s">
        <v>434</v>
      </c>
      <c r="I272" s="39"/>
      <c r="J272" s="18"/>
      <c r="L272" s="44">
        <f>Table134567810111213141516171819202122232425262728303132[[#This Row],[الدولار]]+(Table134567810111213141516171819202122232425262728303132[[#This Row],[اللبناني]]/90)</f>
        <v>0</v>
      </c>
      <c r="M272" s="6"/>
    </row>
    <row r="273" spans="8:13" s="11" customFormat="1" x14ac:dyDescent="0.3">
      <c r="H273" s="5" t="s">
        <v>434</v>
      </c>
      <c r="I273" s="39"/>
      <c r="J273" s="18"/>
      <c r="L273" s="44">
        <f>Table134567810111213141516171819202122232425262728303132[[#This Row],[الدولار]]+(Table134567810111213141516171819202122232425262728303132[[#This Row],[اللبناني]]/90)</f>
        <v>0</v>
      </c>
      <c r="M273" s="6"/>
    </row>
    <row r="274" spans="8:13" s="11" customFormat="1" x14ac:dyDescent="0.3">
      <c r="H274" s="5" t="s">
        <v>434</v>
      </c>
      <c r="I274" s="39"/>
      <c r="J274" s="18"/>
      <c r="L274" s="44">
        <f>Table134567810111213141516171819202122232425262728303132[[#This Row],[الدولار]]+(Table134567810111213141516171819202122232425262728303132[[#This Row],[اللبناني]]/90)</f>
        <v>0</v>
      </c>
      <c r="M274" s="6"/>
    </row>
    <row r="275" spans="8:13" s="11" customFormat="1" x14ac:dyDescent="0.3">
      <c r="H275" s="5" t="s">
        <v>434</v>
      </c>
      <c r="I275" s="39"/>
      <c r="J275" s="18"/>
      <c r="L275" s="44">
        <f>Table134567810111213141516171819202122232425262728303132[[#This Row],[الدولار]]+(Table134567810111213141516171819202122232425262728303132[[#This Row],[اللبناني]]/90)</f>
        <v>0</v>
      </c>
      <c r="M275" s="6"/>
    </row>
    <row r="276" spans="8:13" s="11" customFormat="1" x14ac:dyDescent="0.3">
      <c r="H276" s="5" t="s">
        <v>434</v>
      </c>
      <c r="I276" s="39"/>
      <c r="J276" s="18"/>
      <c r="L276" s="44">
        <f>Table134567810111213141516171819202122232425262728303132[[#This Row],[الدولار]]+(Table134567810111213141516171819202122232425262728303132[[#This Row],[اللبناني]]/90)</f>
        <v>0</v>
      </c>
      <c r="M276" s="6"/>
    </row>
    <row r="277" spans="8:13" s="11" customFormat="1" x14ac:dyDescent="0.3">
      <c r="H277" s="5" t="s">
        <v>434</v>
      </c>
      <c r="I277" s="39"/>
      <c r="J277" s="18"/>
      <c r="L277" s="44">
        <f>Table134567810111213141516171819202122232425262728303132[[#This Row],[الدولار]]+(Table134567810111213141516171819202122232425262728303132[[#This Row],[اللبناني]]/90)</f>
        <v>0</v>
      </c>
      <c r="M277" s="6"/>
    </row>
    <row r="278" spans="8:13" s="11" customFormat="1" x14ac:dyDescent="0.3">
      <c r="H278" s="5" t="s">
        <v>434</v>
      </c>
      <c r="I278" s="39"/>
      <c r="J278" s="18"/>
      <c r="L278" s="44">
        <f>Table134567810111213141516171819202122232425262728303132[[#This Row],[الدولار]]+(Table134567810111213141516171819202122232425262728303132[[#This Row],[اللبناني]]/90)</f>
        <v>0</v>
      </c>
      <c r="M278" s="6"/>
    </row>
    <row r="279" spans="8:13" s="11" customFormat="1" x14ac:dyDescent="0.3">
      <c r="H279" s="5" t="s">
        <v>434</v>
      </c>
      <c r="I279" s="39"/>
      <c r="J279" s="18"/>
      <c r="L279" s="44">
        <f>Table134567810111213141516171819202122232425262728303132[[#This Row],[الدولار]]+(Table134567810111213141516171819202122232425262728303132[[#This Row],[اللبناني]]/90)</f>
        <v>0</v>
      </c>
      <c r="M279" s="6"/>
    </row>
    <row r="280" spans="8:13" s="11" customFormat="1" x14ac:dyDescent="0.3">
      <c r="H280" s="5" t="s">
        <v>434</v>
      </c>
      <c r="I280" s="39"/>
      <c r="J280" s="18"/>
      <c r="L280" s="44">
        <f>Table134567810111213141516171819202122232425262728303132[[#This Row],[الدولار]]+(Table134567810111213141516171819202122232425262728303132[[#This Row],[اللبناني]]/90)</f>
        <v>0</v>
      </c>
      <c r="M280" s="6"/>
    </row>
    <row r="281" spans="8:13" s="11" customFormat="1" x14ac:dyDescent="0.3">
      <c r="H281" s="5" t="s">
        <v>434</v>
      </c>
      <c r="I281" s="39"/>
      <c r="J281" s="18"/>
      <c r="L281" s="44">
        <f>Table134567810111213141516171819202122232425262728303132[[#This Row],[الدولار]]+(Table134567810111213141516171819202122232425262728303132[[#This Row],[اللبناني]]/90)</f>
        <v>0</v>
      </c>
      <c r="M281" s="6"/>
    </row>
    <row r="282" spans="8:13" s="11" customFormat="1" x14ac:dyDescent="0.3">
      <c r="H282" s="5" t="s">
        <v>434</v>
      </c>
      <c r="I282" s="39"/>
      <c r="J282" s="18"/>
      <c r="L282" s="44">
        <f>Table134567810111213141516171819202122232425262728303132[[#This Row],[الدولار]]+(Table134567810111213141516171819202122232425262728303132[[#This Row],[اللبناني]]/90)</f>
        <v>0</v>
      </c>
      <c r="M282" s="6"/>
    </row>
    <row r="283" spans="8:13" s="11" customFormat="1" x14ac:dyDescent="0.3">
      <c r="H283" s="5" t="s">
        <v>434</v>
      </c>
      <c r="I283" s="39"/>
      <c r="J283" s="18"/>
      <c r="L283" s="44">
        <f>Table134567810111213141516171819202122232425262728303132[[#This Row],[الدولار]]+(Table134567810111213141516171819202122232425262728303132[[#This Row],[اللبناني]]/90)</f>
        <v>0</v>
      </c>
      <c r="M283" s="6"/>
    </row>
    <row r="284" spans="8:13" s="11" customFormat="1" x14ac:dyDescent="0.3">
      <c r="H284" s="5" t="s">
        <v>434</v>
      </c>
      <c r="I284" s="39"/>
      <c r="J284" s="18"/>
      <c r="L284" s="44">
        <f>Table134567810111213141516171819202122232425262728303132[[#This Row],[الدولار]]+(Table134567810111213141516171819202122232425262728303132[[#This Row],[اللبناني]]/90)</f>
        <v>0</v>
      </c>
      <c r="M284" s="6"/>
    </row>
    <row r="285" spans="8:13" s="11" customFormat="1" x14ac:dyDescent="0.3">
      <c r="H285" s="5" t="s">
        <v>434</v>
      </c>
      <c r="I285" s="39"/>
      <c r="J285" s="18"/>
      <c r="L285" s="44">
        <f>Table134567810111213141516171819202122232425262728303132[[#This Row],[الدولار]]+(Table134567810111213141516171819202122232425262728303132[[#This Row],[اللبناني]]/90)</f>
        <v>0</v>
      </c>
      <c r="M285" s="6"/>
    </row>
    <row r="286" spans="8:13" s="11" customFormat="1" x14ac:dyDescent="0.3">
      <c r="H286" s="5" t="s">
        <v>434</v>
      </c>
      <c r="I286" s="39"/>
      <c r="J286" s="18"/>
      <c r="L286" s="44">
        <f>Table134567810111213141516171819202122232425262728303132[[#This Row],[الدولار]]+(Table134567810111213141516171819202122232425262728303132[[#This Row],[اللبناني]]/90)</f>
        <v>0</v>
      </c>
      <c r="M286" s="6"/>
    </row>
    <row r="287" spans="8:13" s="11" customFormat="1" x14ac:dyDescent="0.3">
      <c r="H287" s="5" t="s">
        <v>434</v>
      </c>
      <c r="I287" s="39"/>
      <c r="J287" s="18"/>
      <c r="L287" s="44">
        <f>Table134567810111213141516171819202122232425262728303132[[#This Row],[الدولار]]+(Table134567810111213141516171819202122232425262728303132[[#This Row],[اللبناني]]/90)</f>
        <v>0</v>
      </c>
      <c r="M287" s="6"/>
    </row>
    <row r="288" spans="8:13" s="11" customFormat="1" x14ac:dyDescent="0.3">
      <c r="H288" s="5" t="s">
        <v>434</v>
      </c>
      <c r="I288" s="39"/>
      <c r="J288" s="18"/>
      <c r="L288" s="44">
        <f>Table134567810111213141516171819202122232425262728303132[[#This Row],[الدولار]]+(Table134567810111213141516171819202122232425262728303132[[#This Row],[اللبناني]]/90)</f>
        <v>0</v>
      </c>
      <c r="M288" s="6"/>
    </row>
    <row r="289" spans="8:13" s="11" customFormat="1" x14ac:dyDescent="0.3">
      <c r="H289" s="5" t="s">
        <v>434</v>
      </c>
      <c r="I289" s="39"/>
      <c r="J289" s="18"/>
      <c r="L289" s="44">
        <f>Table134567810111213141516171819202122232425262728303132[[#This Row],[الدولار]]+(Table134567810111213141516171819202122232425262728303132[[#This Row],[اللبناني]]/90)</f>
        <v>0</v>
      </c>
      <c r="M289" s="6"/>
    </row>
    <row r="290" spans="8:13" s="11" customFormat="1" x14ac:dyDescent="0.3">
      <c r="H290" s="5" t="s">
        <v>434</v>
      </c>
      <c r="I290" s="39"/>
      <c r="J290" s="18"/>
      <c r="L290" s="44">
        <f>Table134567810111213141516171819202122232425262728303132[[#This Row],[الدولار]]+(Table134567810111213141516171819202122232425262728303132[[#This Row],[اللبناني]]/90)</f>
        <v>0</v>
      </c>
      <c r="M290" s="6"/>
    </row>
    <row r="291" spans="8:13" s="11" customFormat="1" x14ac:dyDescent="0.3">
      <c r="H291" s="5" t="s">
        <v>434</v>
      </c>
      <c r="I291" s="39"/>
      <c r="J291" s="18"/>
      <c r="L291" s="44">
        <f>Table134567810111213141516171819202122232425262728303132[[#This Row],[الدولار]]+(Table134567810111213141516171819202122232425262728303132[[#This Row],[اللبناني]]/90)</f>
        <v>0</v>
      </c>
      <c r="M291" s="6"/>
    </row>
    <row r="292" spans="8:13" s="11" customFormat="1" x14ac:dyDescent="0.3">
      <c r="H292" s="5" t="s">
        <v>434</v>
      </c>
      <c r="I292" s="39"/>
      <c r="J292" s="18"/>
      <c r="L292" s="44">
        <f>Table134567810111213141516171819202122232425262728303132[[#This Row],[الدولار]]+(Table134567810111213141516171819202122232425262728303132[[#This Row],[اللبناني]]/90)</f>
        <v>0</v>
      </c>
      <c r="M292" s="6"/>
    </row>
    <row r="293" spans="8:13" s="11" customFormat="1" x14ac:dyDescent="0.3">
      <c r="H293" s="5" t="s">
        <v>434</v>
      </c>
      <c r="I293" s="39"/>
      <c r="J293" s="18"/>
      <c r="L293" s="44">
        <f>Table134567810111213141516171819202122232425262728303132[[#This Row],[الدولار]]+(Table134567810111213141516171819202122232425262728303132[[#This Row],[اللبناني]]/90)</f>
        <v>0</v>
      </c>
      <c r="M293" s="6"/>
    </row>
    <row r="294" spans="8:13" s="11" customFormat="1" x14ac:dyDescent="0.3">
      <c r="H294" s="5" t="s">
        <v>434</v>
      </c>
      <c r="I294" s="39"/>
      <c r="J294" s="18"/>
      <c r="L294" s="44">
        <f>Table134567810111213141516171819202122232425262728303132[[#This Row],[الدولار]]+(Table134567810111213141516171819202122232425262728303132[[#This Row],[اللبناني]]/90)</f>
        <v>0</v>
      </c>
      <c r="M294" s="6"/>
    </row>
    <row r="295" spans="8:13" s="11" customFormat="1" x14ac:dyDescent="0.3">
      <c r="H295" s="5" t="s">
        <v>434</v>
      </c>
      <c r="I295" s="39"/>
      <c r="J295" s="18"/>
      <c r="L295" s="44">
        <f>Table134567810111213141516171819202122232425262728303132[[#This Row],[الدولار]]+(Table134567810111213141516171819202122232425262728303132[[#This Row],[اللبناني]]/90)</f>
        <v>0</v>
      </c>
      <c r="M295" s="6"/>
    </row>
    <row r="296" spans="8:13" s="11" customFormat="1" x14ac:dyDescent="0.3">
      <c r="H296" s="5" t="s">
        <v>434</v>
      </c>
      <c r="I296" s="39"/>
      <c r="J296" s="18"/>
      <c r="L296" s="44">
        <f>Table134567810111213141516171819202122232425262728303132[[#This Row],[الدولار]]+(Table134567810111213141516171819202122232425262728303132[[#This Row],[اللبناني]]/90)</f>
        <v>0</v>
      </c>
      <c r="M296" s="6"/>
    </row>
    <row r="297" spans="8:13" s="11" customFormat="1" x14ac:dyDescent="0.3">
      <c r="H297" s="5" t="s">
        <v>434</v>
      </c>
      <c r="I297" s="39"/>
      <c r="J297" s="18"/>
      <c r="L297" s="44">
        <f>Table134567810111213141516171819202122232425262728303132[[#This Row],[الدولار]]+(Table134567810111213141516171819202122232425262728303132[[#This Row],[اللبناني]]/90)</f>
        <v>0</v>
      </c>
      <c r="M297" s="6"/>
    </row>
    <row r="298" spans="8:13" s="11" customFormat="1" x14ac:dyDescent="0.3">
      <c r="H298" s="5" t="s">
        <v>434</v>
      </c>
      <c r="I298" s="39"/>
      <c r="J298" s="18"/>
      <c r="L298" s="44">
        <f>Table134567810111213141516171819202122232425262728303132[[#This Row],[الدولار]]+(Table134567810111213141516171819202122232425262728303132[[#This Row],[اللبناني]]/90)</f>
        <v>0</v>
      </c>
      <c r="M298" s="6"/>
    </row>
    <row r="299" spans="8:13" s="11" customFormat="1" x14ac:dyDescent="0.3">
      <c r="H299" s="5" t="s">
        <v>434</v>
      </c>
      <c r="I299" s="39"/>
      <c r="J299" s="18"/>
      <c r="L299" s="44">
        <f>Table134567810111213141516171819202122232425262728303132[[#This Row],[الدولار]]+(Table134567810111213141516171819202122232425262728303132[[#This Row],[اللبناني]]/90)</f>
        <v>0</v>
      </c>
      <c r="M299" s="6"/>
    </row>
    <row r="300" spans="8:13" s="11" customFormat="1" x14ac:dyDescent="0.3">
      <c r="H300" s="5" t="s">
        <v>434</v>
      </c>
      <c r="I300" s="39"/>
      <c r="J300" s="18"/>
      <c r="L300" s="44">
        <f>Table134567810111213141516171819202122232425262728303132[[#This Row],[الدولار]]+(Table134567810111213141516171819202122232425262728303132[[#This Row],[اللبناني]]/90)</f>
        <v>0</v>
      </c>
      <c r="M300" s="6"/>
    </row>
    <row r="301" spans="8:13" s="11" customFormat="1" x14ac:dyDescent="0.3">
      <c r="H301" s="5" t="s">
        <v>434</v>
      </c>
      <c r="I301" s="39"/>
      <c r="J301" s="18"/>
      <c r="L301" s="44">
        <f>Table134567810111213141516171819202122232425262728303132[[#This Row],[الدولار]]+(Table134567810111213141516171819202122232425262728303132[[#This Row],[اللبناني]]/90)</f>
        <v>0</v>
      </c>
      <c r="M301" s="6"/>
    </row>
    <row r="302" spans="8:13" s="11" customFormat="1" x14ac:dyDescent="0.3">
      <c r="H302" s="5" t="s">
        <v>434</v>
      </c>
      <c r="I302" s="39"/>
      <c r="J302" s="18"/>
      <c r="L302" s="44">
        <f>Table134567810111213141516171819202122232425262728303132[[#This Row],[الدولار]]+(Table134567810111213141516171819202122232425262728303132[[#This Row],[اللبناني]]/90)</f>
        <v>0</v>
      </c>
      <c r="M302" s="6"/>
    </row>
    <row r="303" spans="8:13" s="11" customFormat="1" x14ac:dyDescent="0.3">
      <c r="H303" s="5" t="s">
        <v>434</v>
      </c>
      <c r="I303" s="39"/>
      <c r="J303" s="18"/>
      <c r="L303" s="44">
        <f>Table134567810111213141516171819202122232425262728303132[[#This Row],[الدولار]]+(Table134567810111213141516171819202122232425262728303132[[#This Row],[اللبناني]]/90)</f>
        <v>0</v>
      </c>
      <c r="M303" s="6"/>
    </row>
    <row r="304" spans="8:13" s="11" customFormat="1" x14ac:dyDescent="0.3">
      <c r="H304" s="5" t="s">
        <v>434</v>
      </c>
      <c r="I304" s="39"/>
      <c r="J304" s="18"/>
      <c r="L304" s="44">
        <f>Table134567810111213141516171819202122232425262728303132[[#This Row],[الدولار]]+(Table134567810111213141516171819202122232425262728303132[[#This Row],[اللبناني]]/90)</f>
        <v>0</v>
      </c>
      <c r="M304" s="6"/>
    </row>
    <row r="305" spans="8:13" s="11" customFormat="1" x14ac:dyDescent="0.3">
      <c r="H305" s="5" t="s">
        <v>434</v>
      </c>
      <c r="I305" s="39"/>
      <c r="J305" s="18"/>
      <c r="L305" s="44">
        <f>Table134567810111213141516171819202122232425262728303132[[#This Row],[الدولار]]+(Table134567810111213141516171819202122232425262728303132[[#This Row],[اللبناني]]/90)</f>
        <v>0</v>
      </c>
      <c r="M305" s="6"/>
    </row>
    <row r="306" spans="8:13" s="11" customFormat="1" x14ac:dyDescent="0.3">
      <c r="H306" s="5" t="s">
        <v>434</v>
      </c>
      <c r="I306" s="39"/>
      <c r="J306" s="18"/>
      <c r="L306" s="44">
        <f>Table134567810111213141516171819202122232425262728303132[[#This Row],[الدولار]]+(Table134567810111213141516171819202122232425262728303132[[#This Row],[اللبناني]]/90)</f>
        <v>0</v>
      </c>
      <c r="M306" s="6"/>
    </row>
    <row r="307" spans="8:13" s="11" customFormat="1" x14ac:dyDescent="0.3">
      <c r="H307" s="5" t="s">
        <v>434</v>
      </c>
      <c r="I307" s="39"/>
      <c r="J307" s="18"/>
      <c r="L307" s="44">
        <f>Table134567810111213141516171819202122232425262728303132[[#This Row],[الدولار]]+(Table134567810111213141516171819202122232425262728303132[[#This Row],[اللبناني]]/90)</f>
        <v>0</v>
      </c>
      <c r="M307" s="6"/>
    </row>
    <row r="308" spans="8:13" s="11" customFormat="1" x14ac:dyDescent="0.3">
      <c r="H308" s="5" t="s">
        <v>434</v>
      </c>
      <c r="I308" s="39"/>
      <c r="J308" s="18"/>
      <c r="L308" s="44">
        <f>Table134567810111213141516171819202122232425262728303132[[#This Row],[الدولار]]+(Table134567810111213141516171819202122232425262728303132[[#This Row],[اللبناني]]/90)</f>
        <v>0</v>
      </c>
      <c r="M308" s="6"/>
    </row>
    <row r="309" spans="8:13" s="11" customFormat="1" x14ac:dyDescent="0.3">
      <c r="H309" s="5" t="s">
        <v>434</v>
      </c>
      <c r="I309" s="39"/>
      <c r="J309" s="18"/>
      <c r="L309" s="44">
        <f>Table134567810111213141516171819202122232425262728303132[[#This Row],[الدولار]]+(Table134567810111213141516171819202122232425262728303132[[#This Row],[اللبناني]]/90)</f>
        <v>0</v>
      </c>
      <c r="M309" s="6"/>
    </row>
    <row r="310" spans="8:13" s="11" customFormat="1" x14ac:dyDescent="0.3">
      <c r="H310" s="5" t="s">
        <v>434</v>
      </c>
      <c r="I310" s="39"/>
      <c r="J310" s="18"/>
      <c r="L310" s="44">
        <f>Table134567810111213141516171819202122232425262728303132[[#This Row],[الدولار]]+(Table134567810111213141516171819202122232425262728303132[[#This Row],[اللبناني]]/90)</f>
        <v>0</v>
      </c>
      <c r="M310" s="6"/>
    </row>
    <row r="311" spans="8:13" s="11" customFormat="1" x14ac:dyDescent="0.3">
      <c r="H311" s="5" t="s">
        <v>434</v>
      </c>
      <c r="I311" s="39"/>
      <c r="J311" s="18"/>
      <c r="L311" s="44">
        <f>Table134567810111213141516171819202122232425262728303132[[#This Row],[الدولار]]+(Table134567810111213141516171819202122232425262728303132[[#This Row],[اللبناني]]/90)</f>
        <v>0</v>
      </c>
      <c r="M311" s="6"/>
    </row>
    <row r="312" spans="8:13" s="11" customFormat="1" x14ac:dyDescent="0.3">
      <c r="H312" s="5" t="s">
        <v>434</v>
      </c>
      <c r="I312" s="39"/>
      <c r="J312" s="18"/>
      <c r="L312" s="44">
        <f>Table134567810111213141516171819202122232425262728303132[[#This Row],[الدولار]]+(Table134567810111213141516171819202122232425262728303132[[#This Row],[اللبناني]]/90)</f>
        <v>0</v>
      </c>
      <c r="M312" s="6"/>
    </row>
    <row r="313" spans="8:13" s="11" customFormat="1" x14ac:dyDescent="0.3">
      <c r="H313" s="5" t="s">
        <v>434</v>
      </c>
      <c r="I313" s="39"/>
      <c r="J313" s="18"/>
      <c r="L313" s="44">
        <f>Table134567810111213141516171819202122232425262728303132[[#This Row],[الدولار]]+(Table134567810111213141516171819202122232425262728303132[[#This Row],[اللبناني]]/90)</f>
        <v>0</v>
      </c>
      <c r="M313" s="6"/>
    </row>
    <row r="314" spans="8:13" s="11" customFormat="1" x14ac:dyDescent="0.3">
      <c r="H314" s="5" t="s">
        <v>434</v>
      </c>
      <c r="I314" s="39"/>
      <c r="J314" s="18"/>
      <c r="L314" s="44">
        <f>Table134567810111213141516171819202122232425262728303132[[#This Row],[الدولار]]+(Table134567810111213141516171819202122232425262728303132[[#This Row],[اللبناني]]/90)</f>
        <v>0</v>
      </c>
      <c r="M314" s="6"/>
    </row>
    <row r="315" spans="8:13" s="11" customFormat="1" x14ac:dyDescent="0.3">
      <c r="H315" s="5" t="s">
        <v>434</v>
      </c>
      <c r="I315" s="39"/>
      <c r="J315" s="18"/>
      <c r="L315" s="44">
        <f>Table134567810111213141516171819202122232425262728303132[[#This Row],[الدولار]]+(Table134567810111213141516171819202122232425262728303132[[#This Row],[اللبناني]]/90)</f>
        <v>0</v>
      </c>
      <c r="M315" s="6"/>
    </row>
    <row r="316" spans="8:13" s="11" customFormat="1" x14ac:dyDescent="0.3">
      <c r="H316" s="5" t="s">
        <v>434</v>
      </c>
      <c r="I316" s="39"/>
      <c r="J316" s="18"/>
      <c r="L316" s="44">
        <f>Table134567810111213141516171819202122232425262728303132[[#This Row],[الدولار]]+(Table134567810111213141516171819202122232425262728303132[[#This Row],[اللبناني]]/90)</f>
        <v>0</v>
      </c>
      <c r="M316" s="6"/>
    </row>
    <row r="317" spans="8:13" s="11" customFormat="1" x14ac:dyDescent="0.3">
      <c r="H317" s="5" t="s">
        <v>434</v>
      </c>
      <c r="I317" s="39"/>
      <c r="J317" s="18"/>
      <c r="L317" s="44">
        <f>Table134567810111213141516171819202122232425262728303132[[#This Row],[الدولار]]+(Table134567810111213141516171819202122232425262728303132[[#This Row],[اللبناني]]/90)</f>
        <v>0</v>
      </c>
      <c r="M317" s="6"/>
    </row>
    <row r="318" spans="8:13" s="11" customFormat="1" x14ac:dyDescent="0.3">
      <c r="H318" s="5" t="s">
        <v>434</v>
      </c>
      <c r="I318" s="39"/>
      <c r="J318" s="18"/>
      <c r="L318" s="44">
        <f>Table134567810111213141516171819202122232425262728303132[[#This Row],[الدولار]]+(Table134567810111213141516171819202122232425262728303132[[#This Row],[اللبناني]]/90)</f>
        <v>0</v>
      </c>
      <c r="M318" s="6"/>
    </row>
    <row r="319" spans="8:13" s="11" customFormat="1" x14ac:dyDescent="0.3">
      <c r="H319" s="5" t="s">
        <v>434</v>
      </c>
      <c r="I319" s="39"/>
      <c r="J319" s="18"/>
      <c r="L319" s="44">
        <f>Table134567810111213141516171819202122232425262728303132[[#This Row],[الدولار]]+(Table134567810111213141516171819202122232425262728303132[[#This Row],[اللبناني]]/90)</f>
        <v>0</v>
      </c>
      <c r="M319" s="6"/>
    </row>
    <row r="320" spans="8:13" s="11" customFormat="1" x14ac:dyDescent="0.3">
      <c r="H320" s="5" t="s">
        <v>434</v>
      </c>
      <c r="I320" s="39"/>
      <c r="J320" s="18"/>
      <c r="L320" s="44">
        <f>Table134567810111213141516171819202122232425262728303132[[#This Row],[الدولار]]+(Table134567810111213141516171819202122232425262728303132[[#This Row],[اللبناني]]/90)</f>
        <v>0</v>
      </c>
      <c r="M320" s="6"/>
    </row>
    <row r="321" spans="8:13" s="11" customFormat="1" x14ac:dyDescent="0.3">
      <c r="H321" s="5" t="s">
        <v>434</v>
      </c>
      <c r="I321" s="39"/>
      <c r="J321" s="18"/>
      <c r="L321" s="44">
        <f>Table134567810111213141516171819202122232425262728303132[[#This Row],[الدولار]]+(Table134567810111213141516171819202122232425262728303132[[#This Row],[اللبناني]]/90)</f>
        <v>0</v>
      </c>
      <c r="M321" s="6"/>
    </row>
    <row r="322" spans="8:13" s="11" customFormat="1" x14ac:dyDescent="0.3">
      <c r="H322" s="5" t="s">
        <v>434</v>
      </c>
      <c r="I322" s="39"/>
      <c r="J322" s="18"/>
      <c r="L322" s="44">
        <f>Table134567810111213141516171819202122232425262728303132[[#This Row],[الدولار]]+(Table134567810111213141516171819202122232425262728303132[[#This Row],[اللبناني]]/90)</f>
        <v>0</v>
      </c>
      <c r="M322" s="6"/>
    </row>
    <row r="323" spans="8:13" s="11" customFormat="1" x14ac:dyDescent="0.3">
      <c r="H323" s="5" t="s">
        <v>434</v>
      </c>
      <c r="I323" s="39"/>
      <c r="J323" s="18"/>
      <c r="L323" s="44">
        <f>Table134567810111213141516171819202122232425262728303132[[#This Row],[الدولار]]+(Table134567810111213141516171819202122232425262728303132[[#This Row],[اللبناني]]/90)</f>
        <v>0</v>
      </c>
      <c r="M323" s="6"/>
    </row>
    <row r="324" spans="8:13" s="11" customFormat="1" x14ac:dyDescent="0.3">
      <c r="H324" s="5" t="s">
        <v>434</v>
      </c>
      <c r="I324" s="39"/>
      <c r="J324" s="18"/>
      <c r="L324" s="44">
        <f>Table134567810111213141516171819202122232425262728303132[[#This Row],[الدولار]]+(Table134567810111213141516171819202122232425262728303132[[#This Row],[اللبناني]]/90)</f>
        <v>0</v>
      </c>
      <c r="M324" s="6"/>
    </row>
    <row r="325" spans="8:13" s="11" customFormat="1" x14ac:dyDescent="0.3">
      <c r="H325" s="5" t="s">
        <v>434</v>
      </c>
      <c r="I325" s="39"/>
      <c r="J325" s="18"/>
      <c r="L325" s="44">
        <f>Table134567810111213141516171819202122232425262728303132[[#This Row],[الدولار]]+(Table134567810111213141516171819202122232425262728303132[[#This Row],[اللبناني]]/90)</f>
        <v>0</v>
      </c>
      <c r="M325" s="6"/>
    </row>
    <row r="326" spans="8:13" s="11" customFormat="1" x14ac:dyDescent="0.3">
      <c r="H326" s="5" t="s">
        <v>434</v>
      </c>
      <c r="I326" s="39"/>
      <c r="J326" s="18"/>
      <c r="L326" s="44">
        <f>Table134567810111213141516171819202122232425262728303132[[#This Row],[الدولار]]+(Table134567810111213141516171819202122232425262728303132[[#This Row],[اللبناني]]/90)</f>
        <v>0</v>
      </c>
      <c r="M326" s="6"/>
    </row>
    <row r="327" spans="8:13" s="11" customFormat="1" x14ac:dyDescent="0.3">
      <c r="H327" s="5" t="s">
        <v>434</v>
      </c>
      <c r="I327" s="39"/>
      <c r="J327" s="18"/>
      <c r="L327" s="44">
        <f>Table134567810111213141516171819202122232425262728303132[[#This Row],[الدولار]]+(Table134567810111213141516171819202122232425262728303132[[#This Row],[اللبناني]]/90)</f>
        <v>0</v>
      </c>
      <c r="M327" s="6"/>
    </row>
    <row r="328" spans="8:13" s="11" customFormat="1" x14ac:dyDescent="0.3">
      <c r="H328" s="5" t="s">
        <v>434</v>
      </c>
      <c r="I328" s="39"/>
      <c r="J328" s="18"/>
      <c r="L328" s="44">
        <f>Table134567810111213141516171819202122232425262728303132[[#This Row],[الدولار]]+(Table134567810111213141516171819202122232425262728303132[[#This Row],[اللبناني]]/90)</f>
        <v>0</v>
      </c>
      <c r="M328" s="6"/>
    </row>
    <row r="329" spans="8:13" s="11" customFormat="1" x14ac:dyDescent="0.3">
      <c r="H329" s="5" t="s">
        <v>434</v>
      </c>
      <c r="I329" s="39"/>
      <c r="J329" s="18"/>
      <c r="L329" s="44">
        <f>Table134567810111213141516171819202122232425262728303132[[#This Row],[الدولار]]+(Table134567810111213141516171819202122232425262728303132[[#This Row],[اللبناني]]/90)</f>
        <v>0</v>
      </c>
      <c r="M329" s="6"/>
    </row>
    <row r="330" spans="8:13" s="11" customFormat="1" x14ac:dyDescent="0.3">
      <c r="H330" s="5" t="s">
        <v>434</v>
      </c>
      <c r="I330" s="39"/>
      <c r="J330" s="18"/>
      <c r="L330" s="44">
        <f>Table134567810111213141516171819202122232425262728303132[[#This Row],[الدولار]]+(Table134567810111213141516171819202122232425262728303132[[#This Row],[اللبناني]]/90)</f>
        <v>0</v>
      </c>
      <c r="M330" s="6"/>
    </row>
    <row r="331" spans="8:13" s="11" customFormat="1" x14ac:dyDescent="0.3">
      <c r="H331" s="5" t="s">
        <v>434</v>
      </c>
      <c r="I331" s="39"/>
      <c r="J331" s="18"/>
      <c r="L331" s="44">
        <f>Table134567810111213141516171819202122232425262728303132[[#This Row],[الدولار]]+(Table134567810111213141516171819202122232425262728303132[[#This Row],[اللبناني]]/90)</f>
        <v>0</v>
      </c>
      <c r="M331" s="6"/>
    </row>
    <row r="332" spans="8:13" s="11" customFormat="1" x14ac:dyDescent="0.3">
      <c r="H332" s="5" t="s">
        <v>434</v>
      </c>
      <c r="I332" s="39"/>
      <c r="J332" s="18"/>
      <c r="L332" s="44">
        <f>Table134567810111213141516171819202122232425262728303132[[#This Row],[الدولار]]+(Table134567810111213141516171819202122232425262728303132[[#This Row],[اللبناني]]/90)</f>
        <v>0</v>
      </c>
      <c r="M332" s="6"/>
    </row>
    <row r="333" spans="8:13" s="11" customFormat="1" x14ac:dyDescent="0.3">
      <c r="H333" s="5" t="s">
        <v>434</v>
      </c>
      <c r="I333" s="39"/>
      <c r="J333" s="18"/>
      <c r="L333" s="44">
        <f>Table134567810111213141516171819202122232425262728303132[[#This Row],[الدولار]]+(Table134567810111213141516171819202122232425262728303132[[#This Row],[اللبناني]]/90)</f>
        <v>0</v>
      </c>
      <c r="M333" s="6"/>
    </row>
    <row r="334" spans="8:13" s="11" customFormat="1" x14ac:dyDescent="0.3">
      <c r="H334" s="5" t="s">
        <v>434</v>
      </c>
      <c r="I334" s="39"/>
      <c r="J334" s="18"/>
      <c r="L334" s="44">
        <f>Table134567810111213141516171819202122232425262728303132[[#This Row],[الدولار]]+(Table134567810111213141516171819202122232425262728303132[[#This Row],[اللبناني]]/90)</f>
        <v>0</v>
      </c>
      <c r="M334" s="6"/>
    </row>
    <row r="335" spans="8:13" s="11" customFormat="1" x14ac:dyDescent="0.3">
      <c r="H335" s="5" t="s">
        <v>434</v>
      </c>
      <c r="I335" s="39"/>
      <c r="J335" s="18"/>
      <c r="L335" s="44">
        <f>Table134567810111213141516171819202122232425262728303132[[#This Row],[الدولار]]+(Table134567810111213141516171819202122232425262728303132[[#This Row],[اللبناني]]/90)</f>
        <v>0</v>
      </c>
      <c r="M335" s="6"/>
    </row>
    <row r="336" spans="8:13" s="11" customFormat="1" x14ac:dyDescent="0.3">
      <c r="H336" s="5" t="s">
        <v>434</v>
      </c>
      <c r="I336" s="39"/>
      <c r="J336" s="18"/>
      <c r="L336" s="44">
        <f>Table134567810111213141516171819202122232425262728303132[[#This Row],[الدولار]]+(Table134567810111213141516171819202122232425262728303132[[#This Row],[اللبناني]]/90)</f>
        <v>0</v>
      </c>
      <c r="M336" s="6"/>
    </row>
    <row r="337" spans="8:13" s="11" customFormat="1" x14ac:dyDescent="0.3">
      <c r="H337" s="5" t="s">
        <v>434</v>
      </c>
      <c r="I337" s="39"/>
      <c r="J337" s="18"/>
      <c r="L337" s="44">
        <f>Table134567810111213141516171819202122232425262728303132[[#This Row],[الدولار]]+(Table134567810111213141516171819202122232425262728303132[[#This Row],[اللبناني]]/90)</f>
        <v>0</v>
      </c>
      <c r="M337" s="6"/>
    </row>
    <row r="338" spans="8:13" s="11" customFormat="1" x14ac:dyDescent="0.3">
      <c r="H338" s="5" t="s">
        <v>434</v>
      </c>
      <c r="I338" s="39"/>
      <c r="J338" s="18"/>
      <c r="L338" s="44">
        <f>Table134567810111213141516171819202122232425262728303132[[#This Row],[الدولار]]+(Table134567810111213141516171819202122232425262728303132[[#This Row],[اللبناني]]/90)</f>
        <v>0</v>
      </c>
      <c r="M338" s="6"/>
    </row>
    <row r="339" spans="8:13" s="11" customFormat="1" x14ac:dyDescent="0.3">
      <c r="H339" s="5" t="s">
        <v>434</v>
      </c>
      <c r="I339" s="39"/>
      <c r="J339" s="18"/>
      <c r="L339" s="44">
        <f>Table134567810111213141516171819202122232425262728303132[[#This Row],[الدولار]]+(Table134567810111213141516171819202122232425262728303132[[#This Row],[اللبناني]]/90)</f>
        <v>0</v>
      </c>
      <c r="M339" s="6"/>
    </row>
    <row r="340" spans="8:13" s="11" customFormat="1" x14ac:dyDescent="0.3">
      <c r="H340" s="5" t="s">
        <v>434</v>
      </c>
      <c r="I340" s="39"/>
      <c r="J340" s="18"/>
      <c r="L340" s="44">
        <f>Table134567810111213141516171819202122232425262728303132[[#This Row],[الدولار]]+(Table134567810111213141516171819202122232425262728303132[[#This Row],[اللبناني]]/90)</f>
        <v>0</v>
      </c>
      <c r="M340" s="6"/>
    </row>
    <row r="341" spans="8:13" s="11" customFormat="1" x14ac:dyDescent="0.3">
      <c r="H341" s="5" t="s">
        <v>434</v>
      </c>
      <c r="I341" s="39"/>
      <c r="J341" s="18"/>
      <c r="L341" s="44">
        <f>Table134567810111213141516171819202122232425262728303132[[#This Row],[الدولار]]+(Table134567810111213141516171819202122232425262728303132[[#This Row],[اللبناني]]/90)</f>
        <v>0</v>
      </c>
      <c r="M341" s="6"/>
    </row>
    <row r="342" spans="8:13" s="11" customFormat="1" x14ac:dyDescent="0.3">
      <c r="H342" s="5" t="s">
        <v>434</v>
      </c>
      <c r="I342" s="39"/>
      <c r="J342" s="18"/>
      <c r="L342" s="44">
        <f>Table134567810111213141516171819202122232425262728303132[[#This Row],[الدولار]]+(Table134567810111213141516171819202122232425262728303132[[#This Row],[اللبناني]]/90)</f>
        <v>0</v>
      </c>
      <c r="M342" s="6"/>
    </row>
    <row r="343" spans="8:13" s="11" customFormat="1" x14ac:dyDescent="0.3">
      <c r="H343" s="5" t="s">
        <v>434</v>
      </c>
      <c r="I343" s="39"/>
      <c r="J343" s="18"/>
      <c r="L343" s="44">
        <f>Table134567810111213141516171819202122232425262728303132[[#This Row],[الدولار]]+(Table134567810111213141516171819202122232425262728303132[[#This Row],[اللبناني]]/90)</f>
        <v>0</v>
      </c>
      <c r="M343" s="6"/>
    </row>
    <row r="344" spans="8:13" s="11" customFormat="1" x14ac:dyDescent="0.3">
      <c r="H344" s="5" t="s">
        <v>434</v>
      </c>
      <c r="I344" s="39"/>
      <c r="J344" s="18"/>
      <c r="L344" s="44">
        <f>Table134567810111213141516171819202122232425262728303132[[#This Row],[الدولار]]+(Table134567810111213141516171819202122232425262728303132[[#This Row],[اللبناني]]/90)</f>
        <v>0</v>
      </c>
      <c r="M344" s="6"/>
    </row>
    <row r="345" spans="8:13" s="11" customFormat="1" x14ac:dyDescent="0.3">
      <c r="H345" s="5" t="s">
        <v>434</v>
      </c>
      <c r="I345" s="39"/>
      <c r="J345" s="18"/>
      <c r="L345" s="44">
        <f>Table134567810111213141516171819202122232425262728303132[[#This Row],[الدولار]]+(Table134567810111213141516171819202122232425262728303132[[#This Row],[اللبناني]]/90)</f>
        <v>0</v>
      </c>
      <c r="M345" s="6"/>
    </row>
    <row r="346" spans="8:13" s="11" customFormat="1" x14ac:dyDescent="0.3">
      <c r="H346" s="5" t="s">
        <v>434</v>
      </c>
      <c r="I346" s="39"/>
      <c r="J346" s="18"/>
      <c r="L346" s="44">
        <f>Table134567810111213141516171819202122232425262728303132[[#This Row],[الدولار]]+(Table134567810111213141516171819202122232425262728303132[[#This Row],[اللبناني]]/90)</f>
        <v>0</v>
      </c>
      <c r="M346" s="6"/>
    </row>
    <row r="347" spans="8:13" s="11" customFormat="1" x14ac:dyDescent="0.3">
      <c r="H347" s="5" t="s">
        <v>434</v>
      </c>
      <c r="I347" s="39"/>
      <c r="J347" s="18"/>
      <c r="L347" s="44">
        <f>Table134567810111213141516171819202122232425262728303132[[#This Row],[الدولار]]+(Table134567810111213141516171819202122232425262728303132[[#This Row],[اللبناني]]/90)</f>
        <v>0</v>
      </c>
      <c r="M347" s="6"/>
    </row>
    <row r="348" spans="8:13" s="11" customFormat="1" x14ac:dyDescent="0.3">
      <c r="H348" s="5" t="s">
        <v>434</v>
      </c>
      <c r="I348" s="39"/>
      <c r="J348" s="18"/>
      <c r="L348" s="44">
        <f>Table134567810111213141516171819202122232425262728303132[[#This Row],[الدولار]]+(Table134567810111213141516171819202122232425262728303132[[#This Row],[اللبناني]]/90)</f>
        <v>0</v>
      </c>
      <c r="M348" s="6"/>
    </row>
    <row r="349" spans="8:13" s="11" customFormat="1" x14ac:dyDescent="0.3">
      <c r="H349" s="5" t="s">
        <v>434</v>
      </c>
      <c r="I349" s="39"/>
      <c r="J349" s="18"/>
      <c r="L349" s="44">
        <f>Table134567810111213141516171819202122232425262728303132[[#This Row],[الدولار]]+(Table134567810111213141516171819202122232425262728303132[[#This Row],[اللبناني]]/90)</f>
        <v>0</v>
      </c>
      <c r="M349" s="6"/>
    </row>
    <row r="350" spans="8:13" s="11" customFormat="1" x14ac:dyDescent="0.3">
      <c r="H350" s="5" t="s">
        <v>434</v>
      </c>
      <c r="I350" s="39"/>
      <c r="J350" s="18"/>
      <c r="L350" s="44">
        <f>Table134567810111213141516171819202122232425262728303132[[#This Row],[الدولار]]+(Table134567810111213141516171819202122232425262728303132[[#This Row],[اللبناني]]/90)</f>
        <v>0</v>
      </c>
      <c r="M350" s="6"/>
    </row>
    <row r="351" spans="8:13" s="11" customFormat="1" x14ac:dyDescent="0.3">
      <c r="H351" s="5" t="s">
        <v>434</v>
      </c>
      <c r="I351" s="39"/>
      <c r="J351" s="18"/>
      <c r="L351" s="44">
        <f>Table134567810111213141516171819202122232425262728303132[[#This Row],[الدولار]]+(Table134567810111213141516171819202122232425262728303132[[#This Row],[اللبناني]]/90)</f>
        <v>0</v>
      </c>
      <c r="M351" s="6"/>
    </row>
    <row r="352" spans="8:13" s="11" customFormat="1" x14ac:dyDescent="0.3">
      <c r="H352" s="5" t="s">
        <v>434</v>
      </c>
      <c r="I352" s="39"/>
      <c r="J352" s="18"/>
      <c r="L352" s="44">
        <f>Table134567810111213141516171819202122232425262728303132[[#This Row],[الدولار]]+(Table134567810111213141516171819202122232425262728303132[[#This Row],[اللبناني]]/90)</f>
        <v>0</v>
      </c>
      <c r="M352" s="6"/>
    </row>
    <row r="353" spans="8:13" s="11" customFormat="1" x14ac:dyDescent="0.3">
      <c r="H353" s="5" t="s">
        <v>434</v>
      </c>
      <c r="I353" s="39"/>
      <c r="J353" s="18"/>
      <c r="L353" s="44">
        <f>Table134567810111213141516171819202122232425262728303132[[#This Row],[الدولار]]+(Table134567810111213141516171819202122232425262728303132[[#This Row],[اللبناني]]/90)</f>
        <v>0</v>
      </c>
      <c r="M353" s="6"/>
    </row>
    <row r="354" spans="8:13" s="11" customFormat="1" x14ac:dyDescent="0.3">
      <c r="H354" s="5" t="s">
        <v>434</v>
      </c>
      <c r="I354" s="39"/>
      <c r="J354" s="18"/>
      <c r="L354" s="44">
        <f>Table134567810111213141516171819202122232425262728303132[[#This Row],[الدولار]]+(Table134567810111213141516171819202122232425262728303132[[#This Row],[اللبناني]]/90)</f>
        <v>0</v>
      </c>
      <c r="M354" s="6"/>
    </row>
    <row r="355" spans="8:13" s="11" customFormat="1" x14ac:dyDescent="0.3">
      <c r="H355" s="5" t="s">
        <v>434</v>
      </c>
      <c r="I355" s="39"/>
      <c r="J355" s="18"/>
      <c r="L355" s="44">
        <f>Table134567810111213141516171819202122232425262728303132[[#This Row],[الدولار]]+(Table134567810111213141516171819202122232425262728303132[[#This Row],[اللبناني]]/90)</f>
        <v>0</v>
      </c>
      <c r="M355" s="6"/>
    </row>
    <row r="356" spans="8:13" s="11" customFormat="1" x14ac:dyDescent="0.3">
      <c r="H356" s="5" t="s">
        <v>434</v>
      </c>
      <c r="I356" s="39"/>
      <c r="J356" s="18"/>
      <c r="L356" s="44">
        <f>Table134567810111213141516171819202122232425262728303132[[#This Row],[الدولار]]+(Table134567810111213141516171819202122232425262728303132[[#This Row],[اللبناني]]/90)</f>
        <v>0</v>
      </c>
      <c r="M356" s="6"/>
    </row>
    <row r="357" spans="8:13" s="11" customFormat="1" x14ac:dyDescent="0.3">
      <c r="H357" s="5" t="s">
        <v>434</v>
      </c>
      <c r="I357" s="39"/>
      <c r="J357" s="18"/>
      <c r="L357" s="44">
        <f>Table134567810111213141516171819202122232425262728303132[[#This Row],[الدولار]]+(Table134567810111213141516171819202122232425262728303132[[#This Row],[اللبناني]]/90)</f>
        <v>0</v>
      </c>
      <c r="M357" s="6"/>
    </row>
    <row r="358" spans="8:13" s="11" customFormat="1" x14ac:dyDescent="0.3">
      <c r="H358" s="5" t="s">
        <v>434</v>
      </c>
      <c r="I358" s="39"/>
      <c r="J358" s="18"/>
      <c r="L358" s="44">
        <f>Table134567810111213141516171819202122232425262728303132[[#This Row],[الدولار]]+(Table134567810111213141516171819202122232425262728303132[[#This Row],[اللبناني]]/90)</f>
        <v>0</v>
      </c>
      <c r="M358" s="6"/>
    </row>
    <row r="359" spans="8:13" s="11" customFormat="1" x14ac:dyDescent="0.3">
      <c r="H359" s="5" t="s">
        <v>434</v>
      </c>
      <c r="I359" s="39"/>
      <c r="J359" s="18"/>
      <c r="L359" s="44">
        <f>Table134567810111213141516171819202122232425262728303132[[#This Row],[الدولار]]+(Table134567810111213141516171819202122232425262728303132[[#This Row],[اللبناني]]/90)</f>
        <v>0</v>
      </c>
      <c r="M359" s="6"/>
    </row>
    <row r="360" spans="8:13" s="11" customFormat="1" x14ac:dyDescent="0.3">
      <c r="H360" s="5" t="s">
        <v>434</v>
      </c>
      <c r="I360" s="39"/>
      <c r="J360" s="18"/>
      <c r="L360" s="44">
        <f>Table134567810111213141516171819202122232425262728303132[[#This Row],[الدولار]]+(Table134567810111213141516171819202122232425262728303132[[#This Row],[اللبناني]]/90)</f>
        <v>0</v>
      </c>
      <c r="M360" s="6"/>
    </row>
    <row r="361" spans="8:13" s="11" customFormat="1" x14ac:dyDescent="0.3">
      <c r="H361" s="5" t="s">
        <v>434</v>
      </c>
      <c r="I361" s="39"/>
      <c r="J361" s="18"/>
      <c r="L361" s="44">
        <f>Table134567810111213141516171819202122232425262728303132[[#This Row],[الدولار]]+(Table134567810111213141516171819202122232425262728303132[[#This Row],[اللبناني]]/90)</f>
        <v>0</v>
      </c>
      <c r="M361" s="6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.3" footer="0.3"/>
  <pageSetup paperSize="9" scale="65" fitToHeight="0" orientation="portrait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8D66-176E-439E-9863-8B8FA930FBA6}">
  <sheetPr>
    <pageSetUpPr fitToPage="1"/>
  </sheetPr>
  <dimension ref="A1:S361"/>
  <sheetViews>
    <sheetView rightToLeft="1" tabSelected="1" topLeftCell="A354" zoomScale="115" zoomScaleNormal="115" workbookViewId="0">
      <selection activeCell="H22" sqref="H22"/>
    </sheetView>
  </sheetViews>
  <sheetFormatPr defaultRowHeight="15.6" x14ac:dyDescent="0.3"/>
  <cols>
    <col min="1" max="1" width="9.44140625" style="2" bestFit="1" customWidth="1"/>
    <col min="2" max="2" width="5.109375" style="2" bestFit="1" customWidth="1"/>
    <col min="3" max="3" width="8.44140625" style="2" bestFit="1" customWidth="1"/>
    <col min="4" max="4" width="10.44140625" style="2" customWidth="1"/>
    <col min="5" max="5" width="7" style="2" customWidth="1"/>
    <col min="6" max="6" width="11.44140625" style="2" bestFit="1" customWidth="1"/>
    <col min="7" max="7" width="2.44140625" style="2" customWidth="1"/>
    <col min="8" max="8" width="8.88671875" style="2" bestFit="1" customWidth="1"/>
    <col min="9" max="9" width="17.88671875" style="39" customWidth="1"/>
    <col min="10" max="10" width="12.109375" style="7" bestFit="1" customWidth="1"/>
    <col min="11" max="11" width="8.5546875" style="11" bestFit="1" customWidth="1"/>
    <col min="12" max="12" width="9" style="6" bestFit="1" customWidth="1"/>
    <col min="13" max="13" width="2.5546875" style="6" customWidth="1"/>
    <col min="14" max="14" width="9.44140625" style="2" bestFit="1" customWidth="1"/>
    <col min="15" max="15" width="5.109375" style="2" bestFit="1" customWidth="1"/>
    <col min="16" max="16" width="8.5546875" style="2" bestFit="1" customWidth="1"/>
    <col min="17" max="17" width="9.109375" style="2" bestFit="1" customWidth="1"/>
    <col min="18" max="18" width="5.109375" style="2" bestFit="1" customWidth="1"/>
    <col min="19" max="19" width="11.109375" style="2" bestFit="1" customWidth="1"/>
    <col min="20" max="16384" width="8.88671875" style="2"/>
  </cols>
  <sheetData>
    <row r="1" spans="1:19" x14ac:dyDescent="0.3">
      <c r="I1" s="39" t="s">
        <v>38</v>
      </c>
      <c r="J1" s="7">
        <f>SUM(J3:J18)</f>
        <v>-100</v>
      </c>
      <c r="K1" s="7">
        <f>SUM(K3:K18)</f>
        <v>20</v>
      </c>
      <c r="L1" s="7">
        <f>SUM(L3:L18)</f>
        <v>18.888888888888889</v>
      </c>
    </row>
    <row r="2" spans="1:19" x14ac:dyDescent="0.3">
      <c r="H2" s="2" t="s">
        <v>426</v>
      </c>
      <c r="I2" s="40" t="s">
        <v>6</v>
      </c>
      <c r="J2" s="3" t="s">
        <v>5</v>
      </c>
      <c r="K2" s="12" t="s">
        <v>4</v>
      </c>
      <c r="L2" s="12" t="s">
        <v>415</v>
      </c>
    </row>
    <row r="3" spans="1:19" x14ac:dyDescent="0.3">
      <c r="H3" s="5" t="s">
        <v>434</v>
      </c>
      <c r="I3" s="41"/>
      <c r="J3" s="20"/>
      <c r="K3" s="11">
        <v>20</v>
      </c>
      <c r="L3" s="44">
        <f t="shared" ref="L3:L18" si="0">K3+(J3/90)</f>
        <v>20</v>
      </c>
    </row>
    <row r="4" spans="1:19" x14ac:dyDescent="0.3">
      <c r="H4" s="5" t="s">
        <v>435</v>
      </c>
      <c r="I4" s="41"/>
      <c r="J4" s="20">
        <v>-100</v>
      </c>
      <c r="L4" s="44">
        <f t="shared" si="0"/>
        <v>-1.1111111111111112</v>
      </c>
    </row>
    <row r="5" spans="1:19" x14ac:dyDescent="0.3">
      <c r="H5" s="5" t="s">
        <v>434</v>
      </c>
      <c r="I5" s="41"/>
      <c r="J5" s="20">
        <v>-100</v>
      </c>
      <c r="K5" s="11">
        <v>-20</v>
      </c>
      <c r="L5" s="44">
        <f t="shared" si="0"/>
        <v>-21.111111111111111</v>
      </c>
    </row>
    <row r="6" spans="1:19" x14ac:dyDescent="0.3">
      <c r="H6" s="5" t="s">
        <v>434</v>
      </c>
      <c r="I6" s="41"/>
      <c r="J6" s="20"/>
      <c r="K6" s="11">
        <v>5</v>
      </c>
      <c r="L6" s="44">
        <f t="shared" si="0"/>
        <v>5</v>
      </c>
    </row>
    <row r="7" spans="1:19" x14ac:dyDescent="0.3">
      <c r="H7" s="5" t="s">
        <v>434</v>
      </c>
      <c r="I7" s="41"/>
      <c r="J7" s="20">
        <v>200</v>
      </c>
      <c r="L7" s="44">
        <f t="shared" si="0"/>
        <v>2.2222222222222223</v>
      </c>
    </row>
    <row r="8" spans="1:19" x14ac:dyDescent="0.3">
      <c r="H8" s="5" t="s">
        <v>434</v>
      </c>
      <c r="I8" s="41"/>
      <c r="J8" s="20">
        <v>150</v>
      </c>
      <c r="L8" s="44">
        <f t="shared" si="0"/>
        <v>1.6666666666666667</v>
      </c>
    </row>
    <row r="9" spans="1:19" x14ac:dyDescent="0.3">
      <c r="H9" s="5" t="s">
        <v>434</v>
      </c>
      <c r="I9" s="41"/>
      <c r="J9" s="20">
        <v>-315</v>
      </c>
      <c r="K9" s="11">
        <v>5</v>
      </c>
      <c r="L9" s="44">
        <f t="shared" si="0"/>
        <v>1.5</v>
      </c>
    </row>
    <row r="10" spans="1:19" x14ac:dyDescent="0.3">
      <c r="H10" s="5" t="s">
        <v>434</v>
      </c>
      <c r="I10" s="41"/>
      <c r="J10" s="20">
        <v>-315</v>
      </c>
      <c r="K10" s="11">
        <v>10</v>
      </c>
      <c r="L10" s="44">
        <f t="shared" si="0"/>
        <v>6.5</v>
      </c>
    </row>
    <row r="11" spans="1:19" s="6" customFormat="1" x14ac:dyDescent="0.3">
      <c r="A11" s="2"/>
      <c r="B11" s="2"/>
      <c r="C11" s="2"/>
      <c r="D11" s="2"/>
      <c r="E11" s="2"/>
      <c r="F11" s="2"/>
      <c r="G11" s="2"/>
      <c r="H11" s="5" t="s">
        <v>434</v>
      </c>
      <c r="I11" s="42"/>
      <c r="J11" s="20">
        <v>380</v>
      </c>
      <c r="K11" s="11"/>
      <c r="L11" s="44">
        <f t="shared" si="0"/>
        <v>4.2222222222222223</v>
      </c>
      <c r="N11" s="2"/>
      <c r="O11" s="2"/>
      <c r="P11" s="2"/>
      <c r="Q11" s="2"/>
      <c r="R11" s="2"/>
      <c r="S11" s="2"/>
    </row>
    <row r="12" spans="1:19" s="6" customFormat="1" x14ac:dyDescent="0.3">
      <c r="A12" s="2"/>
      <c r="B12" s="2"/>
      <c r="C12" s="2"/>
      <c r="D12" s="2"/>
      <c r="E12" s="2"/>
      <c r="F12" s="2"/>
      <c r="G12" s="2"/>
      <c r="H12" s="5" t="s">
        <v>434</v>
      </c>
      <c r="I12" s="41"/>
      <c r="J12" s="20"/>
      <c r="K12" s="11"/>
      <c r="L12" s="44">
        <f t="shared" si="0"/>
        <v>0</v>
      </c>
      <c r="N12" s="2"/>
      <c r="O12" s="2"/>
      <c r="P12" s="2"/>
      <c r="Q12" s="2"/>
      <c r="R12" s="2"/>
      <c r="S12" s="2"/>
    </row>
    <row r="13" spans="1:19" s="6" customFormat="1" x14ac:dyDescent="0.3">
      <c r="A13" s="2"/>
      <c r="B13" s="2"/>
      <c r="C13" s="2"/>
      <c r="D13" s="2"/>
      <c r="E13" s="2"/>
      <c r="F13" s="2"/>
      <c r="G13" s="2"/>
      <c r="H13" s="5" t="s">
        <v>434</v>
      </c>
      <c r="I13" s="41"/>
      <c r="J13" s="20"/>
      <c r="K13" s="11"/>
      <c r="L13" s="44">
        <f t="shared" si="0"/>
        <v>0</v>
      </c>
      <c r="N13" s="2"/>
      <c r="O13" s="2"/>
      <c r="P13" s="2"/>
      <c r="Q13" s="2"/>
      <c r="R13" s="2"/>
      <c r="S13" s="2"/>
    </row>
    <row r="14" spans="1:19" s="6" customFormat="1" x14ac:dyDescent="0.3">
      <c r="A14" s="2"/>
      <c r="B14" s="2"/>
      <c r="C14" s="2"/>
      <c r="D14" s="2"/>
      <c r="E14" s="2"/>
      <c r="F14" s="2"/>
      <c r="G14" s="2"/>
      <c r="H14" s="5" t="s">
        <v>434</v>
      </c>
      <c r="I14" s="41"/>
      <c r="J14" s="20"/>
      <c r="K14" s="11"/>
      <c r="L14" s="44">
        <f t="shared" si="0"/>
        <v>0</v>
      </c>
      <c r="N14" s="2"/>
      <c r="O14" s="2"/>
      <c r="P14" s="2"/>
      <c r="Q14" s="2"/>
      <c r="R14" s="2"/>
      <c r="S14" s="2"/>
    </row>
    <row r="15" spans="1:19" s="6" customFormat="1" x14ac:dyDescent="0.3">
      <c r="A15" s="2"/>
      <c r="B15" s="2"/>
      <c r="C15" s="2"/>
      <c r="D15" s="2"/>
      <c r="E15" s="2"/>
      <c r="F15" s="2"/>
      <c r="G15" s="2"/>
      <c r="H15" s="5" t="s">
        <v>434</v>
      </c>
      <c r="I15" s="41"/>
      <c r="J15" s="20"/>
      <c r="K15" s="11"/>
      <c r="L15" s="44">
        <f t="shared" si="0"/>
        <v>0</v>
      </c>
      <c r="N15" s="2"/>
      <c r="O15" s="2"/>
      <c r="P15" s="2"/>
      <c r="Q15" s="2"/>
      <c r="R15" s="2"/>
      <c r="S15" s="2"/>
    </row>
    <row r="16" spans="1:19" s="6" customFormat="1" x14ac:dyDescent="0.3">
      <c r="A16" s="2"/>
      <c r="B16" s="2"/>
      <c r="C16" s="2"/>
      <c r="D16" s="2"/>
      <c r="E16" s="2"/>
      <c r="F16" s="2"/>
      <c r="G16" s="2"/>
      <c r="H16" s="5" t="s">
        <v>434</v>
      </c>
      <c r="I16" s="41"/>
      <c r="J16" s="20"/>
      <c r="K16" s="11"/>
      <c r="L16" s="44">
        <f t="shared" si="0"/>
        <v>0</v>
      </c>
      <c r="N16" s="2"/>
      <c r="O16" s="2"/>
      <c r="P16" s="2"/>
      <c r="Q16" s="2"/>
      <c r="R16" s="2"/>
      <c r="S16" s="2"/>
    </row>
    <row r="17" spans="1:19" s="6" customFormat="1" x14ac:dyDescent="0.3">
      <c r="A17" s="2"/>
      <c r="B17" s="2"/>
      <c r="C17" s="2"/>
      <c r="D17" s="2"/>
      <c r="E17" s="2"/>
      <c r="F17" s="2"/>
      <c r="G17" s="2"/>
      <c r="H17" s="5" t="s">
        <v>434</v>
      </c>
      <c r="I17" s="41"/>
      <c r="J17" s="20"/>
      <c r="K17" s="11"/>
      <c r="L17" s="44">
        <f t="shared" si="0"/>
        <v>0</v>
      </c>
      <c r="N17" s="2"/>
      <c r="O17" s="2"/>
      <c r="P17" s="2"/>
      <c r="Q17" s="2"/>
      <c r="R17" s="2"/>
      <c r="S17" s="2"/>
    </row>
    <row r="18" spans="1:19" s="6" customFormat="1" x14ac:dyDescent="0.3">
      <c r="A18" s="2" t="s">
        <v>530</v>
      </c>
      <c r="B18" s="2"/>
      <c r="C18" s="2"/>
      <c r="D18" s="2"/>
      <c r="E18" s="2"/>
      <c r="F18" s="2"/>
      <c r="G18" s="2"/>
      <c r="H18" s="5" t="s">
        <v>434</v>
      </c>
      <c r="I18" s="41"/>
      <c r="J18" s="20"/>
      <c r="K18" s="11"/>
      <c r="L18" s="44">
        <f t="shared" si="0"/>
        <v>0</v>
      </c>
      <c r="N18" s="2"/>
      <c r="O18" s="2"/>
      <c r="P18" s="2"/>
      <c r="Q18" s="2"/>
      <c r="R18" s="2"/>
      <c r="S18" s="2"/>
    </row>
    <row r="19" spans="1:19" s="6" customFormat="1" x14ac:dyDescent="0.3">
      <c r="A19" s="49" t="s">
        <v>593</v>
      </c>
      <c r="B19" s="2"/>
      <c r="C19" s="2"/>
      <c r="D19" s="2"/>
      <c r="E19" s="2"/>
      <c r="F19" s="2"/>
      <c r="G19" s="2"/>
      <c r="H19" s="2"/>
      <c r="I19" s="39"/>
      <c r="J19" s="7"/>
      <c r="K19" s="11"/>
      <c r="N19" s="2"/>
      <c r="O19" s="2"/>
      <c r="P19" s="2"/>
      <c r="Q19" s="2"/>
      <c r="R19" s="2"/>
      <c r="S19" s="2"/>
    </row>
    <row r="20" spans="1:19" x14ac:dyDescent="0.3">
      <c r="A20" s="65" t="s">
        <v>29</v>
      </c>
      <c r="B20" s="65"/>
      <c r="C20" s="65"/>
      <c r="D20" s="65"/>
      <c r="E20" s="65"/>
      <c r="F20" s="65"/>
      <c r="I20" s="39" t="s">
        <v>38</v>
      </c>
      <c r="J20" s="7">
        <f>SUM(Table13456781011121314151617181920212223242526272830313233[اللبناني])</f>
        <v>40</v>
      </c>
      <c r="K20" s="7">
        <f>SUM(Table13456781011121314151617181920212223242526272830313233[الدولار])</f>
        <v>726</v>
      </c>
      <c r="L20" s="7">
        <f>SUM(Table13456781011121314151617181920212223242526272830313233[مبيع $])</f>
        <v>726.44444444444434</v>
      </c>
      <c r="N20" s="65" t="s">
        <v>33</v>
      </c>
      <c r="O20" s="65"/>
      <c r="P20" s="65"/>
      <c r="Q20" s="65"/>
      <c r="R20" s="65"/>
      <c r="S20" s="65"/>
    </row>
    <row r="21" spans="1:19" x14ac:dyDescent="0.3">
      <c r="A21" s="1" t="s">
        <v>2</v>
      </c>
      <c r="B21" s="1" t="s">
        <v>0</v>
      </c>
      <c r="C21" s="1" t="s">
        <v>1</v>
      </c>
      <c r="D21" s="1" t="s">
        <v>3</v>
      </c>
      <c r="E21" s="1" t="s">
        <v>0</v>
      </c>
      <c r="F21" s="1" t="s">
        <v>1</v>
      </c>
      <c r="H21" s="2" t="s">
        <v>426</v>
      </c>
      <c r="I21" s="40" t="s">
        <v>6</v>
      </c>
      <c r="J21" s="3" t="s">
        <v>5</v>
      </c>
      <c r="K21" s="12" t="s">
        <v>4</v>
      </c>
      <c r="L21" s="12" t="s">
        <v>415</v>
      </c>
      <c r="M21" s="2"/>
      <c r="N21" s="1" t="s">
        <v>2</v>
      </c>
      <c r="O21" s="1" t="s">
        <v>0</v>
      </c>
      <c r="P21" s="1" t="s">
        <v>1</v>
      </c>
      <c r="Q21" s="1" t="s">
        <v>3</v>
      </c>
      <c r="R21" s="1" t="s">
        <v>0</v>
      </c>
      <c r="S21" s="1" t="s">
        <v>1</v>
      </c>
    </row>
    <row r="22" spans="1:19" x14ac:dyDescent="0.3">
      <c r="A22" s="15">
        <v>1</v>
      </c>
      <c r="B22" s="2">
        <v>9</v>
      </c>
      <c r="C22" s="21">
        <f>A22*B22</f>
        <v>9</v>
      </c>
      <c r="D22" s="17">
        <v>5</v>
      </c>
      <c r="E22" s="2">
        <v>33</v>
      </c>
      <c r="F22" s="23">
        <f>D22*E22</f>
        <v>165</v>
      </c>
      <c r="G22" s="5"/>
      <c r="H22" s="5" t="s">
        <v>434</v>
      </c>
      <c r="I22" s="41" t="s">
        <v>594</v>
      </c>
      <c r="J22" s="20"/>
      <c r="K22" s="11">
        <v>2</v>
      </c>
      <c r="L22" s="44">
        <f>Table13456781011121314151617181920212223242526272830313233[[#This Row],[الدولار]]+(Table13456781011121314151617181920212223242526272830313233[[#This Row],[اللبناني]]/90)</f>
        <v>2</v>
      </c>
      <c r="N22" s="15">
        <v>1</v>
      </c>
      <c r="O22" s="2">
        <v>10</v>
      </c>
      <c r="P22" s="21">
        <f>N22*O22</f>
        <v>10</v>
      </c>
      <c r="Q22" s="17">
        <v>5</v>
      </c>
      <c r="R22" s="2">
        <v>33</v>
      </c>
      <c r="S22" s="23">
        <f>Q22*R22</f>
        <v>165</v>
      </c>
    </row>
    <row r="23" spans="1:19" x14ac:dyDescent="0.3">
      <c r="A23" s="15">
        <v>5</v>
      </c>
      <c r="B23" s="2">
        <v>1</v>
      </c>
      <c r="C23" s="21">
        <f t="shared" ref="C23:C27" si="1">A23*B23</f>
        <v>5</v>
      </c>
      <c r="D23" s="17">
        <v>10</v>
      </c>
      <c r="E23" s="2">
        <v>21</v>
      </c>
      <c r="F23" s="23">
        <f t="shared" ref="F23:F26" si="2">D23*E23</f>
        <v>210</v>
      </c>
      <c r="G23" s="5"/>
      <c r="H23" s="5" t="s">
        <v>434</v>
      </c>
      <c r="I23" s="41" t="s">
        <v>595</v>
      </c>
      <c r="J23" s="20"/>
      <c r="K23" s="11">
        <v>20</v>
      </c>
      <c r="L23" s="44">
        <f>Table13456781011121314151617181920212223242526272830313233[[#This Row],[الدولار]]+(Table13456781011121314151617181920212223242526272830313233[[#This Row],[اللبناني]]/90)</f>
        <v>20</v>
      </c>
      <c r="N23" s="15">
        <v>5</v>
      </c>
      <c r="O23" s="2">
        <v>4</v>
      </c>
      <c r="P23" s="21">
        <f t="shared" ref="P23:P27" si="3">N23*O23</f>
        <v>20</v>
      </c>
      <c r="Q23" s="17">
        <v>10</v>
      </c>
      <c r="R23" s="2">
        <v>24</v>
      </c>
      <c r="S23" s="23">
        <f t="shared" ref="S23:S26" si="4">Q23*R23</f>
        <v>240</v>
      </c>
    </row>
    <row r="24" spans="1:19" x14ac:dyDescent="0.3">
      <c r="A24" s="15">
        <v>10</v>
      </c>
      <c r="B24" s="2">
        <v>27</v>
      </c>
      <c r="C24" s="21">
        <f t="shared" si="1"/>
        <v>270</v>
      </c>
      <c r="D24" s="17">
        <v>20</v>
      </c>
      <c r="E24" s="2">
        <v>26</v>
      </c>
      <c r="F24" s="23">
        <f t="shared" si="2"/>
        <v>520</v>
      </c>
      <c r="G24" s="5"/>
      <c r="H24" s="5" t="s">
        <v>435</v>
      </c>
      <c r="I24" s="41" t="s">
        <v>104</v>
      </c>
      <c r="J24" s="20">
        <v>-300</v>
      </c>
      <c r="L24" s="44">
        <f>Table13456781011121314151617181920212223242526272830313233[[#This Row],[الدولار]]+(Table13456781011121314151617181920212223242526272830313233[[#This Row],[اللبناني]]/90)</f>
        <v>-3.3333333333333335</v>
      </c>
      <c r="N24" s="15">
        <v>10</v>
      </c>
      <c r="O24" s="2">
        <v>28</v>
      </c>
      <c r="P24" s="21">
        <f t="shared" si="3"/>
        <v>280</v>
      </c>
      <c r="Q24" s="17">
        <v>20</v>
      </c>
      <c r="R24" s="2">
        <v>24</v>
      </c>
      <c r="S24" s="23">
        <f t="shared" si="4"/>
        <v>480</v>
      </c>
    </row>
    <row r="25" spans="1:19" x14ac:dyDescent="0.3">
      <c r="A25" s="15">
        <v>20</v>
      </c>
      <c r="B25" s="2">
        <v>29</v>
      </c>
      <c r="C25" s="21">
        <f t="shared" si="1"/>
        <v>580</v>
      </c>
      <c r="D25" s="17">
        <v>50</v>
      </c>
      <c r="E25" s="2">
        <v>4</v>
      </c>
      <c r="F25" s="23">
        <f t="shared" si="2"/>
        <v>200</v>
      </c>
      <c r="G25" s="5"/>
      <c r="H25" s="5" t="s">
        <v>434</v>
      </c>
      <c r="I25" s="41" t="s">
        <v>596</v>
      </c>
      <c r="J25" s="20">
        <v>130</v>
      </c>
      <c r="K25" s="11">
        <v>20</v>
      </c>
      <c r="L25" s="44">
        <f>Table13456781011121314151617181920212223242526272830313233[[#This Row],[الدولار]]+(Table13456781011121314151617181920212223242526272830313233[[#This Row],[اللبناني]]/90)</f>
        <v>21.444444444444443</v>
      </c>
      <c r="N25" s="15">
        <v>20</v>
      </c>
      <c r="O25" s="2">
        <v>34</v>
      </c>
      <c r="P25" s="21">
        <f t="shared" si="3"/>
        <v>680</v>
      </c>
      <c r="Q25" s="17">
        <v>50</v>
      </c>
      <c r="R25" s="2">
        <v>3</v>
      </c>
      <c r="S25" s="23">
        <f t="shared" si="4"/>
        <v>150</v>
      </c>
    </row>
    <row r="26" spans="1:19" x14ac:dyDescent="0.3">
      <c r="A26" s="15">
        <v>50</v>
      </c>
      <c r="B26" s="2">
        <v>2</v>
      </c>
      <c r="C26" s="21">
        <f t="shared" si="1"/>
        <v>100</v>
      </c>
      <c r="D26" s="17">
        <v>100</v>
      </c>
      <c r="E26" s="2">
        <v>54</v>
      </c>
      <c r="F26" s="23">
        <f t="shared" si="2"/>
        <v>5400</v>
      </c>
      <c r="G26" s="5"/>
      <c r="H26" s="5" t="s">
        <v>434</v>
      </c>
      <c r="I26" s="42" t="s">
        <v>597</v>
      </c>
      <c r="J26" s="20">
        <v>-200</v>
      </c>
      <c r="K26" s="11">
        <v>35</v>
      </c>
      <c r="L26" s="44">
        <f>Table13456781011121314151617181920212223242526272830313233[[#This Row],[الدولار]]+(Table13456781011121314151617181920212223242526272830313233[[#This Row],[اللبناني]]/90)</f>
        <v>32.777777777777779</v>
      </c>
      <c r="N26" s="15">
        <v>50</v>
      </c>
      <c r="O26" s="2">
        <v>4</v>
      </c>
      <c r="P26" s="21">
        <f t="shared" si="3"/>
        <v>200</v>
      </c>
      <c r="Q26" s="17">
        <v>100</v>
      </c>
      <c r="R26" s="2">
        <v>55</v>
      </c>
      <c r="S26" s="23">
        <f t="shared" si="4"/>
        <v>5500</v>
      </c>
    </row>
    <row r="27" spans="1:19" x14ac:dyDescent="0.3">
      <c r="A27" s="15">
        <v>100</v>
      </c>
      <c r="B27" s="2">
        <v>1</v>
      </c>
      <c r="C27" s="21">
        <f t="shared" si="1"/>
        <v>100</v>
      </c>
      <c r="D27" s="1" t="s">
        <v>1</v>
      </c>
      <c r="E27" s="1"/>
      <c r="F27" s="19">
        <f>SUM(F22:F26)</f>
        <v>6495</v>
      </c>
      <c r="G27" s="5"/>
      <c r="H27" s="5" t="s">
        <v>434</v>
      </c>
      <c r="I27" s="41" t="s">
        <v>598</v>
      </c>
      <c r="J27" s="20"/>
      <c r="K27" s="11">
        <v>120</v>
      </c>
      <c r="L27" s="44">
        <f>Table13456781011121314151617181920212223242526272830313233[[#This Row],[الدولار]]+(Table13456781011121314151617181920212223242526272830313233[[#This Row],[اللبناني]]/90)</f>
        <v>120</v>
      </c>
      <c r="N27" s="15">
        <v>100</v>
      </c>
      <c r="O27" s="2">
        <v>6</v>
      </c>
      <c r="P27" s="21">
        <f t="shared" si="3"/>
        <v>600</v>
      </c>
      <c r="Q27" s="1" t="s">
        <v>1</v>
      </c>
      <c r="R27" s="1"/>
      <c r="S27" s="19">
        <f>SUM(S22:S26)</f>
        <v>6535</v>
      </c>
    </row>
    <row r="28" spans="1:19" x14ac:dyDescent="0.3">
      <c r="A28" s="1" t="s">
        <v>1</v>
      </c>
      <c r="B28" s="1"/>
      <c r="C28" s="22">
        <f>SUM(C22:C27)</f>
        <v>1064</v>
      </c>
      <c r="H28" s="5" t="s">
        <v>434</v>
      </c>
      <c r="I28" s="41" t="s">
        <v>359</v>
      </c>
      <c r="J28" s="20">
        <v>-400</v>
      </c>
      <c r="K28" s="11">
        <v>10</v>
      </c>
      <c r="L28" s="44">
        <f>Table13456781011121314151617181920212223242526272830313233[[#This Row],[الدولار]]+(Table13456781011121314151617181920212223242526272830313233[[#This Row],[اللبناني]]/90)</f>
        <v>5.5555555555555554</v>
      </c>
      <c r="N28" s="1" t="s">
        <v>1</v>
      </c>
      <c r="O28" s="1"/>
      <c r="P28" s="22">
        <f>SUM(P22:P27)</f>
        <v>1790</v>
      </c>
      <c r="S28" s="20"/>
    </row>
    <row r="29" spans="1:19" x14ac:dyDescent="0.3">
      <c r="B29" s="2">
        <v>0</v>
      </c>
      <c r="C29" s="27"/>
      <c r="D29" s="66" t="s">
        <v>40</v>
      </c>
      <c r="E29" s="66"/>
      <c r="F29" s="24">
        <f ca="1">INDIRECT("'"&amp;$A$19&amp;"'!J20")+J1</f>
        <v>-1390</v>
      </c>
      <c r="H29" s="5" t="s">
        <v>434</v>
      </c>
      <c r="I29" s="41"/>
      <c r="J29" s="20">
        <v>300</v>
      </c>
      <c r="L29" s="44">
        <f>Table13456781011121314151617181920212223242526272830313233[[#This Row],[الدولار]]+(Table13456781011121314151617181920212223242526272830313233[[#This Row],[اللبناني]]/90)</f>
        <v>3.3333333333333335</v>
      </c>
      <c r="P29" s="27"/>
      <c r="Q29" s="66" t="s">
        <v>40</v>
      </c>
      <c r="R29" s="66"/>
      <c r="S29" s="24">
        <f>SUM(Table13456781011121314151617181920212223242526272830313233[اللبناني])</f>
        <v>40</v>
      </c>
    </row>
    <row r="30" spans="1:19" x14ac:dyDescent="0.3">
      <c r="A30" s="66" t="s">
        <v>39</v>
      </c>
      <c r="B30" s="66"/>
      <c r="C30" s="12">
        <f ca="1">INDIRECT("'"&amp;$A$19&amp;"'!K20")+K1</f>
        <v>-74</v>
      </c>
      <c r="F30" s="20"/>
      <c r="H30" s="5" t="s">
        <v>434</v>
      </c>
      <c r="I30" s="41" t="s">
        <v>394</v>
      </c>
      <c r="J30" s="20">
        <v>100</v>
      </c>
      <c r="L30" s="44">
        <f>Table13456781011121314151617181920212223242526272830313233[[#This Row],[الدولار]]+(Table13456781011121314151617181920212223242526272830313233[[#This Row],[اللبناني]]/90)</f>
        <v>1.1111111111111112</v>
      </c>
      <c r="N30" s="66" t="s">
        <v>39</v>
      </c>
      <c r="O30" s="66"/>
      <c r="P30" s="12">
        <f>SUM(Table13456781011121314151617181920212223242526272830313233[الدولار])</f>
        <v>726</v>
      </c>
      <c r="S30" s="20"/>
    </row>
    <row r="31" spans="1:19" x14ac:dyDescent="0.3">
      <c r="C31" s="27"/>
      <c r="D31" s="1" t="s">
        <v>27</v>
      </c>
      <c r="E31" s="1"/>
      <c r="F31" s="24">
        <f ca="1">F27-F29-INDIRECT("'"&amp;$A$19&amp;"'!f27")</f>
        <v>0</v>
      </c>
      <c r="H31" s="5" t="s">
        <v>434</v>
      </c>
      <c r="I31" s="41" t="s">
        <v>599</v>
      </c>
      <c r="J31" s="20">
        <v>150</v>
      </c>
      <c r="L31" s="44">
        <f>Table13456781011121314151617181920212223242526272830313233[[#This Row],[الدولار]]+(Table13456781011121314151617181920212223242526272830313233[[#This Row],[اللبناني]]/90)</f>
        <v>1.6666666666666667</v>
      </c>
      <c r="P31" s="27"/>
      <c r="Q31" s="1" t="s">
        <v>27</v>
      </c>
      <c r="R31" s="1"/>
      <c r="S31" s="24">
        <f>S27-S29-F27</f>
        <v>0</v>
      </c>
    </row>
    <row r="32" spans="1:19" x14ac:dyDescent="0.3">
      <c r="A32" s="1" t="s">
        <v>27</v>
      </c>
      <c r="B32" s="1"/>
      <c r="C32" s="12">
        <f ca="1">C28-C30-INDIRECT("'"&amp;$A$19&amp;"'!c28")</f>
        <v>0</v>
      </c>
      <c r="H32" s="5" t="s">
        <v>434</v>
      </c>
      <c r="I32" s="41" t="s">
        <v>31</v>
      </c>
      <c r="J32" s="20">
        <v>360</v>
      </c>
      <c r="L32" s="44">
        <f>Table13456781011121314151617181920212223242526272830313233[[#This Row],[الدولار]]+(Table13456781011121314151617181920212223242526272830313233[[#This Row],[اللبناني]]/90)</f>
        <v>4</v>
      </c>
      <c r="N32" s="1" t="s">
        <v>27</v>
      </c>
      <c r="O32" s="1"/>
      <c r="P32" s="12">
        <f>P28-P30-C28</f>
        <v>0</v>
      </c>
    </row>
    <row r="33" spans="3:13" x14ac:dyDescent="0.3">
      <c r="C33" s="14"/>
      <c r="D33" s="14"/>
      <c r="F33" s="14"/>
      <c r="H33" s="5" t="s">
        <v>434</v>
      </c>
      <c r="I33" s="43" t="s">
        <v>600</v>
      </c>
      <c r="J33" s="18"/>
      <c r="K33" s="11">
        <v>130</v>
      </c>
      <c r="L33" s="44">
        <f>Table13456781011121314151617181920212223242526272830313233[[#This Row],[الدولار]]+(Table13456781011121314151617181920212223242526272830313233[[#This Row],[اللبناني]]/90)</f>
        <v>130</v>
      </c>
    </row>
    <row r="34" spans="3:13" x14ac:dyDescent="0.3">
      <c r="C34" s="14"/>
      <c r="D34" s="14"/>
      <c r="F34" s="14"/>
      <c r="H34" s="5" t="s">
        <v>434</v>
      </c>
      <c r="I34" s="43" t="s">
        <v>601</v>
      </c>
      <c r="J34" s="18"/>
      <c r="K34" s="11">
        <v>100</v>
      </c>
      <c r="L34" s="44">
        <f>Table13456781011121314151617181920212223242526272830313233[[#This Row],[الدولار]]+(Table13456781011121314151617181920212223242526272830313233[[#This Row],[اللبناني]]/90)</f>
        <v>100</v>
      </c>
    </row>
    <row r="35" spans="3:13" x14ac:dyDescent="0.3">
      <c r="C35" s="14"/>
      <c r="D35" s="14"/>
      <c r="F35" s="14"/>
      <c r="H35" s="5" t="s">
        <v>434</v>
      </c>
      <c r="I35" s="41" t="s">
        <v>578</v>
      </c>
      <c r="J35" s="18"/>
      <c r="K35" s="11">
        <v>33</v>
      </c>
      <c r="L35" s="44">
        <f>Table13456781011121314151617181920212223242526272830313233[[#This Row],[الدولار]]+(Table13456781011121314151617181920212223242526272830313233[[#This Row],[اللبناني]]/90)</f>
        <v>33</v>
      </c>
    </row>
    <row r="36" spans="3:13" s="11" customFormat="1" x14ac:dyDescent="0.3">
      <c r="C36" s="14"/>
      <c r="D36" s="14"/>
      <c r="E36" s="2"/>
      <c r="F36" s="14"/>
      <c r="G36" s="2"/>
      <c r="H36" s="5" t="s">
        <v>434</v>
      </c>
      <c r="I36" s="43"/>
      <c r="J36" s="20"/>
      <c r="K36" s="11">
        <v>2</v>
      </c>
      <c r="L36" s="44">
        <f>Table13456781011121314151617181920212223242526272830313233[[#This Row],[الدولار]]+(Table13456781011121314151617181920212223242526272830313233[[#This Row],[اللبناني]]/90)</f>
        <v>2</v>
      </c>
      <c r="M36" s="6"/>
    </row>
    <row r="37" spans="3:13" s="11" customFormat="1" x14ac:dyDescent="0.3">
      <c r="C37" s="14"/>
      <c r="D37" s="2"/>
      <c r="E37" s="2"/>
      <c r="F37" s="14"/>
      <c r="G37" s="2"/>
      <c r="H37" s="5" t="s">
        <v>434</v>
      </c>
      <c r="I37" s="43" t="s">
        <v>602</v>
      </c>
      <c r="J37" s="20">
        <v>-45</v>
      </c>
      <c r="K37" s="11">
        <v>15</v>
      </c>
      <c r="L37" s="44">
        <f>Table13456781011121314151617181920212223242526272830313233[[#This Row],[الدولار]]+(Table13456781011121314151617181920212223242526272830313233[[#This Row],[اللبناني]]/90)</f>
        <v>14.5</v>
      </c>
      <c r="M37" s="6"/>
    </row>
    <row r="38" spans="3:13" s="11" customFormat="1" x14ac:dyDescent="0.3">
      <c r="C38" s="14"/>
      <c r="D38" s="2"/>
      <c r="E38" s="2"/>
      <c r="F38" s="2"/>
      <c r="G38" s="2"/>
      <c r="H38" s="5" t="s">
        <v>434</v>
      </c>
      <c r="I38" s="43"/>
      <c r="J38" s="20">
        <v>200</v>
      </c>
      <c r="L38" s="44">
        <f>Table13456781011121314151617181920212223242526272830313233[[#This Row],[الدولار]]+(Table13456781011121314151617181920212223242526272830313233[[#This Row],[اللبناني]]/90)</f>
        <v>2.2222222222222223</v>
      </c>
      <c r="M38" s="6"/>
    </row>
    <row r="39" spans="3:13" s="11" customFormat="1" x14ac:dyDescent="0.3">
      <c r="C39" s="2"/>
      <c r="D39" s="2"/>
      <c r="E39" s="2"/>
      <c r="F39" s="6"/>
      <c r="G39" s="2"/>
      <c r="H39" s="5" t="s">
        <v>434</v>
      </c>
      <c r="I39" s="41" t="s">
        <v>603</v>
      </c>
      <c r="J39" s="20">
        <v>-100</v>
      </c>
      <c r="K39" s="11">
        <v>10</v>
      </c>
      <c r="L39" s="44">
        <f>Table13456781011121314151617181920212223242526272830313233[[#This Row],[الدولار]]+(Table13456781011121314151617181920212223242526272830313233[[#This Row],[اللبناني]]/90)</f>
        <v>8.8888888888888893</v>
      </c>
      <c r="M39" s="6"/>
    </row>
    <row r="40" spans="3:13" s="11" customFormat="1" x14ac:dyDescent="0.3">
      <c r="C40" s="6"/>
      <c r="D40" s="2"/>
      <c r="E40" s="2"/>
      <c r="F40" s="2"/>
      <c r="G40" s="2"/>
      <c r="H40" s="5" t="s">
        <v>434</v>
      </c>
      <c r="I40" s="41" t="s">
        <v>604</v>
      </c>
      <c r="J40" s="20">
        <v>600</v>
      </c>
      <c r="L40" s="44">
        <f>Table13456781011121314151617181920212223242526272830313233[[#This Row],[الدولار]]+(Table13456781011121314151617181920212223242526272830313233[[#This Row],[اللبناني]]/90)</f>
        <v>6.666666666666667</v>
      </c>
      <c r="M40" s="6"/>
    </row>
    <row r="41" spans="3:13" s="11" customFormat="1" x14ac:dyDescent="0.3">
      <c r="C41" s="2"/>
      <c r="D41" s="2"/>
      <c r="E41" s="2"/>
      <c r="F41" s="6"/>
      <c r="G41" s="2"/>
      <c r="H41" s="5" t="s">
        <v>436</v>
      </c>
      <c r="I41" s="41" t="s">
        <v>22</v>
      </c>
      <c r="J41" s="20">
        <v>2000</v>
      </c>
      <c r="L41" s="44">
        <f>Table13456781011121314151617181920212223242526272830313233[[#This Row],[الدولار]]+(Table13456781011121314151617181920212223242526272830313233[[#This Row],[اللبناني]]/90)</f>
        <v>22.222222222222221</v>
      </c>
      <c r="M41" s="6"/>
    </row>
    <row r="42" spans="3:13" s="11" customFormat="1" x14ac:dyDescent="0.3">
      <c r="C42" s="6"/>
      <c r="D42" s="2"/>
      <c r="E42" s="2"/>
      <c r="F42" s="2"/>
      <c r="G42" s="2"/>
      <c r="H42" s="5" t="s">
        <v>435</v>
      </c>
      <c r="I42" s="41" t="s">
        <v>78</v>
      </c>
      <c r="J42" s="20">
        <v>-2000</v>
      </c>
      <c r="L42" s="44">
        <f>Table13456781011121314151617181920212223242526272830313233[[#This Row],[الدولار]]+(Table13456781011121314151617181920212223242526272830313233[[#This Row],[اللبناني]]/90)</f>
        <v>-22.222222222222221</v>
      </c>
      <c r="M42" s="6"/>
    </row>
    <row r="43" spans="3:13" s="11" customFormat="1" x14ac:dyDescent="0.3">
      <c r="C43" s="2"/>
      <c r="D43" s="2"/>
      <c r="E43" s="2"/>
      <c r="F43" s="2"/>
      <c r="G43" s="2"/>
      <c r="H43" s="5" t="s">
        <v>434</v>
      </c>
      <c r="I43" s="41" t="s">
        <v>605</v>
      </c>
      <c r="J43" s="20">
        <v>300</v>
      </c>
      <c r="L43" s="44">
        <f>Table13456781011121314151617181920212223242526272830313233[[#This Row],[الدولار]]+(Table13456781011121314151617181920212223242526272830313233[[#This Row],[اللبناني]]/90)</f>
        <v>3.3333333333333335</v>
      </c>
      <c r="M43" s="6"/>
    </row>
    <row r="44" spans="3:13" s="11" customFormat="1" x14ac:dyDescent="0.3">
      <c r="C44" s="2"/>
      <c r="D44" s="2"/>
      <c r="E44" s="2"/>
      <c r="F44" s="2"/>
      <c r="G44" s="2"/>
      <c r="H44" s="5" t="s">
        <v>434</v>
      </c>
      <c r="I44" s="41" t="s">
        <v>598</v>
      </c>
      <c r="J44" s="20">
        <v>670</v>
      </c>
      <c r="K44" s="11">
        <v>10</v>
      </c>
      <c r="L44" s="44">
        <f>Table13456781011121314151617181920212223242526272830313233[[#This Row],[الدولار]]+(Table13456781011121314151617181920212223242526272830313233[[#This Row],[اللبناني]]/90)</f>
        <v>17.444444444444443</v>
      </c>
      <c r="M44" s="6"/>
    </row>
    <row r="45" spans="3:13" s="11" customFormat="1" x14ac:dyDescent="0.3">
      <c r="C45" s="2"/>
      <c r="D45" s="2"/>
      <c r="E45" s="2"/>
      <c r="F45" s="2"/>
      <c r="G45" s="2"/>
      <c r="H45" s="5" t="s">
        <v>434</v>
      </c>
      <c r="I45" s="41" t="s">
        <v>606</v>
      </c>
      <c r="J45" s="20">
        <v>-400</v>
      </c>
      <c r="K45" s="11">
        <v>10</v>
      </c>
      <c r="L45" s="44">
        <f>Table13456781011121314151617181920212223242526272830313233[[#This Row],[الدولار]]+(Table13456781011121314151617181920212223242526272830313233[[#This Row],[اللبناني]]/90)</f>
        <v>5.5555555555555554</v>
      </c>
      <c r="M45" s="6"/>
    </row>
    <row r="46" spans="3:13" s="11" customFormat="1" x14ac:dyDescent="0.3">
      <c r="C46" s="2"/>
      <c r="D46" s="2"/>
      <c r="E46" s="2"/>
      <c r="F46" s="2"/>
      <c r="G46" s="2"/>
      <c r="H46" s="5" t="s">
        <v>434</v>
      </c>
      <c r="I46" s="41" t="s">
        <v>607</v>
      </c>
      <c r="J46" s="18"/>
      <c r="K46" s="11">
        <v>14</v>
      </c>
      <c r="L46" s="44">
        <f>Table13456781011121314151617181920212223242526272830313233[[#This Row],[الدولار]]+(Table13456781011121314151617181920212223242526272830313233[[#This Row],[اللبناني]]/90)</f>
        <v>14</v>
      </c>
      <c r="M46" s="6"/>
    </row>
    <row r="47" spans="3:13" s="11" customFormat="1" x14ac:dyDescent="0.3">
      <c r="C47" s="2"/>
      <c r="D47" s="2"/>
      <c r="E47" s="2"/>
      <c r="F47" s="2"/>
      <c r="G47" s="2"/>
      <c r="H47" s="5" t="s">
        <v>434</v>
      </c>
      <c r="I47" s="39" t="s">
        <v>608</v>
      </c>
      <c r="J47" s="18">
        <v>500</v>
      </c>
      <c r="L47" s="44">
        <f>Table13456781011121314151617181920212223242526272830313233[[#This Row],[الدولار]]+(Table13456781011121314151617181920212223242526272830313233[[#This Row],[اللبناني]]/90)</f>
        <v>5.5555555555555554</v>
      </c>
      <c r="M47" s="6"/>
    </row>
    <row r="48" spans="3:13" s="11" customFormat="1" x14ac:dyDescent="0.3">
      <c r="C48" s="2"/>
      <c r="D48" s="2"/>
      <c r="E48" s="2"/>
      <c r="F48" s="2"/>
      <c r="G48" s="2"/>
      <c r="H48" s="5" t="s">
        <v>435</v>
      </c>
      <c r="I48" s="39" t="s">
        <v>9</v>
      </c>
      <c r="J48" s="18"/>
      <c r="K48" s="11">
        <v>-20</v>
      </c>
      <c r="L48" s="44">
        <f>Table13456781011121314151617181920212223242526272830313233[[#This Row],[الدولار]]+(Table13456781011121314151617181920212223242526272830313233[[#This Row],[اللبناني]]/90)</f>
        <v>-20</v>
      </c>
      <c r="M48" s="6"/>
    </row>
    <row r="49" spans="3:19" s="11" customFormat="1" x14ac:dyDescent="0.3">
      <c r="C49" s="2"/>
      <c r="D49" s="2"/>
      <c r="E49" s="2"/>
      <c r="F49" s="2"/>
      <c r="G49" s="2"/>
      <c r="H49" s="5" t="s">
        <v>434</v>
      </c>
      <c r="I49" s="39" t="s">
        <v>609</v>
      </c>
      <c r="J49" s="18"/>
      <c r="K49" s="11">
        <v>-75</v>
      </c>
      <c r="L49" s="44">
        <f>Table13456781011121314151617181920212223242526272830313233[[#This Row],[الدولار]]+(Table13456781011121314151617181920212223242526272830313233[[#This Row],[اللبناني]]/90)</f>
        <v>-75</v>
      </c>
      <c r="M49" s="6"/>
      <c r="S49" s="63"/>
    </row>
    <row r="50" spans="3:19" s="11" customFormat="1" x14ac:dyDescent="0.3">
      <c r="C50" s="2"/>
      <c r="D50" s="2"/>
      <c r="E50" s="2"/>
      <c r="F50" s="2"/>
      <c r="G50" s="2"/>
      <c r="H50" s="5" t="s">
        <v>434</v>
      </c>
      <c r="I50" s="39" t="s">
        <v>610</v>
      </c>
      <c r="J50" s="18"/>
      <c r="K50" s="11">
        <v>18</v>
      </c>
      <c r="L50" s="44">
        <f>Table13456781011121314151617181920212223242526272830313233[[#This Row],[الدولار]]+(Table13456781011121314151617181920212223242526272830313233[[#This Row],[اللبناني]]/90)</f>
        <v>18</v>
      </c>
      <c r="M50" s="6"/>
    </row>
    <row r="51" spans="3:19" s="11" customFormat="1" x14ac:dyDescent="0.3">
      <c r="C51" s="2"/>
      <c r="D51" s="2"/>
      <c r="E51" s="2"/>
      <c r="F51" s="2"/>
      <c r="G51" s="2"/>
      <c r="H51" s="5" t="s">
        <v>434</v>
      </c>
      <c r="I51" s="39" t="s">
        <v>611</v>
      </c>
      <c r="J51" s="18"/>
      <c r="K51" s="11">
        <v>25</v>
      </c>
      <c r="L51" s="44">
        <f>Table13456781011121314151617181920212223242526272830313233[[#This Row],[الدولار]]+(Table13456781011121314151617181920212223242526272830313233[[#This Row],[اللبناني]]/90)</f>
        <v>25</v>
      </c>
      <c r="M51" s="6"/>
    </row>
    <row r="52" spans="3:19" s="11" customFormat="1" x14ac:dyDescent="0.3">
      <c r="H52" s="5" t="s">
        <v>434</v>
      </c>
      <c r="I52" s="39" t="s">
        <v>612</v>
      </c>
      <c r="J52" s="18">
        <v>-525</v>
      </c>
      <c r="K52" s="11">
        <v>10</v>
      </c>
      <c r="L52" s="44">
        <f>Table13456781011121314151617181920212223242526272830313233[[#This Row],[الدولار]]+(Table13456781011121314151617181920212223242526272830313233[[#This Row],[اللبناني]]/90)</f>
        <v>4.166666666666667</v>
      </c>
      <c r="M52" s="6"/>
    </row>
    <row r="53" spans="3:19" s="11" customFormat="1" x14ac:dyDescent="0.3">
      <c r="H53" s="5" t="s">
        <v>434</v>
      </c>
      <c r="I53" s="39" t="s">
        <v>245</v>
      </c>
      <c r="J53" s="18">
        <v>400</v>
      </c>
      <c r="L53" s="44">
        <f>Table13456781011121314151617181920212223242526272830313233[[#This Row],[الدولار]]+(Table13456781011121314151617181920212223242526272830313233[[#This Row],[اللبناني]]/90)</f>
        <v>4.4444444444444446</v>
      </c>
      <c r="M53" s="6"/>
    </row>
    <row r="54" spans="3:19" s="11" customFormat="1" x14ac:dyDescent="0.3">
      <c r="H54" s="5" t="s">
        <v>434</v>
      </c>
      <c r="I54" s="39" t="s">
        <v>613</v>
      </c>
      <c r="J54" s="18">
        <v>-350</v>
      </c>
      <c r="K54" s="11">
        <v>10</v>
      </c>
      <c r="L54" s="44">
        <f>Table13456781011121314151617181920212223242526272830313233[[#This Row],[الدولار]]+(Table13456781011121314151617181920212223242526272830313233[[#This Row],[اللبناني]]/90)</f>
        <v>6.1111111111111107</v>
      </c>
      <c r="M54" s="6"/>
    </row>
    <row r="55" spans="3:19" s="11" customFormat="1" x14ac:dyDescent="0.3">
      <c r="H55" s="5" t="s">
        <v>434</v>
      </c>
      <c r="I55" s="39" t="s">
        <v>307</v>
      </c>
      <c r="J55" s="18">
        <v>140</v>
      </c>
      <c r="K55" s="11">
        <v>20</v>
      </c>
      <c r="L55" s="44">
        <f>Table13456781011121314151617181920212223242526272830313233[[#This Row],[الدولار]]+(Table13456781011121314151617181920212223242526272830313233[[#This Row],[اللبناني]]/90)</f>
        <v>21.555555555555557</v>
      </c>
      <c r="M55" s="6"/>
    </row>
    <row r="56" spans="3:19" s="11" customFormat="1" x14ac:dyDescent="0.3">
      <c r="H56" s="5" t="s">
        <v>434</v>
      </c>
      <c r="I56" s="39" t="s">
        <v>614</v>
      </c>
      <c r="J56" s="18">
        <v>200</v>
      </c>
      <c r="K56" s="11">
        <v>6</v>
      </c>
      <c r="L56" s="44">
        <f>Table13456781011121314151617181920212223242526272830313233[[#This Row],[الدولار]]+(Table13456781011121314151617181920212223242526272830313233[[#This Row],[اللبناني]]/90)</f>
        <v>8.2222222222222214</v>
      </c>
      <c r="M56" s="6"/>
    </row>
    <row r="57" spans="3:19" s="11" customFormat="1" x14ac:dyDescent="0.3">
      <c r="H57" s="5" t="s">
        <v>434</v>
      </c>
      <c r="I57" s="39" t="s">
        <v>615</v>
      </c>
      <c r="J57" s="18">
        <v>-350</v>
      </c>
      <c r="L57" s="44">
        <f>Table13456781011121314151617181920212223242526272830313233[[#This Row],[الدولار]]+(Table13456781011121314151617181920212223242526272830313233[[#This Row],[اللبناني]]/90)</f>
        <v>-3.8888888888888888</v>
      </c>
      <c r="M57" s="6"/>
      <c r="P57" s="64"/>
      <c r="S57" s="63"/>
    </row>
    <row r="58" spans="3:19" s="11" customFormat="1" x14ac:dyDescent="0.3">
      <c r="H58" s="5" t="s">
        <v>434</v>
      </c>
      <c r="I58" s="39" t="s">
        <v>616</v>
      </c>
      <c r="J58" s="18"/>
      <c r="K58" s="11">
        <v>180</v>
      </c>
      <c r="L58" s="44">
        <f>Table13456781011121314151617181920212223242526272830313233[[#This Row],[الدولار]]+(Table13456781011121314151617181920212223242526272830313233[[#This Row],[اللبناني]]/90)</f>
        <v>180</v>
      </c>
      <c r="M58" s="6"/>
      <c r="P58" s="64"/>
      <c r="S58" s="63"/>
    </row>
    <row r="59" spans="3:19" s="11" customFormat="1" x14ac:dyDescent="0.3">
      <c r="H59" s="5" t="s">
        <v>434</v>
      </c>
      <c r="I59" s="39" t="s">
        <v>617</v>
      </c>
      <c r="J59" s="18"/>
      <c r="K59" s="11">
        <v>17</v>
      </c>
      <c r="L59" s="44">
        <f>Table13456781011121314151617181920212223242526272830313233[[#This Row],[الدولار]]+(Table13456781011121314151617181920212223242526272830313233[[#This Row],[اللبناني]]/90)</f>
        <v>17</v>
      </c>
      <c r="M59" s="6"/>
    </row>
    <row r="60" spans="3:19" s="11" customFormat="1" x14ac:dyDescent="0.3">
      <c r="H60" s="5" t="s">
        <v>434</v>
      </c>
      <c r="I60" s="39"/>
      <c r="J60" s="18"/>
      <c r="K60" s="11">
        <v>4</v>
      </c>
      <c r="L60" s="44">
        <f>Table13456781011121314151617181920212223242526272830313233[[#This Row],[الدولار]]+(Table13456781011121314151617181920212223242526272830313233[[#This Row],[اللبناني]]/90)</f>
        <v>4</v>
      </c>
      <c r="M60" s="6"/>
    </row>
    <row r="61" spans="3:19" s="11" customFormat="1" x14ac:dyDescent="0.3">
      <c r="H61" s="5" t="s">
        <v>434</v>
      </c>
      <c r="I61" s="39" t="s">
        <v>220</v>
      </c>
      <c r="J61" s="18">
        <v>-1340</v>
      </c>
      <c r="L61" s="44">
        <f>Table13456781011121314151617181920212223242526272830313233[[#This Row],[الدولار]]+(Table13456781011121314151617181920212223242526272830313233[[#This Row],[اللبناني]]/90)</f>
        <v>-14.888888888888889</v>
      </c>
      <c r="M61" s="6"/>
      <c r="N61" s="11" t="s">
        <v>193</v>
      </c>
      <c r="P61" s="12">
        <v>1790</v>
      </c>
      <c r="S61" s="19">
        <v>6535</v>
      </c>
    </row>
    <row r="62" spans="3:19" s="11" customFormat="1" x14ac:dyDescent="0.3">
      <c r="H62" s="5" t="s">
        <v>434</v>
      </c>
      <c r="I62" s="39"/>
      <c r="J62" s="18"/>
      <c r="L62" s="44">
        <f>Table13456781011121314151617181920212223242526272830313233[[#This Row],[الدولار]]+(Table13456781011121314151617181920212223242526272830313233[[#This Row],[اللبناني]]/90)</f>
        <v>0</v>
      </c>
      <c r="M62" s="6"/>
    </row>
    <row r="63" spans="3:19" s="11" customFormat="1" x14ac:dyDescent="0.3">
      <c r="H63" s="5" t="s">
        <v>434</v>
      </c>
      <c r="I63" s="39"/>
      <c r="J63" s="18"/>
      <c r="L63" s="44">
        <f>Table13456781011121314151617181920212223242526272830313233[[#This Row],[الدولار]]+(Table13456781011121314151617181920212223242526272830313233[[#This Row],[اللبناني]]/90)</f>
        <v>0</v>
      </c>
      <c r="M63" s="6"/>
      <c r="P63" s="64"/>
      <c r="S63" s="63"/>
    </row>
    <row r="64" spans="3:19" s="11" customFormat="1" x14ac:dyDescent="0.3">
      <c r="H64" s="5" t="s">
        <v>434</v>
      </c>
      <c r="I64" s="39"/>
      <c r="J64" s="18"/>
      <c r="L64" s="44">
        <f>Table13456781011121314151617181920212223242526272830313233[[#This Row],[الدولار]]+(Table13456781011121314151617181920212223242526272830313233[[#This Row],[اللبناني]]/90)</f>
        <v>0</v>
      </c>
      <c r="M64" s="6"/>
      <c r="P64" s="64"/>
      <c r="S64" s="63"/>
    </row>
    <row r="65" spans="4:19" s="11" customFormat="1" x14ac:dyDescent="0.3">
      <c r="D65" s="54"/>
      <c r="H65" s="5" t="s">
        <v>434</v>
      </c>
      <c r="I65" s="39"/>
      <c r="J65" s="50"/>
      <c r="K65" s="51"/>
      <c r="L65" s="44">
        <f>Table13456781011121314151617181920212223242526272830313233[[#This Row],[الدولار]]+(Table13456781011121314151617181920212223242526272830313233[[#This Row],[اللبناني]]/90)</f>
        <v>0</v>
      </c>
      <c r="M65" s="6"/>
      <c r="P65" s="64"/>
      <c r="S65" s="63"/>
    </row>
    <row r="66" spans="4:19" s="11" customFormat="1" x14ac:dyDescent="0.3">
      <c r="D66" s="54"/>
      <c r="H66" s="5" t="s">
        <v>434</v>
      </c>
      <c r="I66" s="39"/>
      <c r="J66" s="52"/>
      <c r="K66" s="53"/>
      <c r="L66" s="44">
        <f>Table13456781011121314151617181920212223242526272830313233[[#This Row],[الدولار]]+(Table13456781011121314151617181920212223242526272830313233[[#This Row],[اللبناني]]/90)</f>
        <v>0</v>
      </c>
      <c r="M66" s="6"/>
    </row>
    <row r="67" spans="4:19" s="11" customFormat="1" x14ac:dyDescent="0.3">
      <c r="D67" s="54"/>
      <c r="H67" s="5" t="s">
        <v>434</v>
      </c>
      <c r="I67" s="39"/>
      <c r="J67" s="50"/>
      <c r="K67" s="51"/>
      <c r="L67" s="44">
        <f>Table13456781011121314151617181920212223242526272830313233[[#This Row],[الدولار]]+(Table13456781011121314151617181920212223242526272830313233[[#This Row],[اللبناني]]/90)</f>
        <v>0</v>
      </c>
      <c r="M67" s="6"/>
    </row>
    <row r="68" spans="4:19" s="11" customFormat="1" x14ac:dyDescent="0.3">
      <c r="D68" s="54"/>
      <c r="H68" s="5" t="s">
        <v>434</v>
      </c>
      <c r="I68" s="39"/>
      <c r="J68" s="52"/>
      <c r="K68" s="53"/>
      <c r="L68" s="44">
        <f>Table13456781011121314151617181920212223242526272830313233[[#This Row],[الدولار]]+(Table13456781011121314151617181920212223242526272830313233[[#This Row],[اللبناني]]/90)</f>
        <v>0</v>
      </c>
      <c r="M68" s="6"/>
    </row>
    <row r="69" spans="4:19" s="11" customFormat="1" x14ac:dyDescent="0.3">
      <c r="D69" s="54"/>
      <c r="H69" s="5" t="s">
        <v>434</v>
      </c>
      <c r="I69" s="39"/>
      <c r="J69" s="50"/>
      <c r="K69" s="51"/>
      <c r="L69" s="44">
        <f>Table13456781011121314151617181920212223242526272830313233[[#This Row],[الدولار]]+(Table13456781011121314151617181920212223242526272830313233[[#This Row],[اللبناني]]/90)</f>
        <v>0</v>
      </c>
      <c r="M69" s="6"/>
    </row>
    <row r="70" spans="4:19" s="11" customFormat="1" x14ac:dyDescent="0.3">
      <c r="H70" s="5" t="s">
        <v>434</v>
      </c>
      <c r="I70" s="39"/>
      <c r="J70" s="18"/>
      <c r="L70" s="44">
        <f>Table13456781011121314151617181920212223242526272830313233[[#This Row],[الدولار]]+(Table13456781011121314151617181920212223242526272830313233[[#This Row],[اللبناني]]/90)</f>
        <v>0</v>
      </c>
      <c r="M70" s="6"/>
    </row>
    <row r="71" spans="4:19" s="11" customFormat="1" x14ac:dyDescent="0.3">
      <c r="H71" s="5" t="s">
        <v>434</v>
      </c>
      <c r="I71" s="39"/>
      <c r="J71" s="18"/>
      <c r="L71" s="44">
        <f>Table13456781011121314151617181920212223242526272830313233[[#This Row],[الدولار]]+(Table13456781011121314151617181920212223242526272830313233[[#This Row],[اللبناني]]/90)</f>
        <v>0</v>
      </c>
      <c r="M71" s="6"/>
    </row>
    <row r="72" spans="4:19" s="11" customFormat="1" x14ac:dyDescent="0.3">
      <c r="H72" s="5" t="s">
        <v>434</v>
      </c>
      <c r="I72" s="39"/>
      <c r="J72" s="18"/>
      <c r="L72" s="44">
        <f>Table13456781011121314151617181920212223242526272830313233[[#This Row],[الدولار]]+(Table13456781011121314151617181920212223242526272830313233[[#This Row],[اللبناني]]/90)</f>
        <v>0</v>
      </c>
      <c r="M72" s="6"/>
    </row>
    <row r="73" spans="4:19" s="11" customFormat="1" x14ac:dyDescent="0.3">
      <c r="H73" s="5" t="s">
        <v>434</v>
      </c>
      <c r="I73" s="39"/>
      <c r="J73" s="18"/>
      <c r="L73" s="44">
        <f>Table13456781011121314151617181920212223242526272830313233[[#This Row],[الدولار]]+(Table13456781011121314151617181920212223242526272830313233[[#This Row],[اللبناني]]/90)</f>
        <v>0</v>
      </c>
      <c r="M73" s="6"/>
    </row>
    <row r="74" spans="4:19" s="11" customFormat="1" x14ac:dyDescent="0.3">
      <c r="H74" s="5" t="s">
        <v>434</v>
      </c>
      <c r="I74" s="39"/>
      <c r="J74" s="18"/>
      <c r="L74" s="44">
        <f>Table13456781011121314151617181920212223242526272830313233[[#This Row],[الدولار]]+(Table13456781011121314151617181920212223242526272830313233[[#This Row],[اللبناني]]/90)</f>
        <v>0</v>
      </c>
      <c r="M74" s="6"/>
    </row>
    <row r="75" spans="4:19" s="11" customFormat="1" x14ac:dyDescent="0.3">
      <c r="H75" s="5" t="s">
        <v>434</v>
      </c>
      <c r="I75" s="39"/>
      <c r="J75" s="18"/>
      <c r="L75" s="44">
        <f>Table13456781011121314151617181920212223242526272830313233[[#This Row],[الدولار]]+(Table13456781011121314151617181920212223242526272830313233[[#This Row],[اللبناني]]/90)</f>
        <v>0</v>
      </c>
      <c r="M75" s="6"/>
    </row>
    <row r="76" spans="4:19" s="11" customFormat="1" x14ac:dyDescent="0.3">
      <c r="H76" s="5" t="s">
        <v>434</v>
      </c>
      <c r="I76" s="39"/>
      <c r="J76" s="18"/>
      <c r="L76" s="44">
        <f>Table13456781011121314151617181920212223242526272830313233[[#This Row],[الدولار]]+(Table13456781011121314151617181920212223242526272830313233[[#This Row],[اللبناني]]/90)</f>
        <v>0</v>
      </c>
      <c r="M76" s="6"/>
    </row>
    <row r="77" spans="4:19" s="11" customFormat="1" x14ac:dyDescent="0.3">
      <c r="H77" s="5" t="s">
        <v>434</v>
      </c>
      <c r="I77" s="39"/>
      <c r="J77" s="18"/>
      <c r="L77" s="44">
        <f>Table13456781011121314151617181920212223242526272830313233[[#This Row],[الدولار]]+(Table13456781011121314151617181920212223242526272830313233[[#This Row],[اللبناني]]/90)</f>
        <v>0</v>
      </c>
      <c r="M77" s="6"/>
    </row>
    <row r="78" spans="4:19" s="11" customFormat="1" x14ac:dyDescent="0.3">
      <c r="H78" s="5" t="s">
        <v>434</v>
      </c>
      <c r="I78" s="39"/>
      <c r="J78" s="18"/>
      <c r="L78" s="44">
        <f>Table13456781011121314151617181920212223242526272830313233[[#This Row],[الدولار]]+(Table13456781011121314151617181920212223242526272830313233[[#This Row],[اللبناني]]/90)</f>
        <v>0</v>
      </c>
      <c r="M78" s="6"/>
    </row>
    <row r="79" spans="4:19" s="11" customFormat="1" x14ac:dyDescent="0.3">
      <c r="H79" s="5" t="s">
        <v>434</v>
      </c>
      <c r="I79" s="39"/>
      <c r="J79" s="18"/>
      <c r="L79" s="44">
        <f>Table13456781011121314151617181920212223242526272830313233[[#This Row],[الدولار]]+(Table13456781011121314151617181920212223242526272830313233[[#This Row],[اللبناني]]/90)</f>
        <v>0</v>
      </c>
      <c r="M79" s="6"/>
    </row>
    <row r="80" spans="4:19" s="11" customFormat="1" x14ac:dyDescent="0.3">
      <c r="H80" s="5" t="s">
        <v>434</v>
      </c>
      <c r="I80" s="39"/>
      <c r="J80" s="18"/>
      <c r="L80" s="44">
        <f>Table13456781011121314151617181920212223242526272830313233[[#This Row],[الدولار]]+(Table13456781011121314151617181920212223242526272830313233[[#This Row],[اللبناني]]/90)</f>
        <v>0</v>
      </c>
      <c r="M80" s="6"/>
    </row>
    <row r="81" spans="8:19" s="11" customFormat="1" x14ac:dyDescent="0.3">
      <c r="H81" s="5" t="s">
        <v>434</v>
      </c>
      <c r="I81" s="39"/>
      <c r="J81" s="18"/>
      <c r="L81" s="44">
        <f>Table13456781011121314151617181920212223242526272830313233[[#This Row],[الدولار]]+(Table13456781011121314151617181920212223242526272830313233[[#This Row],[اللبناني]]/90)</f>
        <v>0</v>
      </c>
      <c r="M81" s="6"/>
      <c r="S81" s="20"/>
    </row>
    <row r="82" spans="8:19" s="11" customFormat="1" x14ac:dyDescent="0.3">
      <c r="H82" s="5" t="s">
        <v>434</v>
      </c>
      <c r="I82" s="39"/>
      <c r="J82" s="18"/>
      <c r="L82" s="44">
        <f>Table13456781011121314151617181920212223242526272830313233[[#This Row],[الدولار]]+(Table13456781011121314151617181920212223242526272830313233[[#This Row],[اللبناني]]/90)</f>
        <v>0</v>
      </c>
      <c r="M82" s="6"/>
    </row>
    <row r="83" spans="8:19" s="11" customFormat="1" x14ac:dyDescent="0.3">
      <c r="H83" s="5" t="s">
        <v>434</v>
      </c>
      <c r="I83" s="39"/>
      <c r="J83" s="18"/>
      <c r="L83" s="44">
        <f>Table13456781011121314151617181920212223242526272830313233[[#This Row],[الدولار]]+(Table13456781011121314151617181920212223242526272830313233[[#This Row],[اللبناني]]/90)</f>
        <v>0</v>
      </c>
      <c r="M83" s="6"/>
    </row>
    <row r="84" spans="8:19" s="11" customFormat="1" x14ac:dyDescent="0.3">
      <c r="H84" s="5" t="s">
        <v>434</v>
      </c>
      <c r="I84" s="39"/>
      <c r="J84" s="18"/>
      <c r="L84" s="44">
        <f>Table13456781011121314151617181920212223242526272830313233[[#This Row],[الدولار]]+(Table13456781011121314151617181920212223242526272830313233[[#This Row],[اللبناني]]/90)</f>
        <v>0</v>
      </c>
      <c r="M84" s="6"/>
    </row>
    <row r="85" spans="8:19" s="11" customFormat="1" x14ac:dyDescent="0.3">
      <c r="H85" s="5" t="s">
        <v>434</v>
      </c>
      <c r="I85" s="39"/>
      <c r="J85" s="18"/>
      <c r="L85" s="44">
        <f>Table13456781011121314151617181920212223242526272830313233[[#This Row],[الدولار]]+(Table13456781011121314151617181920212223242526272830313233[[#This Row],[اللبناني]]/90)</f>
        <v>0</v>
      </c>
      <c r="M85" s="6"/>
    </row>
    <row r="86" spans="8:19" s="11" customFormat="1" x14ac:dyDescent="0.3">
      <c r="H86" s="5" t="s">
        <v>434</v>
      </c>
      <c r="I86" s="39"/>
      <c r="J86" s="18"/>
      <c r="L86" s="44">
        <f>Table13456781011121314151617181920212223242526272830313233[[#This Row],[الدولار]]+(Table13456781011121314151617181920212223242526272830313233[[#This Row],[اللبناني]]/90)</f>
        <v>0</v>
      </c>
      <c r="M86" s="6"/>
    </row>
    <row r="87" spans="8:19" s="11" customFormat="1" x14ac:dyDescent="0.3">
      <c r="H87" s="5" t="s">
        <v>434</v>
      </c>
      <c r="I87" s="39"/>
      <c r="J87" s="18"/>
      <c r="L87" s="44">
        <f>Table13456781011121314151617181920212223242526272830313233[[#This Row],[الدولار]]+(Table13456781011121314151617181920212223242526272830313233[[#This Row],[اللبناني]]/90)</f>
        <v>0</v>
      </c>
      <c r="M87" s="6"/>
    </row>
    <row r="88" spans="8:19" s="11" customFormat="1" x14ac:dyDescent="0.3">
      <c r="H88" s="5" t="s">
        <v>434</v>
      </c>
      <c r="I88" s="39"/>
      <c r="J88" s="18"/>
      <c r="L88" s="44">
        <f>Table13456781011121314151617181920212223242526272830313233[[#This Row],[الدولار]]+(Table13456781011121314151617181920212223242526272830313233[[#This Row],[اللبناني]]/90)</f>
        <v>0</v>
      </c>
      <c r="M88" s="6"/>
    </row>
    <row r="89" spans="8:19" s="11" customFormat="1" x14ac:dyDescent="0.3">
      <c r="H89" s="5" t="s">
        <v>434</v>
      </c>
      <c r="I89" s="39"/>
      <c r="J89" s="18"/>
      <c r="L89" s="44">
        <f>Table13456781011121314151617181920212223242526272830313233[[#This Row],[الدولار]]+(Table13456781011121314151617181920212223242526272830313233[[#This Row],[اللبناني]]/90)</f>
        <v>0</v>
      </c>
      <c r="M89" s="6"/>
    </row>
    <row r="90" spans="8:19" s="11" customFormat="1" x14ac:dyDescent="0.3">
      <c r="H90" s="5" t="s">
        <v>434</v>
      </c>
      <c r="I90" s="39"/>
      <c r="J90" s="18"/>
      <c r="L90" s="44">
        <f>Table13456781011121314151617181920212223242526272830313233[[#This Row],[الدولار]]+(Table13456781011121314151617181920212223242526272830313233[[#This Row],[اللبناني]]/90)</f>
        <v>0</v>
      </c>
      <c r="M90" s="6"/>
    </row>
    <row r="91" spans="8:19" s="11" customFormat="1" x14ac:dyDescent="0.3">
      <c r="H91" s="5" t="s">
        <v>434</v>
      </c>
      <c r="I91" s="39"/>
      <c r="J91" s="18"/>
      <c r="L91" s="44">
        <f>Table13456781011121314151617181920212223242526272830313233[[#This Row],[الدولار]]+(Table13456781011121314151617181920212223242526272830313233[[#This Row],[اللبناني]]/90)</f>
        <v>0</v>
      </c>
      <c r="M91" s="6"/>
    </row>
    <row r="92" spans="8:19" s="11" customFormat="1" x14ac:dyDescent="0.3">
      <c r="H92" s="5" t="s">
        <v>434</v>
      </c>
      <c r="I92" s="39"/>
      <c r="J92" s="18"/>
      <c r="L92" s="44">
        <f>Table13456781011121314151617181920212223242526272830313233[[#This Row],[الدولار]]+(Table13456781011121314151617181920212223242526272830313233[[#This Row],[اللبناني]]/90)</f>
        <v>0</v>
      </c>
      <c r="M92" s="6"/>
    </row>
    <row r="93" spans="8:19" s="11" customFormat="1" x14ac:dyDescent="0.3">
      <c r="H93" s="5" t="s">
        <v>434</v>
      </c>
      <c r="I93" s="39"/>
      <c r="J93" s="18"/>
      <c r="L93" s="44">
        <f>Table13456781011121314151617181920212223242526272830313233[[#This Row],[الدولار]]+(Table13456781011121314151617181920212223242526272830313233[[#This Row],[اللبناني]]/90)</f>
        <v>0</v>
      </c>
      <c r="M93" s="6"/>
    </row>
    <row r="94" spans="8:19" s="11" customFormat="1" x14ac:dyDescent="0.3">
      <c r="H94" s="5" t="s">
        <v>434</v>
      </c>
      <c r="I94" s="39"/>
      <c r="J94" s="18"/>
      <c r="L94" s="44">
        <f>Table13456781011121314151617181920212223242526272830313233[[#This Row],[الدولار]]+(Table13456781011121314151617181920212223242526272830313233[[#This Row],[اللبناني]]/90)</f>
        <v>0</v>
      </c>
      <c r="M94" s="6"/>
    </row>
    <row r="95" spans="8:19" s="11" customFormat="1" x14ac:dyDescent="0.3">
      <c r="H95" s="5" t="s">
        <v>434</v>
      </c>
      <c r="I95" s="39"/>
      <c r="J95" s="18"/>
      <c r="L95" s="44">
        <f>Table13456781011121314151617181920212223242526272830313233[[#This Row],[الدولار]]+(Table13456781011121314151617181920212223242526272830313233[[#This Row],[اللبناني]]/90)</f>
        <v>0</v>
      </c>
      <c r="M95" s="6"/>
    </row>
    <row r="96" spans="8:19" s="11" customFormat="1" x14ac:dyDescent="0.3">
      <c r="H96" s="5" t="s">
        <v>434</v>
      </c>
      <c r="I96" s="39"/>
      <c r="J96" s="18"/>
      <c r="L96" s="44">
        <f>Table13456781011121314151617181920212223242526272830313233[[#This Row],[الدولار]]+(Table13456781011121314151617181920212223242526272830313233[[#This Row],[اللبناني]]/90)</f>
        <v>0</v>
      </c>
      <c r="M96" s="6"/>
    </row>
    <row r="97" spans="8:13" s="11" customFormat="1" x14ac:dyDescent="0.3">
      <c r="H97" s="5" t="s">
        <v>434</v>
      </c>
      <c r="I97" s="39"/>
      <c r="J97" s="18"/>
      <c r="L97" s="44">
        <f>Table13456781011121314151617181920212223242526272830313233[[#This Row],[الدولار]]+(Table13456781011121314151617181920212223242526272830313233[[#This Row],[اللبناني]]/90)</f>
        <v>0</v>
      </c>
      <c r="M97" s="6"/>
    </row>
    <row r="98" spans="8:13" s="11" customFormat="1" x14ac:dyDescent="0.3">
      <c r="H98" s="5" t="s">
        <v>434</v>
      </c>
      <c r="I98" s="39"/>
      <c r="J98" s="18"/>
      <c r="L98" s="44">
        <f>Table13456781011121314151617181920212223242526272830313233[[#This Row],[الدولار]]+(Table13456781011121314151617181920212223242526272830313233[[#This Row],[اللبناني]]/90)</f>
        <v>0</v>
      </c>
      <c r="M98" s="6"/>
    </row>
    <row r="99" spans="8:13" s="11" customFormat="1" x14ac:dyDescent="0.3">
      <c r="H99" s="5" t="s">
        <v>434</v>
      </c>
      <c r="I99" s="39"/>
      <c r="J99" s="18"/>
      <c r="L99" s="44">
        <f>Table13456781011121314151617181920212223242526272830313233[[#This Row],[الدولار]]+(Table13456781011121314151617181920212223242526272830313233[[#This Row],[اللبناني]]/90)</f>
        <v>0</v>
      </c>
      <c r="M99" s="6"/>
    </row>
    <row r="100" spans="8:13" s="11" customFormat="1" x14ac:dyDescent="0.3">
      <c r="H100" s="5" t="s">
        <v>434</v>
      </c>
      <c r="I100" s="39"/>
      <c r="J100" s="18"/>
      <c r="L100" s="44">
        <f>Table13456781011121314151617181920212223242526272830313233[[#This Row],[الدولار]]+(Table13456781011121314151617181920212223242526272830313233[[#This Row],[اللبناني]]/90)</f>
        <v>0</v>
      </c>
      <c r="M100" s="6"/>
    </row>
    <row r="101" spans="8:13" s="11" customFormat="1" x14ac:dyDescent="0.3">
      <c r="H101" s="5" t="s">
        <v>434</v>
      </c>
      <c r="I101" s="39"/>
      <c r="J101" s="18"/>
      <c r="L101" s="44">
        <f>Table13456781011121314151617181920212223242526272830313233[[#This Row],[الدولار]]+(Table13456781011121314151617181920212223242526272830313233[[#This Row],[اللبناني]]/90)</f>
        <v>0</v>
      </c>
      <c r="M101" s="6"/>
    </row>
    <row r="102" spans="8:13" s="11" customFormat="1" x14ac:dyDescent="0.3">
      <c r="H102" s="5" t="s">
        <v>434</v>
      </c>
      <c r="I102" s="39"/>
      <c r="J102" s="18"/>
      <c r="L102" s="44">
        <f>Table13456781011121314151617181920212223242526272830313233[[#This Row],[الدولار]]+(Table13456781011121314151617181920212223242526272830313233[[#This Row],[اللبناني]]/90)</f>
        <v>0</v>
      </c>
      <c r="M102" s="6"/>
    </row>
    <row r="103" spans="8:13" s="11" customFormat="1" x14ac:dyDescent="0.3">
      <c r="H103" s="5" t="s">
        <v>434</v>
      </c>
      <c r="I103" s="39"/>
      <c r="J103" s="18"/>
      <c r="L103" s="44">
        <f>Table13456781011121314151617181920212223242526272830313233[[#This Row],[الدولار]]+(Table13456781011121314151617181920212223242526272830313233[[#This Row],[اللبناني]]/90)</f>
        <v>0</v>
      </c>
      <c r="M103" s="6"/>
    </row>
    <row r="104" spans="8:13" s="11" customFormat="1" x14ac:dyDescent="0.3">
      <c r="H104" s="5" t="s">
        <v>434</v>
      </c>
      <c r="I104" s="39"/>
      <c r="J104" s="18"/>
      <c r="L104" s="44">
        <f>Table13456781011121314151617181920212223242526272830313233[[#This Row],[الدولار]]+(Table13456781011121314151617181920212223242526272830313233[[#This Row],[اللبناني]]/90)</f>
        <v>0</v>
      </c>
      <c r="M104" s="6"/>
    </row>
    <row r="105" spans="8:13" s="11" customFormat="1" x14ac:dyDescent="0.3">
      <c r="H105" s="5" t="s">
        <v>434</v>
      </c>
      <c r="I105" s="39"/>
      <c r="J105" s="18"/>
      <c r="L105" s="44">
        <f>Table13456781011121314151617181920212223242526272830313233[[#This Row],[الدولار]]+(Table13456781011121314151617181920212223242526272830313233[[#This Row],[اللبناني]]/90)</f>
        <v>0</v>
      </c>
      <c r="M105" s="6"/>
    </row>
    <row r="106" spans="8:13" s="11" customFormat="1" x14ac:dyDescent="0.3">
      <c r="H106" s="5" t="s">
        <v>434</v>
      </c>
      <c r="I106" s="39"/>
      <c r="J106" s="18"/>
      <c r="L106" s="44">
        <f>Table13456781011121314151617181920212223242526272830313233[[#This Row],[الدولار]]+(Table13456781011121314151617181920212223242526272830313233[[#This Row],[اللبناني]]/90)</f>
        <v>0</v>
      </c>
      <c r="M106" s="6"/>
    </row>
    <row r="107" spans="8:13" s="11" customFormat="1" x14ac:dyDescent="0.3">
      <c r="H107" s="5" t="s">
        <v>434</v>
      </c>
      <c r="I107" s="39"/>
      <c r="J107" s="18"/>
      <c r="L107" s="44">
        <f>Table13456781011121314151617181920212223242526272830313233[[#This Row],[الدولار]]+(Table13456781011121314151617181920212223242526272830313233[[#This Row],[اللبناني]]/90)</f>
        <v>0</v>
      </c>
      <c r="M107" s="6"/>
    </row>
    <row r="108" spans="8:13" s="11" customFormat="1" x14ac:dyDescent="0.3">
      <c r="H108" s="5" t="s">
        <v>434</v>
      </c>
      <c r="I108" s="39"/>
      <c r="J108" s="18"/>
      <c r="L108" s="44">
        <f>Table13456781011121314151617181920212223242526272830313233[[#This Row],[الدولار]]+(Table13456781011121314151617181920212223242526272830313233[[#This Row],[اللبناني]]/90)</f>
        <v>0</v>
      </c>
      <c r="M108" s="6"/>
    </row>
    <row r="109" spans="8:13" s="11" customFormat="1" x14ac:dyDescent="0.3">
      <c r="H109" s="5" t="s">
        <v>434</v>
      </c>
      <c r="I109" s="39"/>
      <c r="J109" s="18"/>
      <c r="L109" s="44">
        <f>Table13456781011121314151617181920212223242526272830313233[[#This Row],[الدولار]]+(Table13456781011121314151617181920212223242526272830313233[[#This Row],[اللبناني]]/90)</f>
        <v>0</v>
      </c>
      <c r="M109" s="6"/>
    </row>
    <row r="110" spans="8:13" s="11" customFormat="1" x14ac:dyDescent="0.3">
      <c r="H110" s="5" t="s">
        <v>434</v>
      </c>
      <c r="I110" s="39"/>
      <c r="J110" s="18"/>
      <c r="L110" s="44">
        <f>Table13456781011121314151617181920212223242526272830313233[[#This Row],[الدولار]]+(Table13456781011121314151617181920212223242526272830313233[[#This Row],[اللبناني]]/90)</f>
        <v>0</v>
      </c>
      <c r="M110" s="6"/>
    </row>
    <row r="111" spans="8:13" s="11" customFormat="1" x14ac:dyDescent="0.3">
      <c r="H111" s="5" t="s">
        <v>434</v>
      </c>
      <c r="I111" s="39"/>
      <c r="J111" s="18"/>
      <c r="L111" s="44">
        <f>Table13456781011121314151617181920212223242526272830313233[[#This Row],[الدولار]]+(Table13456781011121314151617181920212223242526272830313233[[#This Row],[اللبناني]]/90)</f>
        <v>0</v>
      </c>
      <c r="M111" s="6"/>
    </row>
    <row r="112" spans="8:13" s="11" customFormat="1" x14ac:dyDescent="0.3">
      <c r="H112" s="5" t="s">
        <v>434</v>
      </c>
      <c r="I112" s="39"/>
      <c r="J112" s="18"/>
      <c r="L112" s="44">
        <f>Table13456781011121314151617181920212223242526272830313233[[#This Row],[الدولار]]+(Table13456781011121314151617181920212223242526272830313233[[#This Row],[اللبناني]]/90)</f>
        <v>0</v>
      </c>
      <c r="M112" s="6"/>
    </row>
    <row r="113" spans="8:13" s="11" customFormat="1" x14ac:dyDescent="0.3">
      <c r="H113" s="5" t="s">
        <v>434</v>
      </c>
      <c r="I113" s="39"/>
      <c r="J113" s="18"/>
      <c r="L113" s="44">
        <f>Table13456781011121314151617181920212223242526272830313233[[#This Row],[الدولار]]+(Table13456781011121314151617181920212223242526272830313233[[#This Row],[اللبناني]]/90)</f>
        <v>0</v>
      </c>
      <c r="M113" s="6"/>
    </row>
    <row r="114" spans="8:13" s="11" customFormat="1" x14ac:dyDescent="0.3">
      <c r="H114" s="5" t="s">
        <v>434</v>
      </c>
      <c r="I114" s="39"/>
      <c r="J114" s="18"/>
      <c r="L114" s="44">
        <f>Table13456781011121314151617181920212223242526272830313233[[#This Row],[الدولار]]+(Table13456781011121314151617181920212223242526272830313233[[#This Row],[اللبناني]]/90)</f>
        <v>0</v>
      </c>
      <c r="M114" s="6"/>
    </row>
    <row r="115" spans="8:13" s="11" customFormat="1" x14ac:dyDescent="0.3">
      <c r="H115" s="5" t="s">
        <v>434</v>
      </c>
      <c r="I115" s="39"/>
      <c r="J115" s="18"/>
      <c r="L115" s="44">
        <f>Table13456781011121314151617181920212223242526272830313233[[#This Row],[الدولار]]+(Table13456781011121314151617181920212223242526272830313233[[#This Row],[اللبناني]]/90)</f>
        <v>0</v>
      </c>
      <c r="M115" s="6"/>
    </row>
    <row r="116" spans="8:13" s="11" customFormat="1" x14ac:dyDescent="0.3">
      <c r="H116" s="5" t="s">
        <v>434</v>
      </c>
      <c r="I116" s="39"/>
      <c r="J116" s="18"/>
      <c r="L116" s="44">
        <f>Table13456781011121314151617181920212223242526272830313233[[#This Row],[الدولار]]+(Table13456781011121314151617181920212223242526272830313233[[#This Row],[اللبناني]]/90)</f>
        <v>0</v>
      </c>
      <c r="M116" s="6"/>
    </row>
    <row r="117" spans="8:13" s="11" customFormat="1" x14ac:dyDescent="0.3">
      <c r="H117" s="5" t="s">
        <v>434</v>
      </c>
      <c r="I117" s="39"/>
      <c r="J117" s="18"/>
      <c r="L117" s="44">
        <f>Table13456781011121314151617181920212223242526272830313233[[#This Row],[الدولار]]+(Table13456781011121314151617181920212223242526272830313233[[#This Row],[اللبناني]]/90)</f>
        <v>0</v>
      </c>
      <c r="M117" s="6"/>
    </row>
    <row r="118" spans="8:13" s="11" customFormat="1" x14ac:dyDescent="0.3">
      <c r="H118" s="5" t="s">
        <v>434</v>
      </c>
      <c r="I118" s="39"/>
      <c r="J118" s="18"/>
      <c r="L118" s="44">
        <f>Table13456781011121314151617181920212223242526272830313233[[#This Row],[الدولار]]+(Table13456781011121314151617181920212223242526272830313233[[#This Row],[اللبناني]]/90)</f>
        <v>0</v>
      </c>
      <c r="M118" s="6"/>
    </row>
    <row r="119" spans="8:13" s="11" customFormat="1" x14ac:dyDescent="0.3">
      <c r="H119" s="5" t="s">
        <v>434</v>
      </c>
      <c r="I119" s="39"/>
      <c r="J119" s="18"/>
      <c r="L119" s="44">
        <f>Table13456781011121314151617181920212223242526272830313233[[#This Row],[الدولار]]+(Table13456781011121314151617181920212223242526272830313233[[#This Row],[اللبناني]]/90)</f>
        <v>0</v>
      </c>
      <c r="M119" s="6"/>
    </row>
    <row r="120" spans="8:13" s="11" customFormat="1" x14ac:dyDescent="0.3">
      <c r="H120" s="5" t="s">
        <v>434</v>
      </c>
      <c r="I120" s="39"/>
      <c r="J120" s="18"/>
      <c r="L120" s="44">
        <f>Table13456781011121314151617181920212223242526272830313233[[#This Row],[الدولار]]+(Table13456781011121314151617181920212223242526272830313233[[#This Row],[اللبناني]]/90)</f>
        <v>0</v>
      </c>
      <c r="M120" s="6"/>
    </row>
    <row r="121" spans="8:13" s="11" customFormat="1" x14ac:dyDescent="0.3">
      <c r="H121" s="5" t="s">
        <v>434</v>
      </c>
      <c r="I121" s="39"/>
      <c r="J121" s="18"/>
      <c r="L121" s="44">
        <f>Table13456781011121314151617181920212223242526272830313233[[#This Row],[الدولار]]+(Table13456781011121314151617181920212223242526272830313233[[#This Row],[اللبناني]]/90)</f>
        <v>0</v>
      </c>
      <c r="M121" s="6"/>
    </row>
    <row r="122" spans="8:13" s="11" customFormat="1" x14ac:dyDescent="0.3">
      <c r="H122" s="5" t="s">
        <v>434</v>
      </c>
      <c r="I122" s="39"/>
      <c r="J122" s="18"/>
      <c r="L122" s="44">
        <f>Table13456781011121314151617181920212223242526272830313233[[#This Row],[الدولار]]+(Table13456781011121314151617181920212223242526272830313233[[#This Row],[اللبناني]]/90)</f>
        <v>0</v>
      </c>
      <c r="M122" s="6"/>
    </row>
    <row r="123" spans="8:13" s="11" customFormat="1" x14ac:dyDescent="0.3">
      <c r="H123" s="5" t="s">
        <v>434</v>
      </c>
      <c r="I123" s="39"/>
      <c r="J123" s="18"/>
      <c r="L123" s="44">
        <f>Table13456781011121314151617181920212223242526272830313233[[#This Row],[الدولار]]+(Table13456781011121314151617181920212223242526272830313233[[#This Row],[اللبناني]]/90)</f>
        <v>0</v>
      </c>
      <c r="M123" s="6"/>
    </row>
    <row r="124" spans="8:13" s="11" customFormat="1" x14ac:dyDescent="0.3">
      <c r="H124" s="5" t="s">
        <v>434</v>
      </c>
      <c r="I124" s="39"/>
      <c r="J124" s="18"/>
      <c r="L124" s="44">
        <f>Table13456781011121314151617181920212223242526272830313233[[#This Row],[الدولار]]+(Table13456781011121314151617181920212223242526272830313233[[#This Row],[اللبناني]]/90)</f>
        <v>0</v>
      </c>
      <c r="M124" s="6"/>
    </row>
    <row r="125" spans="8:13" s="11" customFormat="1" x14ac:dyDescent="0.3">
      <c r="H125" s="5" t="s">
        <v>434</v>
      </c>
      <c r="I125" s="39"/>
      <c r="J125" s="18"/>
      <c r="L125" s="44">
        <f>Table13456781011121314151617181920212223242526272830313233[[#This Row],[الدولار]]+(Table13456781011121314151617181920212223242526272830313233[[#This Row],[اللبناني]]/90)</f>
        <v>0</v>
      </c>
      <c r="M125" s="6"/>
    </row>
    <row r="126" spans="8:13" s="11" customFormat="1" x14ac:dyDescent="0.3">
      <c r="H126" s="5" t="s">
        <v>434</v>
      </c>
      <c r="I126" s="39"/>
      <c r="J126" s="18"/>
      <c r="L126" s="44">
        <f>Table13456781011121314151617181920212223242526272830313233[[#This Row],[الدولار]]+(Table13456781011121314151617181920212223242526272830313233[[#This Row],[اللبناني]]/90)</f>
        <v>0</v>
      </c>
      <c r="M126" s="6"/>
    </row>
    <row r="127" spans="8:13" s="11" customFormat="1" x14ac:dyDescent="0.3">
      <c r="H127" s="5" t="s">
        <v>434</v>
      </c>
      <c r="I127" s="39"/>
      <c r="J127" s="18"/>
      <c r="L127" s="44">
        <f>Table13456781011121314151617181920212223242526272830313233[[#This Row],[الدولار]]+(Table13456781011121314151617181920212223242526272830313233[[#This Row],[اللبناني]]/90)</f>
        <v>0</v>
      </c>
      <c r="M127" s="6"/>
    </row>
    <row r="128" spans="8:13" s="11" customFormat="1" x14ac:dyDescent="0.3">
      <c r="H128" s="5" t="s">
        <v>434</v>
      </c>
      <c r="I128" s="39"/>
      <c r="J128" s="18"/>
      <c r="L128" s="44">
        <f>Table13456781011121314151617181920212223242526272830313233[[#This Row],[الدولار]]+(Table13456781011121314151617181920212223242526272830313233[[#This Row],[اللبناني]]/90)</f>
        <v>0</v>
      </c>
      <c r="M128" s="6"/>
    </row>
    <row r="129" spans="8:13" s="11" customFormat="1" x14ac:dyDescent="0.3">
      <c r="H129" s="5" t="s">
        <v>434</v>
      </c>
      <c r="I129" s="39"/>
      <c r="J129" s="18"/>
      <c r="L129" s="44">
        <f>Table13456781011121314151617181920212223242526272830313233[[#This Row],[الدولار]]+(Table13456781011121314151617181920212223242526272830313233[[#This Row],[اللبناني]]/90)</f>
        <v>0</v>
      </c>
      <c r="M129" s="6"/>
    </row>
    <row r="130" spans="8:13" s="11" customFormat="1" x14ac:dyDescent="0.3">
      <c r="H130" s="5" t="s">
        <v>434</v>
      </c>
      <c r="I130" s="39"/>
      <c r="J130" s="18"/>
      <c r="L130" s="44">
        <f>Table13456781011121314151617181920212223242526272830313233[[#This Row],[الدولار]]+(Table13456781011121314151617181920212223242526272830313233[[#This Row],[اللبناني]]/90)</f>
        <v>0</v>
      </c>
      <c r="M130" s="6"/>
    </row>
    <row r="131" spans="8:13" s="11" customFormat="1" x14ac:dyDescent="0.3">
      <c r="H131" s="5" t="s">
        <v>434</v>
      </c>
      <c r="I131" s="39"/>
      <c r="J131" s="18"/>
      <c r="L131" s="44">
        <f>Table13456781011121314151617181920212223242526272830313233[[#This Row],[الدولار]]+(Table13456781011121314151617181920212223242526272830313233[[#This Row],[اللبناني]]/90)</f>
        <v>0</v>
      </c>
      <c r="M131" s="6"/>
    </row>
    <row r="132" spans="8:13" s="11" customFormat="1" x14ac:dyDescent="0.3">
      <c r="H132" s="5" t="s">
        <v>434</v>
      </c>
      <c r="I132" s="39"/>
      <c r="J132" s="18"/>
      <c r="L132" s="44">
        <f>Table13456781011121314151617181920212223242526272830313233[[#This Row],[الدولار]]+(Table13456781011121314151617181920212223242526272830313233[[#This Row],[اللبناني]]/90)</f>
        <v>0</v>
      </c>
      <c r="M132" s="6"/>
    </row>
    <row r="133" spans="8:13" s="11" customFormat="1" x14ac:dyDescent="0.3">
      <c r="H133" s="5" t="s">
        <v>434</v>
      </c>
      <c r="I133" s="39"/>
      <c r="J133" s="18"/>
      <c r="L133" s="44">
        <f>Table13456781011121314151617181920212223242526272830313233[[#This Row],[الدولار]]+(Table13456781011121314151617181920212223242526272830313233[[#This Row],[اللبناني]]/90)</f>
        <v>0</v>
      </c>
      <c r="M133" s="6"/>
    </row>
    <row r="134" spans="8:13" s="11" customFormat="1" x14ac:dyDescent="0.3">
      <c r="H134" s="5" t="s">
        <v>434</v>
      </c>
      <c r="I134" s="39"/>
      <c r="J134" s="18"/>
      <c r="L134" s="44">
        <f>Table13456781011121314151617181920212223242526272830313233[[#This Row],[الدولار]]+(Table13456781011121314151617181920212223242526272830313233[[#This Row],[اللبناني]]/90)</f>
        <v>0</v>
      </c>
      <c r="M134" s="6"/>
    </row>
    <row r="135" spans="8:13" s="11" customFormat="1" x14ac:dyDescent="0.3">
      <c r="H135" s="5" t="s">
        <v>434</v>
      </c>
      <c r="I135" s="39"/>
      <c r="J135" s="18"/>
      <c r="L135" s="44">
        <f>Table13456781011121314151617181920212223242526272830313233[[#This Row],[الدولار]]+(Table13456781011121314151617181920212223242526272830313233[[#This Row],[اللبناني]]/90)</f>
        <v>0</v>
      </c>
      <c r="M135" s="6"/>
    </row>
    <row r="136" spans="8:13" s="11" customFormat="1" x14ac:dyDescent="0.3">
      <c r="H136" s="5" t="s">
        <v>434</v>
      </c>
      <c r="I136" s="39"/>
      <c r="J136" s="18"/>
      <c r="L136" s="44">
        <f>Table13456781011121314151617181920212223242526272830313233[[#This Row],[الدولار]]+(Table13456781011121314151617181920212223242526272830313233[[#This Row],[اللبناني]]/90)</f>
        <v>0</v>
      </c>
      <c r="M136" s="6"/>
    </row>
    <row r="137" spans="8:13" s="11" customFormat="1" x14ac:dyDescent="0.3">
      <c r="H137" s="5" t="s">
        <v>434</v>
      </c>
      <c r="I137" s="39"/>
      <c r="J137" s="18"/>
      <c r="L137" s="44">
        <f>Table13456781011121314151617181920212223242526272830313233[[#This Row],[الدولار]]+(Table13456781011121314151617181920212223242526272830313233[[#This Row],[اللبناني]]/90)</f>
        <v>0</v>
      </c>
      <c r="M137" s="6"/>
    </row>
    <row r="138" spans="8:13" s="11" customFormat="1" x14ac:dyDescent="0.3">
      <c r="H138" s="5" t="s">
        <v>434</v>
      </c>
      <c r="I138" s="39"/>
      <c r="J138" s="18"/>
      <c r="L138" s="44">
        <f>Table13456781011121314151617181920212223242526272830313233[[#This Row],[الدولار]]+(Table13456781011121314151617181920212223242526272830313233[[#This Row],[اللبناني]]/90)</f>
        <v>0</v>
      </c>
      <c r="M138" s="6"/>
    </row>
    <row r="139" spans="8:13" s="11" customFormat="1" x14ac:dyDescent="0.3">
      <c r="H139" s="5" t="s">
        <v>434</v>
      </c>
      <c r="I139" s="39"/>
      <c r="J139" s="18"/>
      <c r="L139" s="44">
        <f>Table13456781011121314151617181920212223242526272830313233[[#This Row],[الدولار]]+(Table13456781011121314151617181920212223242526272830313233[[#This Row],[اللبناني]]/90)</f>
        <v>0</v>
      </c>
      <c r="M139" s="6"/>
    </row>
    <row r="140" spans="8:13" s="11" customFormat="1" x14ac:dyDescent="0.3">
      <c r="H140" s="5" t="s">
        <v>434</v>
      </c>
      <c r="I140" s="39"/>
      <c r="J140" s="18"/>
      <c r="L140" s="44">
        <f>Table13456781011121314151617181920212223242526272830313233[[#This Row],[الدولار]]+(Table13456781011121314151617181920212223242526272830313233[[#This Row],[اللبناني]]/90)</f>
        <v>0</v>
      </c>
      <c r="M140" s="6"/>
    </row>
    <row r="141" spans="8:13" s="11" customFormat="1" x14ac:dyDescent="0.3">
      <c r="H141" s="5" t="s">
        <v>434</v>
      </c>
      <c r="I141" s="39"/>
      <c r="J141" s="18"/>
      <c r="L141" s="44">
        <f>Table13456781011121314151617181920212223242526272830313233[[#This Row],[الدولار]]+(Table13456781011121314151617181920212223242526272830313233[[#This Row],[اللبناني]]/90)</f>
        <v>0</v>
      </c>
      <c r="M141" s="6"/>
    </row>
    <row r="142" spans="8:13" s="11" customFormat="1" x14ac:dyDescent="0.3">
      <c r="H142" s="5" t="s">
        <v>434</v>
      </c>
      <c r="I142" s="39"/>
      <c r="J142" s="18"/>
      <c r="L142" s="44">
        <f>Table13456781011121314151617181920212223242526272830313233[[#This Row],[الدولار]]+(Table13456781011121314151617181920212223242526272830313233[[#This Row],[اللبناني]]/90)</f>
        <v>0</v>
      </c>
      <c r="M142" s="6"/>
    </row>
    <row r="143" spans="8:13" s="11" customFormat="1" x14ac:dyDescent="0.3">
      <c r="H143" s="5" t="s">
        <v>434</v>
      </c>
      <c r="I143" s="39"/>
      <c r="J143" s="18"/>
      <c r="L143" s="44">
        <f>Table13456781011121314151617181920212223242526272830313233[[#This Row],[الدولار]]+(Table13456781011121314151617181920212223242526272830313233[[#This Row],[اللبناني]]/90)</f>
        <v>0</v>
      </c>
      <c r="M143" s="6"/>
    </row>
    <row r="144" spans="8:13" s="11" customFormat="1" x14ac:dyDescent="0.3">
      <c r="H144" s="5" t="s">
        <v>434</v>
      </c>
      <c r="I144" s="39"/>
      <c r="J144" s="18"/>
      <c r="L144" s="44">
        <f>Table13456781011121314151617181920212223242526272830313233[[#This Row],[الدولار]]+(Table13456781011121314151617181920212223242526272830313233[[#This Row],[اللبناني]]/90)</f>
        <v>0</v>
      </c>
      <c r="M144" s="6"/>
    </row>
    <row r="145" spans="8:13" s="11" customFormat="1" x14ac:dyDescent="0.3">
      <c r="H145" s="5" t="s">
        <v>434</v>
      </c>
      <c r="I145" s="39"/>
      <c r="J145" s="18"/>
      <c r="L145" s="44">
        <f>Table13456781011121314151617181920212223242526272830313233[[#This Row],[الدولار]]+(Table13456781011121314151617181920212223242526272830313233[[#This Row],[اللبناني]]/90)</f>
        <v>0</v>
      </c>
      <c r="M145" s="6"/>
    </row>
    <row r="146" spans="8:13" s="11" customFormat="1" x14ac:dyDescent="0.3">
      <c r="H146" s="5" t="s">
        <v>434</v>
      </c>
      <c r="I146" s="39"/>
      <c r="J146" s="18"/>
      <c r="L146" s="44">
        <f>Table13456781011121314151617181920212223242526272830313233[[#This Row],[الدولار]]+(Table13456781011121314151617181920212223242526272830313233[[#This Row],[اللبناني]]/90)</f>
        <v>0</v>
      </c>
      <c r="M146" s="6"/>
    </row>
    <row r="147" spans="8:13" s="11" customFormat="1" x14ac:dyDescent="0.3">
      <c r="H147" s="5" t="s">
        <v>434</v>
      </c>
      <c r="I147" s="39"/>
      <c r="J147" s="18"/>
      <c r="L147" s="44">
        <f>Table13456781011121314151617181920212223242526272830313233[[#This Row],[الدولار]]+(Table13456781011121314151617181920212223242526272830313233[[#This Row],[اللبناني]]/90)</f>
        <v>0</v>
      </c>
      <c r="M147" s="6"/>
    </row>
    <row r="148" spans="8:13" s="11" customFormat="1" x14ac:dyDescent="0.3">
      <c r="H148" s="5" t="s">
        <v>434</v>
      </c>
      <c r="I148" s="39"/>
      <c r="J148" s="18"/>
      <c r="L148" s="44">
        <f>Table13456781011121314151617181920212223242526272830313233[[#This Row],[الدولار]]+(Table13456781011121314151617181920212223242526272830313233[[#This Row],[اللبناني]]/90)</f>
        <v>0</v>
      </c>
      <c r="M148" s="6"/>
    </row>
    <row r="149" spans="8:13" s="11" customFormat="1" x14ac:dyDescent="0.3">
      <c r="H149" s="5" t="s">
        <v>434</v>
      </c>
      <c r="I149" s="39"/>
      <c r="J149" s="18"/>
      <c r="L149" s="44">
        <f>Table13456781011121314151617181920212223242526272830313233[[#This Row],[الدولار]]+(Table13456781011121314151617181920212223242526272830313233[[#This Row],[اللبناني]]/90)</f>
        <v>0</v>
      </c>
      <c r="M149" s="6"/>
    </row>
    <row r="150" spans="8:13" s="11" customFormat="1" x14ac:dyDescent="0.3">
      <c r="H150" s="5" t="s">
        <v>434</v>
      </c>
      <c r="I150" s="39"/>
      <c r="J150" s="18"/>
      <c r="L150" s="44">
        <f>Table13456781011121314151617181920212223242526272830313233[[#This Row],[الدولار]]+(Table13456781011121314151617181920212223242526272830313233[[#This Row],[اللبناني]]/90)</f>
        <v>0</v>
      </c>
      <c r="M150" s="6"/>
    </row>
    <row r="151" spans="8:13" s="11" customFormat="1" x14ac:dyDescent="0.3">
      <c r="H151" s="5" t="s">
        <v>434</v>
      </c>
      <c r="I151" s="39"/>
      <c r="J151" s="18"/>
      <c r="L151" s="44">
        <f>Table13456781011121314151617181920212223242526272830313233[[#This Row],[الدولار]]+(Table13456781011121314151617181920212223242526272830313233[[#This Row],[اللبناني]]/90)</f>
        <v>0</v>
      </c>
      <c r="M151" s="6"/>
    </row>
    <row r="152" spans="8:13" s="11" customFormat="1" x14ac:dyDescent="0.3">
      <c r="H152" s="5" t="s">
        <v>434</v>
      </c>
      <c r="I152" s="39"/>
      <c r="J152" s="18"/>
      <c r="L152" s="44">
        <f>Table13456781011121314151617181920212223242526272830313233[[#This Row],[الدولار]]+(Table13456781011121314151617181920212223242526272830313233[[#This Row],[اللبناني]]/90)</f>
        <v>0</v>
      </c>
      <c r="M152" s="6"/>
    </row>
    <row r="153" spans="8:13" s="11" customFormat="1" x14ac:dyDescent="0.3">
      <c r="H153" s="5" t="s">
        <v>434</v>
      </c>
      <c r="I153" s="39"/>
      <c r="J153" s="18"/>
      <c r="L153" s="44">
        <f>Table13456781011121314151617181920212223242526272830313233[[#This Row],[الدولار]]+(Table13456781011121314151617181920212223242526272830313233[[#This Row],[اللبناني]]/90)</f>
        <v>0</v>
      </c>
      <c r="M153" s="6"/>
    </row>
    <row r="154" spans="8:13" s="11" customFormat="1" x14ac:dyDescent="0.3">
      <c r="H154" s="5" t="s">
        <v>434</v>
      </c>
      <c r="I154" s="39"/>
      <c r="J154" s="18"/>
      <c r="L154" s="44">
        <f>Table13456781011121314151617181920212223242526272830313233[[#This Row],[الدولار]]+(Table13456781011121314151617181920212223242526272830313233[[#This Row],[اللبناني]]/90)</f>
        <v>0</v>
      </c>
      <c r="M154" s="6"/>
    </row>
    <row r="155" spans="8:13" s="11" customFormat="1" x14ac:dyDescent="0.3">
      <c r="H155" s="5" t="s">
        <v>434</v>
      </c>
      <c r="I155" s="39"/>
      <c r="J155" s="18"/>
      <c r="L155" s="44">
        <f>Table13456781011121314151617181920212223242526272830313233[[#This Row],[الدولار]]+(Table13456781011121314151617181920212223242526272830313233[[#This Row],[اللبناني]]/90)</f>
        <v>0</v>
      </c>
      <c r="M155" s="6"/>
    </row>
    <row r="156" spans="8:13" s="11" customFormat="1" x14ac:dyDescent="0.3">
      <c r="H156" s="5" t="s">
        <v>434</v>
      </c>
      <c r="I156" s="39"/>
      <c r="J156" s="18"/>
      <c r="L156" s="44">
        <f>Table13456781011121314151617181920212223242526272830313233[[#This Row],[الدولار]]+(Table13456781011121314151617181920212223242526272830313233[[#This Row],[اللبناني]]/90)</f>
        <v>0</v>
      </c>
      <c r="M156" s="6"/>
    </row>
    <row r="157" spans="8:13" s="11" customFormat="1" x14ac:dyDescent="0.3">
      <c r="H157" s="5" t="s">
        <v>434</v>
      </c>
      <c r="I157" s="39"/>
      <c r="J157" s="18"/>
      <c r="L157" s="44">
        <f>Table13456781011121314151617181920212223242526272830313233[[#This Row],[الدولار]]+(Table13456781011121314151617181920212223242526272830313233[[#This Row],[اللبناني]]/90)</f>
        <v>0</v>
      </c>
      <c r="M157" s="6"/>
    </row>
    <row r="158" spans="8:13" s="11" customFormat="1" x14ac:dyDescent="0.3">
      <c r="H158" s="5" t="s">
        <v>434</v>
      </c>
      <c r="I158" s="39"/>
      <c r="J158" s="18"/>
      <c r="L158" s="44">
        <f>Table13456781011121314151617181920212223242526272830313233[[#This Row],[الدولار]]+(Table13456781011121314151617181920212223242526272830313233[[#This Row],[اللبناني]]/90)</f>
        <v>0</v>
      </c>
      <c r="M158" s="6"/>
    </row>
    <row r="159" spans="8:13" s="11" customFormat="1" x14ac:dyDescent="0.3">
      <c r="H159" s="5" t="s">
        <v>434</v>
      </c>
      <c r="I159" s="39"/>
      <c r="J159" s="18"/>
      <c r="L159" s="44">
        <f>Table13456781011121314151617181920212223242526272830313233[[#This Row],[الدولار]]+(Table13456781011121314151617181920212223242526272830313233[[#This Row],[اللبناني]]/90)</f>
        <v>0</v>
      </c>
      <c r="M159" s="6"/>
    </row>
    <row r="160" spans="8:13" s="11" customFormat="1" x14ac:dyDescent="0.3">
      <c r="H160" s="5" t="s">
        <v>434</v>
      </c>
      <c r="I160" s="39"/>
      <c r="J160" s="18"/>
      <c r="L160" s="44">
        <f>Table13456781011121314151617181920212223242526272830313233[[#This Row],[الدولار]]+(Table13456781011121314151617181920212223242526272830313233[[#This Row],[اللبناني]]/90)</f>
        <v>0</v>
      </c>
      <c r="M160" s="6"/>
    </row>
    <row r="161" spans="8:13" s="11" customFormat="1" x14ac:dyDescent="0.3">
      <c r="H161" s="5" t="s">
        <v>434</v>
      </c>
      <c r="I161" s="39"/>
      <c r="J161" s="18"/>
      <c r="L161" s="44">
        <f>Table13456781011121314151617181920212223242526272830313233[[#This Row],[الدولار]]+(Table13456781011121314151617181920212223242526272830313233[[#This Row],[اللبناني]]/90)</f>
        <v>0</v>
      </c>
      <c r="M161" s="6"/>
    </row>
    <row r="162" spans="8:13" s="11" customFormat="1" x14ac:dyDescent="0.3">
      <c r="H162" s="5" t="s">
        <v>434</v>
      </c>
      <c r="I162" s="39"/>
      <c r="J162" s="18"/>
      <c r="L162" s="44">
        <f>Table13456781011121314151617181920212223242526272830313233[[#This Row],[الدولار]]+(Table13456781011121314151617181920212223242526272830313233[[#This Row],[اللبناني]]/90)</f>
        <v>0</v>
      </c>
      <c r="M162" s="6"/>
    </row>
    <row r="163" spans="8:13" s="11" customFormat="1" x14ac:dyDescent="0.3">
      <c r="H163" s="5" t="s">
        <v>434</v>
      </c>
      <c r="I163" s="39"/>
      <c r="J163" s="18"/>
      <c r="L163" s="44">
        <f>Table13456781011121314151617181920212223242526272830313233[[#This Row],[الدولار]]+(Table13456781011121314151617181920212223242526272830313233[[#This Row],[اللبناني]]/90)</f>
        <v>0</v>
      </c>
      <c r="M163" s="6"/>
    </row>
    <row r="164" spans="8:13" s="11" customFormat="1" x14ac:dyDescent="0.3">
      <c r="H164" s="5" t="s">
        <v>434</v>
      </c>
      <c r="I164" s="39"/>
      <c r="J164" s="18"/>
      <c r="L164" s="44">
        <f>Table13456781011121314151617181920212223242526272830313233[[#This Row],[الدولار]]+(Table13456781011121314151617181920212223242526272830313233[[#This Row],[اللبناني]]/90)</f>
        <v>0</v>
      </c>
      <c r="M164" s="6"/>
    </row>
    <row r="165" spans="8:13" s="11" customFormat="1" x14ac:dyDescent="0.3">
      <c r="H165" s="5" t="s">
        <v>434</v>
      </c>
      <c r="I165" s="39"/>
      <c r="J165" s="18"/>
      <c r="L165" s="44">
        <f>Table13456781011121314151617181920212223242526272830313233[[#This Row],[الدولار]]+(Table13456781011121314151617181920212223242526272830313233[[#This Row],[اللبناني]]/90)</f>
        <v>0</v>
      </c>
      <c r="M165" s="6"/>
    </row>
    <row r="166" spans="8:13" s="11" customFormat="1" x14ac:dyDescent="0.3">
      <c r="H166" s="5" t="s">
        <v>434</v>
      </c>
      <c r="I166" s="39"/>
      <c r="J166" s="18"/>
      <c r="L166" s="44">
        <f>Table13456781011121314151617181920212223242526272830313233[[#This Row],[الدولار]]+(Table13456781011121314151617181920212223242526272830313233[[#This Row],[اللبناني]]/90)</f>
        <v>0</v>
      </c>
      <c r="M166" s="6"/>
    </row>
    <row r="167" spans="8:13" s="11" customFormat="1" x14ac:dyDescent="0.3">
      <c r="H167" s="5" t="s">
        <v>434</v>
      </c>
      <c r="I167" s="39"/>
      <c r="J167" s="18"/>
      <c r="L167" s="44">
        <f>Table13456781011121314151617181920212223242526272830313233[[#This Row],[الدولار]]+(Table13456781011121314151617181920212223242526272830313233[[#This Row],[اللبناني]]/90)</f>
        <v>0</v>
      </c>
      <c r="M167" s="6"/>
    </row>
    <row r="168" spans="8:13" s="11" customFormat="1" x14ac:dyDescent="0.3">
      <c r="H168" s="5" t="s">
        <v>434</v>
      </c>
      <c r="I168" s="39"/>
      <c r="J168" s="18"/>
      <c r="L168" s="44">
        <f>Table13456781011121314151617181920212223242526272830313233[[#This Row],[الدولار]]+(Table13456781011121314151617181920212223242526272830313233[[#This Row],[اللبناني]]/90)</f>
        <v>0</v>
      </c>
      <c r="M168" s="6"/>
    </row>
    <row r="169" spans="8:13" s="11" customFormat="1" x14ac:dyDescent="0.3">
      <c r="H169" s="5" t="s">
        <v>434</v>
      </c>
      <c r="I169" s="39"/>
      <c r="J169" s="18"/>
      <c r="L169" s="44">
        <f>Table13456781011121314151617181920212223242526272830313233[[#This Row],[الدولار]]+(Table13456781011121314151617181920212223242526272830313233[[#This Row],[اللبناني]]/90)</f>
        <v>0</v>
      </c>
      <c r="M169" s="6"/>
    </row>
    <row r="170" spans="8:13" s="11" customFormat="1" x14ac:dyDescent="0.3">
      <c r="H170" s="5" t="s">
        <v>434</v>
      </c>
      <c r="I170" s="39"/>
      <c r="J170" s="18"/>
      <c r="L170" s="44">
        <f>Table13456781011121314151617181920212223242526272830313233[[#This Row],[الدولار]]+(Table13456781011121314151617181920212223242526272830313233[[#This Row],[اللبناني]]/90)</f>
        <v>0</v>
      </c>
      <c r="M170" s="6"/>
    </row>
    <row r="171" spans="8:13" s="11" customFormat="1" x14ac:dyDescent="0.3">
      <c r="H171" s="5" t="s">
        <v>434</v>
      </c>
      <c r="I171" s="39"/>
      <c r="J171" s="18"/>
      <c r="L171" s="44">
        <f>Table13456781011121314151617181920212223242526272830313233[[#This Row],[الدولار]]+(Table13456781011121314151617181920212223242526272830313233[[#This Row],[اللبناني]]/90)</f>
        <v>0</v>
      </c>
      <c r="M171" s="6"/>
    </row>
    <row r="172" spans="8:13" s="11" customFormat="1" x14ac:dyDescent="0.3">
      <c r="H172" s="5" t="s">
        <v>434</v>
      </c>
      <c r="I172" s="39"/>
      <c r="J172" s="18"/>
      <c r="L172" s="44">
        <f>Table13456781011121314151617181920212223242526272830313233[[#This Row],[الدولار]]+(Table13456781011121314151617181920212223242526272830313233[[#This Row],[اللبناني]]/90)</f>
        <v>0</v>
      </c>
      <c r="M172" s="6"/>
    </row>
    <row r="173" spans="8:13" s="11" customFormat="1" x14ac:dyDescent="0.3">
      <c r="H173" s="5" t="s">
        <v>434</v>
      </c>
      <c r="I173" s="39"/>
      <c r="J173" s="18"/>
      <c r="L173" s="44">
        <f>Table13456781011121314151617181920212223242526272830313233[[#This Row],[الدولار]]+(Table13456781011121314151617181920212223242526272830313233[[#This Row],[اللبناني]]/90)</f>
        <v>0</v>
      </c>
      <c r="M173" s="6"/>
    </row>
    <row r="174" spans="8:13" s="11" customFormat="1" x14ac:dyDescent="0.3">
      <c r="H174" s="5" t="s">
        <v>434</v>
      </c>
      <c r="I174" s="39"/>
      <c r="J174" s="18"/>
      <c r="L174" s="44">
        <f>Table13456781011121314151617181920212223242526272830313233[[#This Row],[الدولار]]+(Table13456781011121314151617181920212223242526272830313233[[#This Row],[اللبناني]]/90)</f>
        <v>0</v>
      </c>
      <c r="M174" s="6"/>
    </row>
    <row r="175" spans="8:13" s="11" customFormat="1" x14ac:dyDescent="0.3">
      <c r="H175" s="5" t="s">
        <v>434</v>
      </c>
      <c r="I175" s="39"/>
      <c r="J175" s="18"/>
      <c r="L175" s="44">
        <f>Table13456781011121314151617181920212223242526272830313233[[#This Row],[الدولار]]+(Table13456781011121314151617181920212223242526272830313233[[#This Row],[اللبناني]]/90)</f>
        <v>0</v>
      </c>
      <c r="M175" s="6"/>
    </row>
    <row r="176" spans="8:13" s="11" customFormat="1" x14ac:dyDescent="0.3">
      <c r="H176" s="5" t="s">
        <v>434</v>
      </c>
      <c r="I176" s="39"/>
      <c r="J176" s="18"/>
      <c r="L176" s="44">
        <f>Table13456781011121314151617181920212223242526272830313233[[#This Row],[الدولار]]+(Table13456781011121314151617181920212223242526272830313233[[#This Row],[اللبناني]]/90)</f>
        <v>0</v>
      </c>
      <c r="M176" s="6"/>
    </row>
    <row r="177" spans="8:13" s="11" customFormat="1" x14ac:dyDescent="0.3">
      <c r="H177" s="5" t="s">
        <v>434</v>
      </c>
      <c r="I177" s="39"/>
      <c r="J177" s="18"/>
      <c r="L177" s="44">
        <f>Table13456781011121314151617181920212223242526272830313233[[#This Row],[الدولار]]+(Table13456781011121314151617181920212223242526272830313233[[#This Row],[اللبناني]]/90)</f>
        <v>0</v>
      </c>
      <c r="M177" s="6"/>
    </row>
    <row r="178" spans="8:13" s="11" customFormat="1" x14ac:dyDescent="0.3">
      <c r="H178" s="5" t="s">
        <v>434</v>
      </c>
      <c r="I178" s="39"/>
      <c r="J178" s="18"/>
      <c r="L178" s="44">
        <f>Table13456781011121314151617181920212223242526272830313233[[#This Row],[الدولار]]+(Table13456781011121314151617181920212223242526272830313233[[#This Row],[اللبناني]]/90)</f>
        <v>0</v>
      </c>
      <c r="M178" s="6"/>
    </row>
    <row r="179" spans="8:13" s="11" customFormat="1" x14ac:dyDescent="0.3">
      <c r="H179" s="5" t="s">
        <v>434</v>
      </c>
      <c r="I179" s="39"/>
      <c r="J179" s="18"/>
      <c r="L179" s="44">
        <f>Table13456781011121314151617181920212223242526272830313233[[#This Row],[الدولار]]+(Table13456781011121314151617181920212223242526272830313233[[#This Row],[اللبناني]]/90)</f>
        <v>0</v>
      </c>
      <c r="M179" s="6"/>
    </row>
    <row r="180" spans="8:13" s="11" customFormat="1" x14ac:dyDescent="0.3">
      <c r="H180" s="5" t="s">
        <v>434</v>
      </c>
      <c r="I180" s="39"/>
      <c r="J180" s="18"/>
      <c r="L180" s="44">
        <f>Table13456781011121314151617181920212223242526272830313233[[#This Row],[الدولار]]+(Table13456781011121314151617181920212223242526272830313233[[#This Row],[اللبناني]]/90)</f>
        <v>0</v>
      </c>
      <c r="M180" s="6"/>
    </row>
    <row r="181" spans="8:13" s="11" customFormat="1" x14ac:dyDescent="0.3">
      <c r="H181" s="5" t="s">
        <v>434</v>
      </c>
      <c r="I181" s="39"/>
      <c r="J181" s="18"/>
      <c r="L181" s="44">
        <f>Table13456781011121314151617181920212223242526272830313233[[#This Row],[الدولار]]+(Table13456781011121314151617181920212223242526272830313233[[#This Row],[اللبناني]]/90)</f>
        <v>0</v>
      </c>
      <c r="M181" s="6"/>
    </row>
    <row r="182" spans="8:13" s="11" customFormat="1" x14ac:dyDescent="0.3">
      <c r="H182" s="5" t="s">
        <v>434</v>
      </c>
      <c r="I182" s="39"/>
      <c r="J182" s="18"/>
      <c r="L182" s="44">
        <f>Table13456781011121314151617181920212223242526272830313233[[#This Row],[الدولار]]+(Table13456781011121314151617181920212223242526272830313233[[#This Row],[اللبناني]]/90)</f>
        <v>0</v>
      </c>
      <c r="M182" s="6"/>
    </row>
    <row r="183" spans="8:13" s="11" customFormat="1" x14ac:dyDescent="0.3">
      <c r="H183" s="5" t="s">
        <v>434</v>
      </c>
      <c r="I183" s="39"/>
      <c r="J183" s="18"/>
      <c r="L183" s="44">
        <f>Table13456781011121314151617181920212223242526272830313233[[#This Row],[الدولار]]+(Table13456781011121314151617181920212223242526272830313233[[#This Row],[اللبناني]]/90)</f>
        <v>0</v>
      </c>
      <c r="M183" s="6"/>
    </row>
    <row r="184" spans="8:13" s="11" customFormat="1" x14ac:dyDescent="0.3">
      <c r="H184" s="5" t="s">
        <v>434</v>
      </c>
      <c r="I184" s="39"/>
      <c r="J184" s="18"/>
      <c r="L184" s="44">
        <f>Table13456781011121314151617181920212223242526272830313233[[#This Row],[الدولار]]+(Table13456781011121314151617181920212223242526272830313233[[#This Row],[اللبناني]]/90)</f>
        <v>0</v>
      </c>
      <c r="M184" s="6"/>
    </row>
    <row r="185" spans="8:13" s="11" customFormat="1" x14ac:dyDescent="0.3">
      <c r="H185" s="5" t="s">
        <v>434</v>
      </c>
      <c r="I185" s="39"/>
      <c r="J185" s="18"/>
      <c r="L185" s="44">
        <f>Table13456781011121314151617181920212223242526272830313233[[#This Row],[الدولار]]+(Table13456781011121314151617181920212223242526272830313233[[#This Row],[اللبناني]]/90)</f>
        <v>0</v>
      </c>
      <c r="M185" s="6"/>
    </row>
    <row r="186" spans="8:13" s="11" customFormat="1" x14ac:dyDescent="0.3">
      <c r="H186" s="5" t="s">
        <v>434</v>
      </c>
      <c r="I186" s="39"/>
      <c r="J186" s="18"/>
      <c r="L186" s="44">
        <f>Table13456781011121314151617181920212223242526272830313233[[#This Row],[الدولار]]+(Table13456781011121314151617181920212223242526272830313233[[#This Row],[اللبناني]]/90)</f>
        <v>0</v>
      </c>
      <c r="M186" s="6"/>
    </row>
    <row r="187" spans="8:13" s="11" customFormat="1" x14ac:dyDescent="0.3">
      <c r="H187" s="5" t="s">
        <v>434</v>
      </c>
      <c r="I187" s="39"/>
      <c r="J187" s="18"/>
      <c r="L187" s="44">
        <f>Table13456781011121314151617181920212223242526272830313233[[#This Row],[الدولار]]+(Table13456781011121314151617181920212223242526272830313233[[#This Row],[اللبناني]]/90)</f>
        <v>0</v>
      </c>
      <c r="M187" s="6"/>
    </row>
    <row r="188" spans="8:13" s="11" customFormat="1" x14ac:dyDescent="0.3">
      <c r="H188" s="5" t="s">
        <v>434</v>
      </c>
      <c r="I188" s="39"/>
      <c r="J188" s="18"/>
      <c r="L188" s="44">
        <f>Table13456781011121314151617181920212223242526272830313233[[#This Row],[الدولار]]+(Table13456781011121314151617181920212223242526272830313233[[#This Row],[اللبناني]]/90)</f>
        <v>0</v>
      </c>
      <c r="M188" s="6"/>
    </row>
    <row r="189" spans="8:13" s="11" customFormat="1" x14ac:dyDescent="0.3">
      <c r="H189" s="5" t="s">
        <v>434</v>
      </c>
      <c r="I189" s="39"/>
      <c r="J189" s="18"/>
      <c r="L189" s="44">
        <f>Table13456781011121314151617181920212223242526272830313233[[#This Row],[الدولار]]+(Table13456781011121314151617181920212223242526272830313233[[#This Row],[اللبناني]]/90)</f>
        <v>0</v>
      </c>
      <c r="M189" s="6"/>
    </row>
    <row r="190" spans="8:13" s="11" customFormat="1" x14ac:dyDescent="0.3">
      <c r="H190" s="5" t="s">
        <v>434</v>
      </c>
      <c r="I190" s="39"/>
      <c r="J190" s="18"/>
      <c r="L190" s="44">
        <f>Table13456781011121314151617181920212223242526272830313233[[#This Row],[الدولار]]+(Table13456781011121314151617181920212223242526272830313233[[#This Row],[اللبناني]]/90)</f>
        <v>0</v>
      </c>
      <c r="M190" s="6"/>
    </row>
    <row r="191" spans="8:13" s="11" customFormat="1" x14ac:dyDescent="0.3">
      <c r="H191" s="5" t="s">
        <v>434</v>
      </c>
      <c r="I191" s="39"/>
      <c r="J191" s="18"/>
      <c r="L191" s="44">
        <f>Table13456781011121314151617181920212223242526272830313233[[#This Row],[الدولار]]+(Table13456781011121314151617181920212223242526272830313233[[#This Row],[اللبناني]]/90)</f>
        <v>0</v>
      </c>
      <c r="M191" s="6"/>
    </row>
    <row r="192" spans="8:13" s="11" customFormat="1" x14ac:dyDescent="0.3">
      <c r="H192" s="5" t="s">
        <v>434</v>
      </c>
      <c r="I192" s="39"/>
      <c r="J192" s="18"/>
      <c r="L192" s="44">
        <f>Table13456781011121314151617181920212223242526272830313233[[#This Row],[الدولار]]+(Table13456781011121314151617181920212223242526272830313233[[#This Row],[اللبناني]]/90)</f>
        <v>0</v>
      </c>
      <c r="M192" s="6"/>
    </row>
    <row r="193" spans="8:13" s="11" customFormat="1" x14ac:dyDescent="0.3">
      <c r="H193" s="5" t="s">
        <v>434</v>
      </c>
      <c r="I193" s="39"/>
      <c r="J193" s="18"/>
      <c r="L193" s="44">
        <f>Table13456781011121314151617181920212223242526272830313233[[#This Row],[الدولار]]+(Table13456781011121314151617181920212223242526272830313233[[#This Row],[اللبناني]]/90)</f>
        <v>0</v>
      </c>
      <c r="M193" s="6"/>
    </row>
    <row r="194" spans="8:13" s="11" customFormat="1" x14ac:dyDescent="0.3">
      <c r="H194" s="5" t="s">
        <v>434</v>
      </c>
      <c r="I194" s="39"/>
      <c r="J194" s="18"/>
      <c r="L194" s="44">
        <f>Table13456781011121314151617181920212223242526272830313233[[#This Row],[الدولار]]+(Table13456781011121314151617181920212223242526272830313233[[#This Row],[اللبناني]]/90)</f>
        <v>0</v>
      </c>
      <c r="M194" s="6"/>
    </row>
    <row r="195" spans="8:13" s="11" customFormat="1" x14ac:dyDescent="0.3">
      <c r="H195" s="5" t="s">
        <v>434</v>
      </c>
      <c r="I195" s="39"/>
      <c r="J195" s="18"/>
      <c r="L195" s="44">
        <f>Table13456781011121314151617181920212223242526272830313233[[#This Row],[الدولار]]+(Table13456781011121314151617181920212223242526272830313233[[#This Row],[اللبناني]]/90)</f>
        <v>0</v>
      </c>
      <c r="M195" s="6"/>
    </row>
    <row r="196" spans="8:13" s="11" customFormat="1" x14ac:dyDescent="0.3">
      <c r="H196" s="5" t="s">
        <v>434</v>
      </c>
      <c r="I196" s="39"/>
      <c r="J196" s="18"/>
      <c r="L196" s="44">
        <f>Table13456781011121314151617181920212223242526272830313233[[#This Row],[الدولار]]+(Table13456781011121314151617181920212223242526272830313233[[#This Row],[اللبناني]]/90)</f>
        <v>0</v>
      </c>
      <c r="M196" s="6"/>
    </row>
    <row r="197" spans="8:13" s="11" customFormat="1" x14ac:dyDescent="0.3">
      <c r="H197" s="5" t="s">
        <v>434</v>
      </c>
      <c r="I197" s="39"/>
      <c r="J197" s="18"/>
      <c r="L197" s="44">
        <f>Table13456781011121314151617181920212223242526272830313233[[#This Row],[الدولار]]+(Table13456781011121314151617181920212223242526272830313233[[#This Row],[اللبناني]]/90)</f>
        <v>0</v>
      </c>
      <c r="M197" s="6"/>
    </row>
    <row r="198" spans="8:13" s="11" customFormat="1" x14ac:dyDescent="0.3">
      <c r="H198" s="5" t="s">
        <v>434</v>
      </c>
      <c r="I198" s="39"/>
      <c r="J198" s="18"/>
      <c r="L198" s="44">
        <f>Table13456781011121314151617181920212223242526272830313233[[#This Row],[الدولار]]+(Table13456781011121314151617181920212223242526272830313233[[#This Row],[اللبناني]]/90)</f>
        <v>0</v>
      </c>
      <c r="M198" s="6"/>
    </row>
    <row r="199" spans="8:13" s="11" customFormat="1" x14ac:dyDescent="0.3">
      <c r="H199" s="5" t="s">
        <v>434</v>
      </c>
      <c r="I199" s="39"/>
      <c r="J199" s="18"/>
      <c r="L199" s="44">
        <f>Table13456781011121314151617181920212223242526272830313233[[#This Row],[الدولار]]+(Table13456781011121314151617181920212223242526272830313233[[#This Row],[اللبناني]]/90)</f>
        <v>0</v>
      </c>
      <c r="M199" s="6"/>
    </row>
    <row r="200" spans="8:13" s="11" customFormat="1" x14ac:dyDescent="0.3">
      <c r="H200" s="5" t="s">
        <v>434</v>
      </c>
      <c r="I200" s="39"/>
      <c r="J200" s="18"/>
      <c r="L200" s="44">
        <f>Table13456781011121314151617181920212223242526272830313233[[#This Row],[الدولار]]+(Table13456781011121314151617181920212223242526272830313233[[#This Row],[اللبناني]]/90)</f>
        <v>0</v>
      </c>
      <c r="M200" s="6"/>
    </row>
    <row r="201" spans="8:13" s="11" customFormat="1" x14ac:dyDescent="0.3">
      <c r="H201" s="5" t="s">
        <v>434</v>
      </c>
      <c r="I201" s="39"/>
      <c r="J201" s="18"/>
      <c r="L201" s="44">
        <f>Table13456781011121314151617181920212223242526272830313233[[#This Row],[الدولار]]+(Table13456781011121314151617181920212223242526272830313233[[#This Row],[اللبناني]]/90)</f>
        <v>0</v>
      </c>
      <c r="M201" s="6"/>
    </row>
    <row r="202" spans="8:13" s="11" customFormat="1" x14ac:dyDescent="0.3">
      <c r="H202" s="5" t="s">
        <v>434</v>
      </c>
      <c r="I202" s="39"/>
      <c r="J202" s="18"/>
      <c r="L202" s="44">
        <f>Table13456781011121314151617181920212223242526272830313233[[#This Row],[الدولار]]+(Table13456781011121314151617181920212223242526272830313233[[#This Row],[اللبناني]]/90)</f>
        <v>0</v>
      </c>
      <c r="M202" s="6"/>
    </row>
    <row r="203" spans="8:13" s="11" customFormat="1" x14ac:dyDescent="0.3">
      <c r="H203" s="5" t="s">
        <v>434</v>
      </c>
      <c r="I203" s="39"/>
      <c r="J203" s="18"/>
      <c r="L203" s="44">
        <f>Table13456781011121314151617181920212223242526272830313233[[#This Row],[الدولار]]+(Table13456781011121314151617181920212223242526272830313233[[#This Row],[اللبناني]]/90)</f>
        <v>0</v>
      </c>
      <c r="M203" s="6"/>
    </row>
    <row r="204" spans="8:13" s="11" customFormat="1" x14ac:dyDescent="0.3">
      <c r="H204" s="5" t="s">
        <v>434</v>
      </c>
      <c r="I204" s="39"/>
      <c r="J204" s="18"/>
      <c r="L204" s="44">
        <f>Table13456781011121314151617181920212223242526272830313233[[#This Row],[الدولار]]+(Table13456781011121314151617181920212223242526272830313233[[#This Row],[اللبناني]]/90)</f>
        <v>0</v>
      </c>
      <c r="M204" s="6"/>
    </row>
    <row r="205" spans="8:13" s="11" customFormat="1" x14ac:dyDescent="0.3">
      <c r="H205" s="5" t="s">
        <v>434</v>
      </c>
      <c r="I205" s="39"/>
      <c r="J205" s="18"/>
      <c r="L205" s="44">
        <f>Table13456781011121314151617181920212223242526272830313233[[#This Row],[الدولار]]+(Table13456781011121314151617181920212223242526272830313233[[#This Row],[اللبناني]]/90)</f>
        <v>0</v>
      </c>
      <c r="M205" s="6"/>
    </row>
    <row r="206" spans="8:13" s="11" customFormat="1" x14ac:dyDescent="0.3">
      <c r="H206" s="5" t="s">
        <v>434</v>
      </c>
      <c r="I206" s="39"/>
      <c r="J206" s="18"/>
      <c r="L206" s="44">
        <f>Table13456781011121314151617181920212223242526272830313233[[#This Row],[الدولار]]+(Table13456781011121314151617181920212223242526272830313233[[#This Row],[اللبناني]]/90)</f>
        <v>0</v>
      </c>
      <c r="M206" s="6"/>
    </row>
    <row r="207" spans="8:13" s="11" customFormat="1" x14ac:dyDescent="0.3">
      <c r="H207" s="5" t="s">
        <v>434</v>
      </c>
      <c r="I207" s="39"/>
      <c r="J207" s="18"/>
      <c r="L207" s="44">
        <f>Table13456781011121314151617181920212223242526272830313233[[#This Row],[الدولار]]+(Table13456781011121314151617181920212223242526272830313233[[#This Row],[اللبناني]]/90)</f>
        <v>0</v>
      </c>
      <c r="M207" s="6"/>
    </row>
    <row r="208" spans="8:13" s="11" customFormat="1" x14ac:dyDescent="0.3">
      <c r="H208" s="5" t="s">
        <v>434</v>
      </c>
      <c r="I208" s="39"/>
      <c r="J208" s="18"/>
      <c r="L208" s="44">
        <f>Table13456781011121314151617181920212223242526272830313233[[#This Row],[الدولار]]+(Table13456781011121314151617181920212223242526272830313233[[#This Row],[اللبناني]]/90)</f>
        <v>0</v>
      </c>
      <c r="M208" s="6"/>
    </row>
    <row r="209" spans="8:13" s="11" customFormat="1" x14ac:dyDescent="0.3">
      <c r="H209" s="5" t="s">
        <v>434</v>
      </c>
      <c r="I209" s="39"/>
      <c r="J209" s="18"/>
      <c r="L209" s="44">
        <f>Table13456781011121314151617181920212223242526272830313233[[#This Row],[الدولار]]+(Table13456781011121314151617181920212223242526272830313233[[#This Row],[اللبناني]]/90)</f>
        <v>0</v>
      </c>
      <c r="M209" s="6"/>
    </row>
    <row r="210" spans="8:13" s="11" customFormat="1" x14ac:dyDescent="0.3">
      <c r="H210" s="5" t="s">
        <v>434</v>
      </c>
      <c r="I210" s="39"/>
      <c r="J210" s="18"/>
      <c r="L210" s="44">
        <f>Table13456781011121314151617181920212223242526272830313233[[#This Row],[الدولار]]+(Table13456781011121314151617181920212223242526272830313233[[#This Row],[اللبناني]]/90)</f>
        <v>0</v>
      </c>
      <c r="M210" s="6"/>
    </row>
    <row r="211" spans="8:13" s="11" customFormat="1" x14ac:dyDescent="0.3">
      <c r="H211" s="5" t="s">
        <v>434</v>
      </c>
      <c r="I211" s="39"/>
      <c r="J211" s="18"/>
      <c r="L211" s="44">
        <f>Table13456781011121314151617181920212223242526272830313233[[#This Row],[الدولار]]+(Table13456781011121314151617181920212223242526272830313233[[#This Row],[اللبناني]]/90)</f>
        <v>0</v>
      </c>
      <c r="M211" s="6"/>
    </row>
    <row r="212" spans="8:13" s="11" customFormat="1" x14ac:dyDescent="0.3">
      <c r="H212" s="5" t="s">
        <v>434</v>
      </c>
      <c r="I212" s="39"/>
      <c r="J212" s="18"/>
      <c r="L212" s="44">
        <f>Table13456781011121314151617181920212223242526272830313233[[#This Row],[الدولار]]+(Table13456781011121314151617181920212223242526272830313233[[#This Row],[اللبناني]]/90)</f>
        <v>0</v>
      </c>
      <c r="M212" s="6"/>
    </row>
    <row r="213" spans="8:13" s="11" customFormat="1" x14ac:dyDescent="0.3">
      <c r="H213" s="5" t="s">
        <v>434</v>
      </c>
      <c r="I213" s="39"/>
      <c r="J213" s="18"/>
      <c r="L213" s="44">
        <f>Table13456781011121314151617181920212223242526272830313233[[#This Row],[الدولار]]+(Table13456781011121314151617181920212223242526272830313233[[#This Row],[اللبناني]]/90)</f>
        <v>0</v>
      </c>
      <c r="M213" s="6"/>
    </row>
    <row r="214" spans="8:13" s="11" customFormat="1" x14ac:dyDescent="0.3">
      <c r="H214" s="5" t="s">
        <v>434</v>
      </c>
      <c r="I214" s="39"/>
      <c r="J214" s="18"/>
      <c r="L214" s="44">
        <f>Table13456781011121314151617181920212223242526272830313233[[#This Row],[الدولار]]+(Table13456781011121314151617181920212223242526272830313233[[#This Row],[اللبناني]]/90)</f>
        <v>0</v>
      </c>
      <c r="M214" s="6"/>
    </row>
    <row r="215" spans="8:13" s="11" customFormat="1" x14ac:dyDescent="0.3">
      <c r="H215" s="5" t="s">
        <v>434</v>
      </c>
      <c r="I215" s="39"/>
      <c r="J215" s="18"/>
      <c r="L215" s="44">
        <f>Table13456781011121314151617181920212223242526272830313233[[#This Row],[الدولار]]+(Table13456781011121314151617181920212223242526272830313233[[#This Row],[اللبناني]]/90)</f>
        <v>0</v>
      </c>
      <c r="M215" s="6"/>
    </row>
    <row r="216" spans="8:13" s="11" customFormat="1" x14ac:dyDescent="0.3">
      <c r="H216" s="5" t="s">
        <v>434</v>
      </c>
      <c r="I216" s="39"/>
      <c r="J216" s="18"/>
      <c r="L216" s="44">
        <f>Table13456781011121314151617181920212223242526272830313233[[#This Row],[الدولار]]+(Table13456781011121314151617181920212223242526272830313233[[#This Row],[اللبناني]]/90)</f>
        <v>0</v>
      </c>
      <c r="M216" s="6"/>
    </row>
    <row r="217" spans="8:13" s="11" customFormat="1" x14ac:dyDescent="0.3">
      <c r="H217" s="5" t="s">
        <v>434</v>
      </c>
      <c r="I217" s="39"/>
      <c r="J217" s="18"/>
      <c r="L217" s="44">
        <f>Table13456781011121314151617181920212223242526272830313233[[#This Row],[الدولار]]+(Table13456781011121314151617181920212223242526272830313233[[#This Row],[اللبناني]]/90)</f>
        <v>0</v>
      </c>
      <c r="M217" s="6"/>
    </row>
    <row r="218" spans="8:13" s="11" customFormat="1" x14ac:dyDescent="0.3">
      <c r="H218" s="5" t="s">
        <v>434</v>
      </c>
      <c r="I218" s="39"/>
      <c r="J218" s="18"/>
      <c r="L218" s="44">
        <f>Table13456781011121314151617181920212223242526272830313233[[#This Row],[الدولار]]+(Table13456781011121314151617181920212223242526272830313233[[#This Row],[اللبناني]]/90)</f>
        <v>0</v>
      </c>
      <c r="M218" s="6"/>
    </row>
    <row r="219" spans="8:13" s="11" customFormat="1" x14ac:dyDescent="0.3">
      <c r="H219" s="5" t="s">
        <v>434</v>
      </c>
      <c r="I219" s="39"/>
      <c r="J219" s="18"/>
      <c r="L219" s="44">
        <f>Table13456781011121314151617181920212223242526272830313233[[#This Row],[الدولار]]+(Table13456781011121314151617181920212223242526272830313233[[#This Row],[اللبناني]]/90)</f>
        <v>0</v>
      </c>
      <c r="M219" s="6"/>
    </row>
    <row r="220" spans="8:13" s="11" customFormat="1" x14ac:dyDescent="0.3">
      <c r="H220" s="5" t="s">
        <v>434</v>
      </c>
      <c r="I220" s="39"/>
      <c r="J220" s="18"/>
      <c r="L220" s="44">
        <f>Table13456781011121314151617181920212223242526272830313233[[#This Row],[الدولار]]+(Table13456781011121314151617181920212223242526272830313233[[#This Row],[اللبناني]]/90)</f>
        <v>0</v>
      </c>
      <c r="M220" s="6"/>
    </row>
    <row r="221" spans="8:13" s="11" customFormat="1" x14ac:dyDescent="0.3">
      <c r="H221" s="5" t="s">
        <v>434</v>
      </c>
      <c r="I221" s="39"/>
      <c r="J221" s="18"/>
      <c r="L221" s="44">
        <f>Table13456781011121314151617181920212223242526272830313233[[#This Row],[الدولار]]+(Table13456781011121314151617181920212223242526272830313233[[#This Row],[اللبناني]]/90)</f>
        <v>0</v>
      </c>
      <c r="M221" s="6"/>
    </row>
    <row r="222" spans="8:13" s="11" customFormat="1" x14ac:dyDescent="0.3">
      <c r="H222" s="5" t="s">
        <v>434</v>
      </c>
      <c r="I222" s="39"/>
      <c r="J222" s="18"/>
      <c r="L222" s="44">
        <f>Table13456781011121314151617181920212223242526272830313233[[#This Row],[الدولار]]+(Table13456781011121314151617181920212223242526272830313233[[#This Row],[اللبناني]]/90)</f>
        <v>0</v>
      </c>
      <c r="M222" s="6"/>
    </row>
    <row r="223" spans="8:13" s="11" customFormat="1" x14ac:dyDescent="0.3">
      <c r="H223" s="5" t="s">
        <v>434</v>
      </c>
      <c r="I223" s="39"/>
      <c r="J223" s="18"/>
      <c r="L223" s="44">
        <f>Table13456781011121314151617181920212223242526272830313233[[#This Row],[الدولار]]+(Table13456781011121314151617181920212223242526272830313233[[#This Row],[اللبناني]]/90)</f>
        <v>0</v>
      </c>
      <c r="M223" s="6"/>
    </row>
    <row r="224" spans="8:13" s="11" customFormat="1" x14ac:dyDescent="0.3">
      <c r="H224" s="5" t="s">
        <v>434</v>
      </c>
      <c r="I224" s="39"/>
      <c r="J224" s="18"/>
      <c r="L224" s="44">
        <f>Table13456781011121314151617181920212223242526272830313233[[#This Row],[الدولار]]+(Table13456781011121314151617181920212223242526272830313233[[#This Row],[اللبناني]]/90)</f>
        <v>0</v>
      </c>
      <c r="M224" s="6"/>
    </row>
    <row r="225" spans="8:13" s="11" customFormat="1" x14ac:dyDescent="0.3">
      <c r="H225" s="5" t="s">
        <v>434</v>
      </c>
      <c r="I225" s="39"/>
      <c r="J225" s="18"/>
      <c r="L225" s="44">
        <f>Table13456781011121314151617181920212223242526272830313233[[#This Row],[الدولار]]+(Table13456781011121314151617181920212223242526272830313233[[#This Row],[اللبناني]]/90)</f>
        <v>0</v>
      </c>
      <c r="M225" s="6"/>
    </row>
    <row r="226" spans="8:13" s="11" customFormat="1" x14ac:dyDescent="0.3">
      <c r="H226" s="5" t="s">
        <v>434</v>
      </c>
      <c r="I226" s="39"/>
      <c r="J226" s="18"/>
      <c r="L226" s="44">
        <f>Table13456781011121314151617181920212223242526272830313233[[#This Row],[الدولار]]+(Table13456781011121314151617181920212223242526272830313233[[#This Row],[اللبناني]]/90)</f>
        <v>0</v>
      </c>
      <c r="M226" s="6"/>
    </row>
    <row r="227" spans="8:13" s="11" customFormat="1" x14ac:dyDescent="0.3">
      <c r="H227" s="5" t="s">
        <v>434</v>
      </c>
      <c r="I227" s="39"/>
      <c r="J227" s="18"/>
      <c r="L227" s="44">
        <f>Table13456781011121314151617181920212223242526272830313233[[#This Row],[الدولار]]+(Table13456781011121314151617181920212223242526272830313233[[#This Row],[اللبناني]]/90)</f>
        <v>0</v>
      </c>
      <c r="M227" s="6"/>
    </row>
    <row r="228" spans="8:13" s="11" customFormat="1" x14ac:dyDescent="0.3">
      <c r="H228" s="5" t="s">
        <v>434</v>
      </c>
      <c r="I228" s="39"/>
      <c r="J228" s="18"/>
      <c r="L228" s="44">
        <f>Table13456781011121314151617181920212223242526272830313233[[#This Row],[الدولار]]+(Table13456781011121314151617181920212223242526272830313233[[#This Row],[اللبناني]]/90)</f>
        <v>0</v>
      </c>
      <c r="M228" s="6"/>
    </row>
    <row r="229" spans="8:13" s="11" customFormat="1" x14ac:dyDescent="0.3">
      <c r="H229" s="5" t="s">
        <v>434</v>
      </c>
      <c r="I229" s="39"/>
      <c r="J229" s="18"/>
      <c r="L229" s="44">
        <f>Table13456781011121314151617181920212223242526272830313233[[#This Row],[الدولار]]+(Table13456781011121314151617181920212223242526272830313233[[#This Row],[اللبناني]]/90)</f>
        <v>0</v>
      </c>
      <c r="M229" s="6"/>
    </row>
    <row r="230" spans="8:13" s="11" customFormat="1" x14ac:dyDescent="0.3">
      <c r="H230" s="5" t="s">
        <v>434</v>
      </c>
      <c r="I230" s="39"/>
      <c r="J230" s="18"/>
      <c r="L230" s="44">
        <f>Table13456781011121314151617181920212223242526272830313233[[#This Row],[الدولار]]+(Table13456781011121314151617181920212223242526272830313233[[#This Row],[اللبناني]]/90)</f>
        <v>0</v>
      </c>
      <c r="M230" s="6"/>
    </row>
    <row r="231" spans="8:13" s="11" customFormat="1" x14ac:dyDescent="0.3">
      <c r="H231" s="5" t="s">
        <v>434</v>
      </c>
      <c r="I231" s="39"/>
      <c r="J231" s="18"/>
      <c r="L231" s="44">
        <f>Table13456781011121314151617181920212223242526272830313233[[#This Row],[الدولار]]+(Table13456781011121314151617181920212223242526272830313233[[#This Row],[اللبناني]]/90)</f>
        <v>0</v>
      </c>
      <c r="M231" s="6"/>
    </row>
    <row r="232" spans="8:13" s="11" customFormat="1" x14ac:dyDescent="0.3">
      <c r="H232" s="5" t="s">
        <v>434</v>
      </c>
      <c r="I232" s="39"/>
      <c r="J232" s="18"/>
      <c r="L232" s="44">
        <f>Table13456781011121314151617181920212223242526272830313233[[#This Row],[الدولار]]+(Table13456781011121314151617181920212223242526272830313233[[#This Row],[اللبناني]]/90)</f>
        <v>0</v>
      </c>
      <c r="M232" s="6"/>
    </row>
    <row r="233" spans="8:13" s="11" customFormat="1" x14ac:dyDescent="0.3">
      <c r="H233" s="5" t="s">
        <v>434</v>
      </c>
      <c r="I233" s="39"/>
      <c r="J233" s="18"/>
      <c r="L233" s="44">
        <f>Table13456781011121314151617181920212223242526272830313233[[#This Row],[الدولار]]+(Table13456781011121314151617181920212223242526272830313233[[#This Row],[اللبناني]]/90)</f>
        <v>0</v>
      </c>
      <c r="M233" s="6"/>
    </row>
    <row r="234" spans="8:13" s="11" customFormat="1" x14ac:dyDescent="0.3">
      <c r="H234" s="5" t="s">
        <v>434</v>
      </c>
      <c r="I234" s="39"/>
      <c r="J234" s="18"/>
      <c r="L234" s="44">
        <f>Table13456781011121314151617181920212223242526272830313233[[#This Row],[الدولار]]+(Table13456781011121314151617181920212223242526272830313233[[#This Row],[اللبناني]]/90)</f>
        <v>0</v>
      </c>
      <c r="M234" s="6"/>
    </row>
    <row r="235" spans="8:13" s="11" customFormat="1" x14ac:dyDescent="0.3">
      <c r="H235" s="5" t="s">
        <v>434</v>
      </c>
      <c r="I235" s="39"/>
      <c r="J235" s="18"/>
      <c r="L235" s="44">
        <f>Table13456781011121314151617181920212223242526272830313233[[#This Row],[الدولار]]+(Table13456781011121314151617181920212223242526272830313233[[#This Row],[اللبناني]]/90)</f>
        <v>0</v>
      </c>
      <c r="M235" s="6"/>
    </row>
    <row r="236" spans="8:13" s="11" customFormat="1" x14ac:dyDescent="0.3">
      <c r="H236" s="5" t="s">
        <v>434</v>
      </c>
      <c r="I236" s="39"/>
      <c r="J236" s="18"/>
      <c r="L236" s="44">
        <f>Table13456781011121314151617181920212223242526272830313233[[#This Row],[الدولار]]+(Table13456781011121314151617181920212223242526272830313233[[#This Row],[اللبناني]]/90)</f>
        <v>0</v>
      </c>
      <c r="M236" s="6"/>
    </row>
    <row r="237" spans="8:13" s="11" customFormat="1" x14ac:dyDescent="0.3">
      <c r="H237" s="5" t="s">
        <v>434</v>
      </c>
      <c r="I237" s="39"/>
      <c r="J237" s="18"/>
      <c r="L237" s="44">
        <f>Table13456781011121314151617181920212223242526272830313233[[#This Row],[الدولار]]+(Table13456781011121314151617181920212223242526272830313233[[#This Row],[اللبناني]]/90)</f>
        <v>0</v>
      </c>
      <c r="M237" s="6"/>
    </row>
    <row r="238" spans="8:13" s="11" customFormat="1" x14ac:dyDescent="0.3">
      <c r="H238" s="5" t="s">
        <v>434</v>
      </c>
      <c r="I238" s="39"/>
      <c r="J238" s="18"/>
      <c r="L238" s="44">
        <f>Table13456781011121314151617181920212223242526272830313233[[#This Row],[الدولار]]+(Table13456781011121314151617181920212223242526272830313233[[#This Row],[اللبناني]]/90)</f>
        <v>0</v>
      </c>
      <c r="M238" s="6"/>
    </row>
    <row r="239" spans="8:13" s="11" customFormat="1" x14ac:dyDescent="0.3">
      <c r="H239" s="5" t="s">
        <v>434</v>
      </c>
      <c r="I239" s="39"/>
      <c r="J239" s="18"/>
      <c r="L239" s="44">
        <f>Table13456781011121314151617181920212223242526272830313233[[#This Row],[الدولار]]+(Table13456781011121314151617181920212223242526272830313233[[#This Row],[اللبناني]]/90)</f>
        <v>0</v>
      </c>
      <c r="M239" s="6"/>
    </row>
    <row r="240" spans="8:13" s="11" customFormat="1" x14ac:dyDescent="0.3">
      <c r="H240" s="5" t="s">
        <v>434</v>
      </c>
      <c r="I240" s="39"/>
      <c r="J240" s="18"/>
      <c r="L240" s="44">
        <f>Table13456781011121314151617181920212223242526272830313233[[#This Row],[الدولار]]+(Table13456781011121314151617181920212223242526272830313233[[#This Row],[اللبناني]]/90)</f>
        <v>0</v>
      </c>
      <c r="M240" s="6"/>
    </row>
    <row r="241" spans="8:13" s="11" customFormat="1" x14ac:dyDescent="0.3">
      <c r="H241" s="5" t="s">
        <v>434</v>
      </c>
      <c r="I241" s="39"/>
      <c r="J241" s="18"/>
      <c r="L241" s="44">
        <f>Table13456781011121314151617181920212223242526272830313233[[#This Row],[الدولار]]+(Table13456781011121314151617181920212223242526272830313233[[#This Row],[اللبناني]]/90)</f>
        <v>0</v>
      </c>
      <c r="M241" s="6"/>
    </row>
    <row r="242" spans="8:13" s="11" customFormat="1" x14ac:dyDescent="0.3">
      <c r="H242" s="5" t="s">
        <v>434</v>
      </c>
      <c r="I242" s="39"/>
      <c r="J242" s="18"/>
      <c r="L242" s="44">
        <f>Table13456781011121314151617181920212223242526272830313233[[#This Row],[الدولار]]+(Table13456781011121314151617181920212223242526272830313233[[#This Row],[اللبناني]]/90)</f>
        <v>0</v>
      </c>
      <c r="M242" s="6"/>
    </row>
    <row r="243" spans="8:13" s="11" customFormat="1" x14ac:dyDescent="0.3">
      <c r="H243" s="5" t="s">
        <v>434</v>
      </c>
      <c r="I243" s="39"/>
      <c r="J243" s="18"/>
      <c r="L243" s="44">
        <f>Table13456781011121314151617181920212223242526272830313233[[#This Row],[الدولار]]+(Table13456781011121314151617181920212223242526272830313233[[#This Row],[اللبناني]]/90)</f>
        <v>0</v>
      </c>
      <c r="M243" s="6"/>
    </row>
    <row r="244" spans="8:13" s="11" customFormat="1" x14ac:dyDescent="0.3">
      <c r="H244" s="5" t="s">
        <v>434</v>
      </c>
      <c r="I244" s="39"/>
      <c r="J244" s="18"/>
      <c r="L244" s="44">
        <f>Table13456781011121314151617181920212223242526272830313233[[#This Row],[الدولار]]+(Table13456781011121314151617181920212223242526272830313233[[#This Row],[اللبناني]]/90)</f>
        <v>0</v>
      </c>
      <c r="M244" s="6"/>
    </row>
    <row r="245" spans="8:13" s="11" customFormat="1" x14ac:dyDescent="0.3">
      <c r="H245" s="5" t="s">
        <v>434</v>
      </c>
      <c r="I245" s="39"/>
      <c r="J245" s="18"/>
      <c r="L245" s="44">
        <f>Table13456781011121314151617181920212223242526272830313233[[#This Row],[الدولار]]+(Table13456781011121314151617181920212223242526272830313233[[#This Row],[اللبناني]]/90)</f>
        <v>0</v>
      </c>
      <c r="M245" s="6"/>
    </row>
    <row r="246" spans="8:13" s="11" customFormat="1" x14ac:dyDescent="0.3">
      <c r="H246" s="5" t="s">
        <v>434</v>
      </c>
      <c r="I246" s="39"/>
      <c r="J246" s="18"/>
      <c r="L246" s="44">
        <f>Table13456781011121314151617181920212223242526272830313233[[#This Row],[الدولار]]+(Table13456781011121314151617181920212223242526272830313233[[#This Row],[اللبناني]]/90)</f>
        <v>0</v>
      </c>
      <c r="M246" s="6"/>
    </row>
    <row r="247" spans="8:13" s="11" customFormat="1" x14ac:dyDescent="0.3">
      <c r="H247" s="5" t="s">
        <v>434</v>
      </c>
      <c r="I247" s="39"/>
      <c r="J247" s="18"/>
      <c r="L247" s="44">
        <f>Table13456781011121314151617181920212223242526272830313233[[#This Row],[الدولار]]+(Table13456781011121314151617181920212223242526272830313233[[#This Row],[اللبناني]]/90)</f>
        <v>0</v>
      </c>
      <c r="M247" s="6"/>
    </row>
    <row r="248" spans="8:13" s="11" customFormat="1" x14ac:dyDescent="0.3">
      <c r="H248" s="5" t="s">
        <v>434</v>
      </c>
      <c r="I248" s="39"/>
      <c r="J248" s="18"/>
      <c r="L248" s="44">
        <f>Table13456781011121314151617181920212223242526272830313233[[#This Row],[الدولار]]+(Table13456781011121314151617181920212223242526272830313233[[#This Row],[اللبناني]]/90)</f>
        <v>0</v>
      </c>
      <c r="M248" s="6"/>
    </row>
    <row r="249" spans="8:13" s="11" customFormat="1" x14ac:dyDescent="0.3">
      <c r="H249" s="5" t="s">
        <v>434</v>
      </c>
      <c r="I249" s="39"/>
      <c r="J249" s="18"/>
      <c r="L249" s="44">
        <f>Table13456781011121314151617181920212223242526272830313233[[#This Row],[الدولار]]+(Table13456781011121314151617181920212223242526272830313233[[#This Row],[اللبناني]]/90)</f>
        <v>0</v>
      </c>
      <c r="M249" s="6"/>
    </row>
    <row r="250" spans="8:13" s="11" customFormat="1" x14ac:dyDescent="0.3">
      <c r="H250" s="5" t="s">
        <v>434</v>
      </c>
      <c r="I250" s="39"/>
      <c r="J250" s="18"/>
      <c r="L250" s="44">
        <f>Table13456781011121314151617181920212223242526272830313233[[#This Row],[الدولار]]+(Table13456781011121314151617181920212223242526272830313233[[#This Row],[اللبناني]]/90)</f>
        <v>0</v>
      </c>
      <c r="M250" s="6"/>
    </row>
    <row r="251" spans="8:13" s="11" customFormat="1" x14ac:dyDescent="0.3">
      <c r="H251" s="5" t="s">
        <v>434</v>
      </c>
      <c r="I251" s="39"/>
      <c r="J251" s="18"/>
      <c r="L251" s="44">
        <f>Table13456781011121314151617181920212223242526272830313233[[#This Row],[الدولار]]+(Table13456781011121314151617181920212223242526272830313233[[#This Row],[اللبناني]]/90)</f>
        <v>0</v>
      </c>
      <c r="M251" s="6"/>
    </row>
    <row r="252" spans="8:13" s="11" customFormat="1" x14ac:dyDescent="0.3">
      <c r="H252" s="5" t="s">
        <v>434</v>
      </c>
      <c r="I252" s="39"/>
      <c r="J252" s="18"/>
      <c r="L252" s="44">
        <f>Table13456781011121314151617181920212223242526272830313233[[#This Row],[الدولار]]+(Table13456781011121314151617181920212223242526272830313233[[#This Row],[اللبناني]]/90)</f>
        <v>0</v>
      </c>
      <c r="M252" s="6"/>
    </row>
    <row r="253" spans="8:13" s="11" customFormat="1" x14ac:dyDescent="0.3">
      <c r="H253" s="5" t="s">
        <v>434</v>
      </c>
      <c r="I253" s="39"/>
      <c r="J253" s="18"/>
      <c r="L253" s="44">
        <f>Table13456781011121314151617181920212223242526272830313233[[#This Row],[الدولار]]+(Table13456781011121314151617181920212223242526272830313233[[#This Row],[اللبناني]]/90)</f>
        <v>0</v>
      </c>
      <c r="M253" s="6"/>
    </row>
    <row r="254" spans="8:13" s="11" customFormat="1" x14ac:dyDescent="0.3">
      <c r="H254" s="5" t="s">
        <v>434</v>
      </c>
      <c r="I254" s="39"/>
      <c r="J254" s="18"/>
      <c r="L254" s="44">
        <f>Table13456781011121314151617181920212223242526272830313233[[#This Row],[الدولار]]+(Table13456781011121314151617181920212223242526272830313233[[#This Row],[اللبناني]]/90)</f>
        <v>0</v>
      </c>
      <c r="M254" s="6"/>
    </row>
    <row r="255" spans="8:13" s="11" customFormat="1" x14ac:dyDescent="0.3">
      <c r="H255" s="5" t="s">
        <v>434</v>
      </c>
      <c r="I255" s="39"/>
      <c r="J255" s="18"/>
      <c r="L255" s="44">
        <f>Table13456781011121314151617181920212223242526272830313233[[#This Row],[الدولار]]+(Table13456781011121314151617181920212223242526272830313233[[#This Row],[اللبناني]]/90)</f>
        <v>0</v>
      </c>
      <c r="M255" s="6"/>
    </row>
    <row r="256" spans="8:13" s="11" customFormat="1" x14ac:dyDescent="0.3">
      <c r="H256" s="5" t="s">
        <v>434</v>
      </c>
      <c r="I256" s="39"/>
      <c r="J256" s="18"/>
      <c r="L256" s="44">
        <f>Table13456781011121314151617181920212223242526272830313233[[#This Row],[الدولار]]+(Table13456781011121314151617181920212223242526272830313233[[#This Row],[اللبناني]]/90)</f>
        <v>0</v>
      </c>
      <c r="M256" s="6"/>
    </row>
    <row r="257" spans="8:13" s="11" customFormat="1" x14ac:dyDescent="0.3">
      <c r="H257" s="5" t="s">
        <v>434</v>
      </c>
      <c r="I257" s="39"/>
      <c r="J257" s="18"/>
      <c r="L257" s="44">
        <f>Table13456781011121314151617181920212223242526272830313233[[#This Row],[الدولار]]+(Table13456781011121314151617181920212223242526272830313233[[#This Row],[اللبناني]]/90)</f>
        <v>0</v>
      </c>
      <c r="M257" s="6"/>
    </row>
    <row r="258" spans="8:13" s="11" customFormat="1" x14ac:dyDescent="0.3">
      <c r="H258" s="5" t="s">
        <v>434</v>
      </c>
      <c r="I258" s="39"/>
      <c r="J258" s="18"/>
      <c r="L258" s="44">
        <f>Table13456781011121314151617181920212223242526272830313233[[#This Row],[الدولار]]+(Table13456781011121314151617181920212223242526272830313233[[#This Row],[اللبناني]]/90)</f>
        <v>0</v>
      </c>
      <c r="M258" s="6"/>
    </row>
    <row r="259" spans="8:13" s="11" customFormat="1" x14ac:dyDescent="0.3">
      <c r="H259" s="5" t="s">
        <v>434</v>
      </c>
      <c r="I259" s="39"/>
      <c r="J259" s="18"/>
      <c r="L259" s="44">
        <f>Table13456781011121314151617181920212223242526272830313233[[#This Row],[الدولار]]+(Table13456781011121314151617181920212223242526272830313233[[#This Row],[اللبناني]]/90)</f>
        <v>0</v>
      </c>
      <c r="M259" s="6"/>
    </row>
    <row r="260" spans="8:13" s="11" customFormat="1" x14ac:dyDescent="0.3">
      <c r="H260" s="5" t="s">
        <v>434</v>
      </c>
      <c r="I260" s="39"/>
      <c r="J260" s="18"/>
      <c r="L260" s="44">
        <f>Table13456781011121314151617181920212223242526272830313233[[#This Row],[الدولار]]+(Table13456781011121314151617181920212223242526272830313233[[#This Row],[اللبناني]]/90)</f>
        <v>0</v>
      </c>
      <c r="M260" s="6"/>
    </row>
    <row r="261" spans="8:13" s="11" customFormat="1" x14ac:dyDescent="0.3">
      <c r="H261" s="5" t="s">
        <v>434</v>
      </c>
      <c r="I261" s="39"/>
      <c r="J261" s="18"/>
      <c r="L261" s="44">
        <f>Table13456781011121314151617181920212223242526272830313233[[#This Row],[الدولار]]+(Table13456781011121314151617181920212223242526272830313233[[#This Row],[اللبناني]]/90)</f>
        <v>0</v>
      </c>
      <c r="M261" s="6"/>
    </row>
    <row r="262" spans="8:13" s="11" customFormat="1" x14ac:dyDescent="0.3">
      <c r="H262" s="5" t="s">
        <v>434</v>
      </c>
      <c r="I262" s="39"/>
      <c r="J262" s="18"/>
      <c r="L262" s="44">
        <f>Table13456781011121314151617181920212223242526272830313233[[#This Row],[الدولار]]+(Table13456781011121314151617181920212223242526272830313233[[#This Row],[اللبناني]]/90)</f>
        <v>0</v>
      </c>
      <c r="M262" s="6"/>
    </row>
    <row r="263" spans="8:13" s="11" customFormat="1" x14ac:dyDescent="0.3">
      <c r="H263" s="5" t="s">
        <v>434</v>
      </c>
      <c r="I263" s="39"/>
      <c r="J263" s="18"/>
      <c r="L263" s="44">
        <f>Table13456781011121314151617181920212223242526272830313233[[#This Row],[الدولار]]+(Table13456781011121314151617181920212223242526272830313233[[#This Row],[اللبناني]]/90)</f>
        <v>0</v>
      </c>
      <c r="M263" s="6"/>
    </row>
    <row r="264" spans="8:13" s="11" customFormat="1" x14ac:dyDescent="0.3">
      <c r="H264" s="5" t="s">
        <v>434</v>
      </c>
      <c r="I264" s="39"/>
      <c r="J264" s="18"/>
      <c r="L264" s="44">
        <f>Table13456781011121314151617181920212223242526272830313233[[#This Row],[الدولار]]+(Table13456781011121314151617181920212223242526272830313233[[#This Row],[اللبناني]]/90)</f>
        <v>0</v>
      </c>
      <c r="M264" s="6"/>
    </row>
    <row r="265" spans="8:13" s="11" customFormat="1" x14ac:dyDescent="0.3">
      <c r="H265" s="5" t="s">
        <v>434</v>
      </c>
      <c r="I265" s="39"/>
      <c r="J265" s="18"/>
      <c r="L265" s="44">
        <f>Table13456781011121314151617181920212223242526272830313233[[#This Row],[الدولار]]+(Table13456781011121314151617181920212223242526272830313233[[#This Row],[اللبناني]]/90)</f>
        <v>0</v>
      </c>
      <c r="M265" s="6"/>
    </row>
    <row r="266" spans="8:13" s="11" customFormat="1" x14ac:dyDescent="0.3">
      <c r="H266" s="5" t="s">
        <v>434</v>
      </c>
      <c r="I266" s="39"/>
      <c r="J266" s="18"/>
      <c r="L266" s="44">
        <f>Table13456781011121314151617181920212223242526272830313233[[#This Row],[الدولار]]+(Table13456781011121314151617181920212223242526272830313233[[#This Row],[اللبناني]]/90)</f>
        <v>0</v>
      </c>
      <c r="M266" s="6"/>
    </row>
    <row r="267" spans="8:13" s="11" customFormat="1" x14ac:dyDescent="0.3">
      <c r="H267" s="5" t="s">
        <v>434</v>
      </c>
      <c r="I267" s="39"/>
      <c r="J267" s="18"/>
      <c r="L267" s="44">
        <f>Table13456781011121314151617181920212223242526272830313233[[#This Row],[الدولار]]+(Table13456781011121314151617181920212223242526272830313233[[#This Row],[اللبناني]]/90)</f>
        <v>0</v>
      </c>
      <c r="M267" s="6"/>
    </row>
    <row r="268" spans="8:13" s="11" customFormat="1" x14ac:dyDescent="0.3">
      <c r="H268" s="5" t="s">
        <v>434</v>
      </c>
      <c r="I268" s="39"/>
      <c r="J268" s="18"/>
      <c r="L268" s="44">
        <f>Table13456781011121314151617181920212223242526272830313233[[#This Row],[الدولار]]+(Table13456781011121314151617181920212223242526272830313233[[#This Row],[اللبناني]]/90)</f>
        <v>0</v>
      </c>
      <c r="M268" s="6"/>
    </row>
    <row r="269" spans="8:13" s="11" customFormat="1" x14ac:dyDescent="0.3">
      <c r="H269" s="5" t="s">
        <v>434</v>
      </c>
      <c r="I269" s="39"/>
      <c r="J269" s="18"/>
      <c r="L269" s="44">
        <f>Table13456781011121314151617181920212223242526272830313233[[#This Row],[الدولار]]+(Table13456781011121314151617181920212223242526272830313233[[#This Row],[اللبناني]]/90)</f>
        <v>0</v>
      </c>
      <c r="M269" s="6"/>
    </row>
    <row r="270" spans="8:13" s="11" customFormat="1" x14ac:dyDescent="0.3">
      <c r="H270" s="5" t="s">
        <v>434</v>
      </c>
      <c r="I270" s="39"/>
      <c r="J270" s="18"/>
      <c r="L270" s="44">
        <f>Table13456781011121314151617181920212223242526272830313233[[#This Row],[الدولار]]+(Table13456781011121314151617181920212223242526272830313233[[#This Row],[اللبناني]]/90)</f>
        <v>0</v>
      </c>
      <c r="M270" s="6"/>
    </row>
    <row r="271" spans="8:13" s="11" customFormat="1" x14ac:dyDescent="0.3">
      <c r="H271" s="5" t="s">
        <v>434</v>
      </c>
      <c r="I271" s="39"/>
      <c r="J271" s="18"/>
      <c r="L271" s="44">
        <f>Table13456781011121314151617181920212223242526272830313233[[#This Row],[الدولار]]+(Table13456781011121314151617181920212223242526272830313233[[#This Row],[اللبناني]]/90)</f>
        <v>0</v>
      </c>
      <c r="M271" s="6"/>
    </row>
    <row r="272" spans="8:13" s="11" customFormat="1" x14ac:dyDescent="0.3">
      <c r="H272" s="5" t="s">
        <v>434</v>
      </c>
      <c r="I272" s="39"/>
      <c r="J272" s="18"/>
      <c r="L272" s="44">
        <f>Table13456781011121314151617181920212223242526272830313233[[#This Row],[الدولار]]+(Table13456781011121314151617181920212223242526272830313233[[#This Row],[اللبناني]]/90)</f>
        <v>0</v>
      </c>
      <c r="M272" s="6"/>
    </row>
    <row r="273" spans="8:13" s="11" customFormat="1" x14ac:dyDescent="0.3">
      <c r="H273" s="5" t="s">
        <v>434</v>
      </c>
      <c r="I273" s="39"/>
      <c r="J273" s="18"/>
      <c r="L273" s="44">
        <f>Table13456781011121314151617181920212223242526272830313233[[#This Row],[الدولار]]+(Table13456781011121314151617181920212223242526272830313233[[#This Row],[اللبناني]]/90)</f>
        <v>0</v>
      </c>
      <c r="M273" s="6"/>
    </row>
    <row r="274" spans="8:13" s="11" customFormat="1" x14ac:dyDescent="0.3">
      <c r="H274" s="5" t="s">
        <v>434</v>
      </c>
      <c r="I274" s="39"/>
      <c r="J274" s="18"/>
      <c r="L274" s="44">
        <f>Table13456781011121314151617181920212223242526272830313233[[#This Row],[الدولار]]+(Table13456781011121314151617181920212223242526272830313233[[#This Row],[اللبناني]]/90)</f>
        <v>0</v>
      </c>
      <c r="M274" s="6"/>
    </row>
    <row r="275" spans="8:13" s="11" customFormat="1" x14ac:dyDescent="0.3">
      <c r="H275" s="5" t="s">
        <v>434</v>
      </c>
      <c r="I275" s="39"/>
      <c r="J275" s="18"/>
      <c r="L275" s="44">
        <f>Table13456781011121314151617181920212223242526272830313233[[#This Row],[الدولار]]+(Table13456781011121314151617181920212223242526272830313233[[#This Row],[اللبناني]]/90)</f>
        <v>0</v>
      </c>
      <c r="M275" s="6"/>
    </row>
    <row r="276" spans="8:13" s="11" customFormat="1" x14ac:dyDescent="0.3">
      <c r="H276" s="5" t="s">
        <v>434</v>
      </c>
      <c r="I276" s="39"/>
      <c r="J276" s="18"/>
      <c r="L276" s="44">
        <f>Table13456781011121314151617181920212223242526272830313233[[#This Row],[الدولار]]+(Table13456781011121314151617181920212223242526272830313233[[#This Row],[اللبناني]]/90)</f>
        <v>0</v>
      </c>
      <c r="M276" s="6"/>
    </row>
    <row r="277" spans="8:13" s="11" customFormat="1" x14ac:dyDescent="0.3">
      <c r="H277" s="5" t="s">
        <v>434</v>
      </c>
      <c r="I277" s="39"/>
      <c r="J277" s="18"/>
      <c r="L277" s="44">
        <f>Table13456781011121314151617181920212223242526272830313233[[#This Row],[الدولار]]+(Table13456781011121314151617181920212223242526272830313233[[#This Row],[اللبناني]]/90)</f>
        <v>0</v>
      </c>
      <c r="M277" s="6"/>
    </row>
    <row r="278" spans="8:13" s="11" customFormat="1" x14ac:dyDescent="0.3">
      <c r="H278" s="5" t="s">
        <v>434</v>
      </c>
      <c r="I278" s="39"/>
      <c r="J278" s="18"/>
      <c r="L278" s="44">
        <f>Table13456781011121314151617181920212223242526272830313233[[#This Row],[الدولار]]+(Table13456781011121314151617181920212223242526272830313233[[#This Row],[اللبناني]]/90)</f>
        <v>0</v>
      </c>
      <c r="M278" s="6"/>
    </row>
    <row r="279" spans="8:13" s="11" customFormat="1" x14ac:dyDescent="0.3">
      <c r="H279" s="5" t="s">
        <v>434</v>
      </c>
      <c r="I279" s="39"/>
      <c r="J279" s="18"/>
      <c r="L279" s="44">
        <f>Table13456781011121314151617181920212223242526272830313233[[#This Row],[الدولار]]+(Table13456781011121314151617181920212223242526272830313233[[#This Row],[اللبناني]]/90)</f>
        <v>0</v>
      </c>
      <c r="M279" s="6"/>
    </row>
    <row r="280" spans="8:13" s="11" customFormat="1" x14ac:dyDescent="0.3">
      <c r="H280" s="5" t="s">
        <v>434</v>
      </c>
      <c r="I280" s="39"/>
      <c r="J280" s="18"/>
      <c r="L280" s="44">
        <f>Table13456781011121314151617181920212223242526272830313233[[#This Row],[الدولار]]+(Table13456781011121314151617181920212223242526272830313233[[#This Row],[اللبناني]]/90)</f>
        <v>0</v>
      </c>
      <c r="M280" s="6"/>
    </row>
    <row r="281" spans="8:13" s="11" customFormat="1" x14ac:dyDescent="0.3">
      <c r="H281" s="5" t="s">
        <v>434</v>
      </c>
      <c r="I281" s="39"/>
      <c r="J281" s="18"/>
      <c r="L281" s="44">
        <f>Table13456781011121314151617181920212223242526272830313233[[#This Row],[الدولار]]+(Table13456781011121314151617181920212223242526272830313233[[#This Row],[اللبناني]]/90)</f>
        <v>0</v>
      </c>
      <c r="M281" s="6"/>
    </row>
    <row r="282" spans="8:13" s="11" customFormat="1" x14ac:dyDescent="0.3">
      <c r="H282" s="5" t="s">
        <v>434</v>
      </c>
      <c r="I282" s="39"/>
      <c r="J282" s="18"/>
      <c r="L282" s="44">
        <f>Table13456781011121314151617181920212223242526272830313233[[#This Row],[الدولار]]+(Table13456781011121314151617181920212223242526272830313233[[#This Row],[اللبناني]]/90)</f>
        <v>0</v>
      </c>
      <c r="M282" s="6"/>
    </row>
    <row r="283" spans="8:13" s="11" customFormat="1" x14ac:dyDescent="0.3">
      <c r="H283" s="5" t="s">
        <v>434</v>
      </c>
      <c r="I283" s="39"/>
      <c r="J283" s="18"/>
      <c r="L283" s="44">
        <f>Table13456781011121314151617181920212223242526272830313233[[#This Row],[الدولار]]+(Table13456781011121314151617181920212223242526272830313233[[#This Row],[اللبناني]]/90)</f>
        <v>0</v>
      </c>
      <c r="M283" s="6"/>
    </row>
    <row r="284" spans="8:13" s="11" customFormat="1" x14ac:dyDescent="0.3">
      <c r="H284" s="5" t="s">
        <v>434</v>
      </c>
      <c r="I284" s="39"/>
      <c r="J284" s="18"/>
      <c r="L284" s="44">
        <f>Table13456781011121314151617181920212223242526272830313233[[#This Row],[الدولار]]+(Table13456781011121314151617181920212223242526272830313233[[#This Row],[اللبناني]]/90)</f>
        <v>0</v>
      </c>
      <c r="M284" s="6"/>
    </row>
    <row r="285" spans="8:13" s="11" customFormat="1" x14ac:dyDescent="0.3">
      <c r="H285" s="5" t="s">
        <v>434</v>
      </c>
      <c r="I285" s="39"/>
      <c r="J285" s="18"/>
      <c r="L285" s="44">
        <f>Table13456781011121314151617181920212223242526272830313233[[#This Row],[الدولار]]+(Table13456781011121314151617181920212223242526272830313233[[#This Row],[اللبناني]]/90)</f>
        <v>0</v>
      </c>
      <c r="M285" s="6"/>
    </row>
    <row r="286" spans="8:13" s="11" customFormat="1" x14ac:dyDescent="0.3">
      <c r="H286" s="5" t="s">
        <v>434</v>
      </c>
      <c r="I286" s="39"/>
      <c r="J286" s="18"/>
      <c r="L286" s="44">
        <f>Table13456781011121314151617181920212223242526272830313233[[#This Row],[الدولار]]+(Table13456781011121314151617181920212223242526272830313233[[#This Row],[اللبناني]]/90)</f>
        <v>0</v>
      </c>
      <c r="M286" s="6"/>
    </row>
    <row r="287" spans="8:13" s="11" customFormat="1" x14ac:dyDescent="0.3">
      <c r="H287" s="5" t="s">
        <v>434</v>
      </c>
      <c r="I287" s="39"/>
      <c r="J287" s="18"/>
      <c r="L287" s="44">
        <f>Table13456781011121314151617181920212223242526272830313233[[#This Row],[الدولار]]+(Table13456781011121314151617181920212223242526272830313233[[#This Row],[اللبناني]]/90)</f>
        <v>0</v>
      </c>
      <c r="M287" s="6"/>
    </row>
    <row r="288" spans="8:13" s="11" customFormat="1" x14ac:dyDescent="0.3">
      <c r="H288" s="5" t="s">
        <v>434</v>
      </c>
      <c r="I288" s="39"/>
      <c r="J288" s="18"/>
      <c r="L288" s="44">
        <f>Table13456781011121314151617181920212223242526272830313233[[#This Row],[الدولار]]+(Table13456781011121314151617181920212223242526272830313233[[#This Row],[اللبناني]]/90)</f>
        <v>0</v>
      </c>
      <c r="M288" s="6"/>
    </row>
    <row r="289" spans="8:13" s="11" customFormat="1" x14ac:dyDescent="0.3">
      <c r="H289" s="5" t="s">
        <v>434</v>
      </c>
      <c r="I289" s="39"/>
      <c r="J289" s="18"/>
      <c r="L289" s="44">
        <f>Table13456781011121314151617181920212223242526272830313233[[#This Row],[الدولار]]+(Table13456781011121314151617181920212223242526272830313233[[#This Row],[اللبناني]]/90)</f>
        <v>0</v>
      </c>
      <c r="M289" s="6"/>
    </row>
    <row r="290" spans="8:13" s="11" customFormat="1" x14ac:dyDescent="0.3">
      <c r="H290" s="5" t="s">
        <v>434</v>
      </c>
      <c r="I290" s="39"/>
      <c r="J290" s="18"/>
      <c r="L290" s="44">
        <f>Table13456781011121314151617181920212223242526272830313233[[#This Row],[الدولار]]+(Table13456781011121314151617181920212223242526272830313233[[#This Row],[اللبناني]]/90)</f>
        <v>0</v>
      </c>
      <c r="M290" s="6"/>
    </row>
    <row r="291" spans="8:13" s="11" customFormat="1" x14ac:dyDescent="0.3">
      <c r="H291" s="5" t="s">
        <v>434</v>
      </c>
      <c r="I291" s="39"/>
      <c r="J291" s="18"/>
      <c r="L291" s="44">
        <f>Table13456781011121314151617181920212223242526272830313233[[#This Row],[الدولار]]+(Table13456781011121314151617181920212223242526272830313233[[#This Row],[اللبناني]]/90)</f>
        <v>0</v>
      </c>
      <c r="M291" s="6"/>
    </row>
    <row r="292" spans="8:13" s="11" customFormat="1" x14ac:dyDescent="0.3">
      <c r="H292" s="5" t="s">
        <v>434</v>
      </c>
      <c r="I292" s="39"/>
      <c r="J292" s="18"/>
      <c r="L292" s="44">
        <f>Table13456781011121314151617181920212223242526272830313233[[#This Row],[الدولار]]+(Table13456781011121314151617181920212223242526272830313233[[#This Row],[اللبناني]]/90)</f>
        <v>0</v>
      </c>
      <c r="M292" s="6"/>
    </row>
    <row r="293" spans="8:13" s="11" customFormat="1" x14ac:dyDescent="0.3">
      <c r="H293" s="5" t="s">
        <v>434</v>
      </c>
      <c r="I293" s="39"/>
      <c r="J293" s="18"/>
      <c r="L293" s="44">
        <f>Table13456781011121314151617181920212223242526272830313233[[#This Row],[الدولار]]+(Table13456781011121314151617181920212223242526272830313233[[#This Row],[اللبناني]]/90)</f>
        <v>0</v>
      </c>
      <c r="M293" s="6"/>
    </row>
    <row r="294" spans="8:13" s="11" customFormat="1" x14ac:dyDescent="0.3">
      <c r="H294" s="5" t="s">
        <v>434</v>
      </c>
      <c r="I294" s="39"/>
      <c r="J294" s="18"/>
      <c r="L294" s="44">
        <f>Table13456781011121314151617181920212223242526272830313233[[#This Row],[الدولار]]+(Table13456781011121314151617181920212223242526272830313233[[#This Row],[اللبناني]]/90)</f>
        <v>0</v>
      </c>
      <c r="M294" s="6"/>
    </row>
    <row r="295" spans="8:13" s="11" customFormat="1" x14ac:dyDescent="0.3">
      <c r="H295" s="5" t="s">
        <v>434</v>
      </c>
      <c r="I295" s="39"/>
      <c r="J295" s="18"/>
      <c r="L295" s="44">
        <f>Table13456781011121314151617181920212223242526272830313233[[#This Row],[الدولار]]+(Table13456781011121314151617181920212223242526272830313233[[#This Row],[اللبناني]]/90)</f>
        <v>0</v>
      </c>
      <c r="M295" s="6"/>
    </row>
    <row r="296" spans="8:13" s="11" customFormat="1" x14ac:dyDescent="0.3">
      <c r="H296" s="5" t="s">
        <v>434</v>
      </c>
      <c r="I296" s="39"/>
      <c r="J296" s="18"/>
      <c r="L296" s="44">
        <f>Table13456781011121314151617181920212223242526272830313233[[#This Row],[الدولار]]+(Table13456781011121314151617181920212223242526272830313233[[#This Row],[اللبناني]]/90)</f>
        <v>0</v>
      </c>
      <c r="M296" s="6"/>
    </row>
    <row r="297" spans="8:13" s="11" customFormat="1" x14ac:dyDescent="0.3">
      <c r="H297" s="5" t="s">
        <v>434</v>
      </c>
      <c r="I297" s="39"/>
      <c r="J297" s="18"/>
      <c r="L297" s="44">
        <f>Table13456781011121314151617181920212223242526272830313233[[#This Row],[الدولار]]+(Table13456781011121314151617181920212223242526272830313233[[#This Row],[اللبناني]]/90)</f>
        <v>0</v>
      </c>
      <c r="M297" s="6"/>
    </row>
    <row r="298" spans="8:13" s="11" customFormat="1" x14ac:dyDescent="0.3">
      <c r="H298" s="5" t="s">
        <v>434</v>
      </c>
      <c r="I298" s="39"/>
      <c r="J298" s="18"/>
      <c r="L298" s="44">
        <f>Table13456781011121314151617181920212223242526272830313233[[#This Row],[الدولار]]+(Table13456781011121314151617181920212223242526272830313233[[#This Row],[اللبناني]]/90)</f>
        <v>0</v>
      </c>
      <c r="M298" s="6"/>
    </row>
    <row r="299" spans="8:13" s="11" customFormat="1" x14ac:dyDescent="0.3">
      <c r="H299" s="5" t="s">
        <v>434</v>
      </c>
      <c r="I299" s="39"/>
      <c r="J299" s="18"/>
      <c r="L299" s="44">
        <f>Table13456781011121314151617181920212223242526272830313233[[#This Row],[الدولار]]+(Table13456781011121314151617181920212223242526272830313233[[#This Row],[اللبناني]]/90)</f>
        <v>0</v>
      </c>
      <c r="M299" s="6"/>
    </row>
    <row r="300" spans="8:13" s="11" customFormat="1" x14ac:dyDescent="0.3">
      <c r="H300" s="5" t="s">
        <v>434</v>
      </c>
      <c r="I300" s="39"/>
      <c r="J300" s="18"/>
      <c r="L300" s="44">
        <f>Table13456781011121314151617181920212223242526272830313233[[#This Row],[الدولار]]+(Table13456781011121314151617181920212223242526272830313233[[#This Row],[اللبناني]]/90)</f>
        <v>0</v>
      </c>
      <c r="M300" s="6"/>
    </row>
    <row r="301" spans="8:13" s="11" customFormat="1" x14ac:dyDescent="0.3">
      <c r="H301" s="5" t="s">
        <v>434</v>
      </c>
      <c r="I301" s="39"/>
      <c r="J301" s="18"/>
      <c r="L301" s="44">
        <f>Table13456781011121314151617181920212223242526272830313233[[#This Row],[الدولار]]+(Table13456781011121314151617181920212223242526272830313233[[#This Row],[اللبناني]]/90)</f>
        <v>0</v>
      </c>
      <c r="M301" s="6"/>
    </row>
    <row r="302" spans="8:13" s="11" customFormat="1" x14ac:dyDescent="0.3">
      <c r="H302" s="5" t="s">
        <v>434</v>
      </c>
      <c r="I302" s="39"/>
      <c r="J302" s="18"/>
      <c r="L302" s="44">
        <f>Table13456781011121314151617181920212223242526272830313233[[#This Row],[الدولار]]+(Table13456781011121314151617181920212223242526272830313233[[#This Row],[اللبناني]]/90)</f>
        <v>0</v>
      </c>
      <c r="M302" s="6"/>
    </row>
    <row r="303" spans="8:13" s="11" customFormat="1" x14ac:dyDescent="0.3">
      <c r="H303" s="5" t="s">
        <v>434</v>
      </c>
      <c r="I303" s="39"/>
      <c r="J303" s="18"/>
      <c r="L303" s="44">
        <f>Table13456781011121314151617181920212223242526272830313233[[#This Row],[الدولار]]+(Table13456781011121314151617181920212223242526272830313233[[#This Row],[اللبناني]]/90)</f>
        <v>0</v>
      </c>
      <c r="M303" s="6"/>
    </row>
    <row r="304" spans="8:13" s="11" customFormat="1" x14ac:dyDescent="0.3">
      <c r="H304" s="5" t="s">
        <v>434</v>
      </c>
      <c r="I304" s="39"/>
      <c r="J304" s="18"/>
      <c r="L304" s="44">
        <f>Table13456781011121314151617181920212223242526272830313233[[#This Row],[الدولار]]+(Table13456781011121314151617181920212223242526272830313233[[#This Row],[اللبناني]]/90)</f>
        <v>0</v>
      </c>
      <c r="M304" s="6"/>
    </row>
    <row r="305" spans="8:13" s="11" customFormat="1" x14ac:dyDescent="0.3">
      <c r="H305" s="5" t="s">
        <v>434</v>
      </c>
      <c r="I305" s="39"/>
      <c r="J305" s="18"/>
      <c r="L305" s="44">
        <f>Table13456781011121314151617181920212223242526272830313233[[#This Row],[الدولار]]+(Table13456781011121314151617181920212223242526272830313233[[#This Row],[اللبناني]]/90)</f>
        <v>0</v>
      </c>
      <c r="M305" s="6"/>
    </row>
    <row r="306" spans="8:13" s="11" customFormat="1" x14ac:dyDescent="0.3">
      <c r="H306" s="5" t="s">
        <v>434</v>
      </c>
      <c r="I306" s="39"/>
      <c r="J306" s="18"/>
      <c r="L306" s="44">
        <f>Table13456781011121314151617181920212223242526272830313233[[#This Row],[الدولار]]+(Table13456781011121314151617181920212223242526272830313233[[#This Row],[اللبناني]]/90)</f>
        <v>0</v>
      </c>
      <c r="M306" s="6"/>
    </row>
    <row r="307" spans="8:13" s="11" customFormat="1" x14ac:dyDescent="0.3">
      <c r="H307" s="5" t="s">
        <v>434</v>
      </c>
      <c r="I307" s="39"/>
      <c r="J307" s="18"/>
      <c r="L307" s="44">
        <f>Table13456781011121314151617181920212223242526272830313233[[#This Row],[الدولار]]+(Table13456781011121314151617181920212223242526272830313233[[#This Row],[اللبناني]]/90)</f>
        <v>0</v>
      </c>
      <c r="M307" s="6"/>
    </row>
    <row r="308" spans="8:13" s="11" customFormat="1" x14ac:dyDescent="0.3">
      <c r="H308" s="5" t="s">
        <v>434</v>
      </c>
      <c r="I308" s="39"/>
      <c r="J308" s="18"/>
      <c r="L308" s="44">
        <f>Table13456781011121314151617181920212223242526272830313233[[#This Row],[الدولار]]+(Table13456781011121314151617181920212223242526272830313233[[#This Row],[اللبناني]]/90)</f>
        <v>0</v>
      </c>
      <c r="M308" s="6"/>
    </row>
    <row r="309" spans="8:13" s="11" customFormat="1" x14ac:dyDescent="0.3">
      <c r="H309" s="5" t="s">
        <v>434</v>
      </c>
      <c r="I309" s="39"/>
      <c r="J309" s="18"/>
      <c r="L309" s="44">
        <f>Table13456781011121314151617181920212223242526272830313233[[#This Row],[الدولار]]+(Table13456781011121314151617181920212223242526272830313233[[#This Row],[اللبناني]]/90)</f>
        <v>0</v>
      </c>
      <c r="M309" s="6"/>
    </row>
    <row r="310" spans="8:13" s="11" customFormat="1" x14ac:dyDescent="0.3">
      <c r="H310" s="5" t="s">
        <v>434</v>
      </c>
      <c r="I310" s="39"/>
      <c r="J310" s="18"/>
      <c r="L310" s="44">
        <f>Table13456781011121314151617181920212223242526272830313233[[#This Row],[الدولار]]+(Table13456781011121314151617181920212223242526272830313233[[#This Row],[اللبناني]]/90)</f>
        <v>0</v>
      </c>
      <c r="M310" s="6"/>
    </row>
    <row r="311" spans="8:13" s="11" customFormat="1" x14ac:dyDescent="0.3">
      <c r="H311" s="5" t="s">
        <v>434</v>
      </c>
      <c r="I311" s="39"/>
      <c r="J311" s="18"/>
      <c r="L311" s="44">
        <f>Table13456781011121314151617181920212223242526272830313233[[#This Row],[الدولار]]+(Table13456781011121314151617181920212223242526272830313233[[#This Row],[اللبناني]]/90)</f>
        <v>0</v>
      </c>
      <c r="M311" s="6"/>
    </row>
    <row r="312" spans="8:13" s="11" customFormat="1" x14ac:dyDescent="0.3">
      <c r="H312" s="5" t="s">
        <v>434</v>
      </c>
      <c r="I312" s="39"/>
      <c r="J312" s="18"/>
      <c r="L312" s="44">
        <f>Table13456781011121314151617181920212223242526272830313233[[#This Row],[الدولار]]+(Table13456781011121314151617181920212223242526272830313233[[#This Row],[اللبناني]]/90)</f>
        <v>0</v>
      </c>
      <c r="M312" s="6"/>
    </row>
    <row r="313" spans="8:13" s="11" customFormat="1" x14ac:dyDescent="0.3">
      <c r="H313" s="5" t="s">
        <v>434</v>
      </c>
      <c r="I313" s="39"/>
      <c r="J313" s="18"/>
      <c r="L313" s="44">
        <f>Table13456781011121314151617181920212223242526272830313233[[#This Row],[الدولار]]+(Table13456781011121314151617181920212223242526272830313233[[#This Row],[اللبناني]]/90)</f>
        <v>0</v>
      </c>
      <c r="M313" s="6"/>
    </row>
    <row r="314" spans="8:13" s="11" customFormat="1" x14ac:dyDescent="0.3">
      <c r="H314" s="5" t="s">
        <v>434</v>
      </c>
      <c r="I314" s="39"/>
      <c r="J314" s="18"/>
      <c r="L314" s="44">
        <f>Table13456781011121314151617181920212223242526272830313233[[#This Row],[الدولار]]+(Table13456781011121314151617181920212223242526272830313233[[#This Row],[اللبناني]]/90)</f>
        <v>0</v>
      </c>
      <c r="M314" s="6"/>
    </row>
    <row r="315" spans="8:13" s="11" customFormat="1" x14ac:dyDescent="0.3">
      <c r="H315" s="5" t="s">
        <v>434</v>
      </c>
      <c r="I315" s="39"/>
      <c r="J315" s="18"/>
      <c r="L315" s="44">
        <f>Table13456781011121314151617181920212223242526272830313233[[#This Row],[الدولار]]+(Table13456781011121314151617181920212223242526272830313233[[#This Row],[اللبناني]]/90)</f>
        <v>0</v>
      </c>
      <c r="M315" s="6"/>
    </row>
    <row r="316" spans="8:13" s="11" customFormat="1" x14ac:dyDescent="0.3">
      <c r="H316" s="5" t="s">
        <v>434</v>
      </c>
      <c r="I316" s="39"/>
      <c r="J316" s="18"/>
      <c r="L316" s="44">
        <f>Table13456781011121314151617181920212223242526272830313233[[#This Row],[الدولار]]+(Table13456781011121314151617181920212223242526272830313233[[#This Row],[اللبناني]]/90)</f>
        <v>0</v>
      </c>
      <c r="M316" s="6"/>
    </row>
    <row r="317" spans="8:13" s="11" customFormat="1" x14ac:dyDescent="0.3">
      <c r="H317" s="5" t="s">
        <v>434</v>
      </c>
      <c r="I317" s="39"/>
      <c r="J317" s="18"/>
      <c r="L317" s="44">
        <f>Table13456781011121314151617181920212223242526272830313233[[#This Row],[الدولار]]+(Table13456781011121314151617181920212223242526272830313233[[#This Row],[اللبناني]]/90)</f>
        <v>0</v>
      </c>
      <c r="M317" s="6"/>
    </row>
    <row r="318" spans="8:13" s="11" customFormat="1" x14ac:dyDescent="0.3">
      <c r="H318" s="5" t="s">
        <v>434</v>
      </c>
      <c r="I318" s="39"/>
      <c r="J318" s="18"/>
      <c r="L318" s="44">
        <f>Table13456781011121314151617181920212223242526272830313233[[#This Row],[الدولار]]+(Table13456781011121314151617181920212223242526272830313233[[#This Row],[اللبناني]]/90)</f>
        <v>0</v>
      </c>
      <c r="M318" s="6"/>
    </row>
    <row r="319" spans="8:13" s="11" customFormat="1" x14ac:dyDescent="0.3">
      <c r="H319" s="5" t="s">
        <v>434</v>
      </c>
      <c r="I319" s="39"/>
      <c r="J319" s="18"/>
      <c r="L319" s="44">
        <f>Table13456781011121314151617181920212223242526272830313233[[#This Row],[الدولار]]+(Table13456781011121314151617181920212223242526272830313233[[#This Row],[اللبناني]]/90)</f>
        <v>0</v>
      </c>
      <c r="M319" s="6"/>
    </row>
    <row r="320" spans="8:13" s="11" customFormat="1" x14ac:dyDescent="0.3">
      <c r="H320" s="5" t="s">
        <v>434</v>
      </c>
      <c r="I320" s="39"/>
      <c r="J320" s="18"/>
      <c r="L320" s="44">
        <f>Table13456781011121314151617181920212223242526272830313233[[#This Row],[الدولار]]+(Table13456781011121314151617181920212223242526272830313233[[#This Row],[اللبناني]]/90)</f>
        <v>0</v>
      </c>
      <c r="M320" s="6"/>
    </row>
    <row r="321" spans="8:13" s="11" customFormat="1" x14ac:dyDescent="0.3">
      <c r="H321" s="5" t="s">
        <v>434</v>
      </c>
      <c r="I321" s="39"/>
      <c r="J321" s="18"/>
      <c r="L321" s="44">
        <f>Table13456781011121314151617181920212223242526272830313233[[#This Row],[الدولار]]+(Table13456781011121314151617181920212223242526272830313233[[#This Row],[اللبناني]]/90)</f>
        <v>0</v>
      </c>
      <c r="M321" s="6"/>
    </row>
    <row r="322" spans="8:13" s="11" customFormat="1" x14ac:dyDescent="0.3">
      <c r="H322" s="5" t="s">
        <v>434</v>
      </c>
      <c r="I322" s="39"/>
      <c r="J322" s="18"/>
      <c r="L322" s="44">
        <f>Table13456781011121314151617181920212223242526272830313233[[#This Row],[الدولار]]+(Table13456781011121314151617181920212223242526272830313233[[#This Row],[اللبناني]]/90)</f>
        <v>0</v>
      </c>
      <c r="M322" s="6"/>
    </row>
    <row r="323" spans="8:13" s="11" customFormat="1" x14ac:dyDescent="0.3">
      <c r="H323" s="5" t="s">
        <v>434</v>
      </c>
      <c r="I323" s="39"/>
      <c r="J323" s="18"/>
      <c r="L323" s="44">
        <f>Table13456781011121314151617181920212223242526272830313233[[#This Row],[الدولار]]+(Table13456781011121314151617181920212223242526272830313233[[#This Row],[اللبناني]]/90)</f>
        <v>0</v>
      </c>
      <c r="M323" s="6"/>
    </row>
    <row r="324" spans="8:13" s="11" customFormat="1" x14ac:dyDescent="0.3">
      <c r="H324" s="5" t="s">
        <v>434</v>
      </c>
      <c r="I324" s="39"/>
      <c r="J324" s="18"/>
      <c r="L324" s="44">
        <f>Table13456781011121314151617181920212223242526272830313233[[#This Row],[الدولار]]+(Table13456781011121314151617181920212223242526272830313233[[#This Row],[اللبناني]]/90)</f>
        <v>0</v>
      </c>
      <c r="M324" s="6"/>
    </row>
    <row r="325" spans="8:13" s="11" customFormat="1" x14ac:dyDescent="0.3">
      <c r="H325" s="5" t="s">
        <v>434</v>
      </c>
      <c r="I325" s="39"/>
      <c r="J325" s="18"/>
      <c r="L325" s="44">
        <f>Table13456781011121314151617181920212223242526272830313233[[#This Row],[الدولار]]+(Table13456781011121314151617181920212223242526272830313233[[#This Row],[اللبناني]]/90)</f>
        <v>0</v>
      </c>
      <c r="M325" s="6"/>
    </row>
    <row r="326" spans="8:13" s="11" customFormat="1" x14ac:dyDescent="0.3">
      <c r="H326" s="5" t="s">
        <v>434</v>
      </c>
      <c r="I326" s="39"/>
      <c r="J326" s="18"/>
      <c r="L326" s="44">
        <f>Table13456781011121314151617181920212223242526272830313233[[#This Row],[الدولار]]+(Table13456781011121314151617181920212223242526272830313233[[#This Row],[اللبناني]]/90)</f>
        <v>0</v>
      </c>
      <c r="M326" s="6"/>
    </row>
    <row r="327" spans="8:13" s="11" customFormat="1" x14ac:dyDescent="0.3">
      <c r="H327" s="5" t="s">
        <v>434</v>
      </c>
      <c r="I327" s="39"/>
      <c r="J327" s="18"/>
      <c r="L327" s="44">
        <f>Table13456781011121314151617181920212223242526272830313233[[#This Row],[الدولار]]+(Table13456781011121314151617181920212223242526272830313233[[#This Row],[اللبناني]]/90)</f>
        <v>0</v>
      </c>
      <c r="M327" s="6"/>
    </row>
    <row r="328" spans="8:13" s="11" customFormat="1" x14ac:dyDescent="0.3">
      <c r="H328" s="5" t="s">
        <v>434</v>
      </c>
      <c r="I328" s="39"/>
      <c r="J328" s="18"/>
      <c r="L328" s="44">
        <f>Table13456781011121314151617181920212223242526272830313233[[#This Row],[الدولار]]+(Table13456781011121314151617181920212223242526272830313233[[#This Row],[اللبناني]]/90)</f>
        <v>0</v>
      </c>
      <c r="M328" s="6"/>
    </row>
    <row r="329" spans="8:13" s="11" customFormat="1" x14ac:dyDescent="0.3">
      <c r="H329" s="5" t="s">
        <v>434</v>
      </c>
      <c r="I329" s="39"/>
      <c r="J329" s="18"/>
      <c r="L329" s="44">
        <f>Table13456781011121314151617181920212223242526272830313233[[#This Row],[الدولار]]+(Table13456781011121314151617181920212223242526272830313233[[#This Row],[اللبناني]]/90)</f>
        <v>0</v>
      </c>
      <c r="M329" s="6"/>
    </row>
    <row r="330" spans="8:13" s="11" customFormat="1" x14ac:dyDescent="0.3">
      <c r="H330" s="5" t="s">
        <v>434</v>
      </c>
      <c r="I330" s="39"/>
      <c r="J330" s="18"/>
      <c r="L330" s="44">
        <f>Table13456781011121314151617181920212223242526272830313233[[#This Row],[الدولار]]+(Table13456781011121314151617181920212223242526272830313233[[#This Row],[اللبناني]]/90)</f>
        <v>0</v>
      </c>
      <c r="M330" s="6"/>
    </row>
    <row r="331" spans="8:13" s="11" customFormat="1" x14ac:dyDescent="0.3">
      <c r="H331" s="5" t="s">
        <v>434</v>
      </c>
      <c r="I331" s="39"/>
      <c r="J331" s="18"/>
      <c r="L331" s="44">
        <f>Table13456781011121314151617181920212223242526272830313233[[#This Row],[الدولار]]+(Table13456781011121314151617181920212223242526272830313233[[#This Row],[اللبناني]]/90)</f>
        <v>0</v>
      </c>
      <c r="M331" s="6"/>
    </row>
    <row r="332" spans="8:13" s="11" customFormat="1" x14ac:dyDescent="0.3">
      <c r="H332" s="5" t="s">
        <v>434</v>
      </c>
      <c r="I332" s="39"/>
      <c r="J332" s="18"/>
      <c r="L332" s="44">
        <f>Table13456781011121314151617181920212223242526272830313233[[#This Row],[الدولار]]+(Table13456781011121314151617181920212223242526272830313233[[#This Row],[اللبناني]]/90)</f>
        <v>0</v>
      </c>
      <c r="M332" s="6"/>
    </row>
    <row r="333" spans="8:13" s="11" customFormat="1" x14ac:dyDescent="0.3">
      <c r="H333" s="5" t="s">
        <v>434</v>
      </c>
      <c r="I333" s="39"/>
      <c r="J333" s="18"/>
      <c r="L333" s="44">
        <f>Table13456781011121314151617181920212223242526272830313233[[#This Row],[الدولار]]+(Table13456781011121314151617181920212223242526272830313233[[#This Row],[اللبناني]]/90)</f>
        <v>0</v>
      </c>
      <c r="M333" s="6"/>
    </row>
    <row r="334" spans="8:13" s="11" customFormat="1" x14ac:dyDescent="0.3">
      <c r="H334" s="5" t="s">
        <v>434</v>
      </c>
      <c r="I334" s="39"/>
      <c r="J334" s="18"/>
      <c r="L334" s="44">
        <f>Table13456781011121314151617181920212223242526272830313233[[#This Row],[الدولار]]+(Table13456781011121314151617181920212223242526272830313233[[#This Row],[اللبناني]]/90)</f>
        <v>0</v>
      </c>
      <c r="M334" s="6"/>
    </row>
    <row r="335" spans="8:13" s="11" customFormat="1" x14ac:dyDescent="0.3">
      <c r="H335" s="5" t="s">
        <v>434</v>
      </c>
      <c r="I335" s="39"/>
      <c r="J335" s="18"/>
      <c r="L335" s="44">
        <f>Table13456781011121314151617181920212223242526272830313233[[#This Row],[الدولار]]+(Table13456781011121314151617181920212223242526272830313233[[#This Row],[اللبناني]]/90)</f>
        <v>0</v>
      </c>
      <c r="M335" s="6"/>
    </row>
    <row r="336" spans="8:13" s="11" customFormat="1" x14ac:dyDescent="0.3">
      <c r="H336" s="5" t="s">
        <v>434</v>
      </c>
      <c r="I336" s="39"/>
      <c r="J336" s="18"/>
      <c r="L336" s="44">
        <f>Table13456781011121314151617181920212223242526272830313233[[#This Row],[الدولار]]+(Table13456781011121314151617181920212223242526272830313233[[#This Row],[اللبناني]]/90)</f>
        <v>0</v>
      </c>
      <c r="M336" s="6"/>
    </row>
    <row r="337" spans="8:13" s="11" customFormat="1" x14ac:dyDescent="0.3">
      <c r="H337" s="5" t="s">
        <v>434</v>
      </c>
      <c r="I337" s="39"/>
      <c r="J337" s="18"/>
      <c r="L337" s="44">
        <f>Table13456781011121314151617181920212223242526272830313233[[#This Row],[الدولار]]+(Table13456781011121314151617181920212223242526272830313233[[#This Row],[اللبناني]]/90)</f>
        <v>0</v>
      </c>
      <c r="M337" s="6"/>
    </row>
    <row r="338" spans="8:13" s="11" customFormat="1" x14ac:dyDescent="0.3">
      <c r="H338" s="5" t="s">
        <v>434</v>
      </c>
      <c r="I338" s="39"/>
      <c r="J338" s="18"/>
      <c r="L338" s="44">
        <f>Table13456781011121314151617181920212223242526272830313233[[#This Row],[الدولار]]+(Table13456781011121314151617181920212223242526272830313233[[#This Row],[اللبناني]]/90)</f>
        <v>0</v>
      </c>
      <c r="M338" s="6"/>
    </row>
    <row r="339" spans="8:13" s="11" customFormat="1" x14ac:dyDescent="0.3">
      <c r="H339" s="5" t="s">
        <v>434</v>
      </c>
      <c r="I339" s="39"/>
      <c r="J339" s="18"/>
      <c r="L339" s="44">
        <f>Table13456781011121314151617181920212223242526272830313233[[#This Row],[الدولار]]+(Table13456781011121314151617181920212223242526272830313233[[#This Row],[اللبناني]]/90)</f>
        <v>0</v>
      </c>
      <c r="M339" s="6"/>
    </row>
    <row r="340" spans="8:13" s="11" customFormat="1" x14ac:dyDescent="0.3">
      <c r="H340" s="5" t="s">
        <v>434</v>
      </c>
      <c r="I340" s="39"/>
      <c r="J340" s="18"/>
      <c r="L340" s="44">
        <f>Table13456781011121314151617181920212223242526272830313233[[#This Row],[الدولار]]+(Table13456781011121314151617181920212223242526272830313233[[#This Row],[اللبناني]]/90)</f>
        <v>0</v>
      </c>
      <c r="M340" s="6"/>
    </row>
    <row r="341" spans="8:13" s="11" customFormat="1" x14ac:dyDescent="0.3">
      <c r="H341" s="5" t="s">
        <v>434</v>
      </c>
      <c r="I341" s="39"/>
      <c r="J341" s="18"/>
      <c r="L341" s="44">
        <f>Table13456781011121314151617181920212223242526272830313233[[#This Row],[الدولار]]+(Table13456781011121314151617181920212223242526272830313233[[#This Row],[اللبناني]]/90)</f>
        <v>0</v>
      </c>
      <c r="M341" s="6"/>
    </row>
    <row r="342" spans="8:13" s="11" customFormat="1" x14ac:dyDescent="0.3">
      <c r="H342" s="5" t="s">
        <v>434</v>
      </c>
      <c r="I342" s="39"/>
      <c r="J342" s="18"/>
      <c r="L342" s="44">
        <f>Table13456781011121314151617181920212223242526272830313233[[#This Row],[الدولار]]+(Table13456781011121314151617181920212223242526272830313233[[#This Row],[اللبناني]]/90)</f>
        <v>0</v>
      </c>
      <c r="M342" s="6"/>
    </row>
    <row r="343" spans="8:13" s="11" customFormat="1" x14ac:dyDescent="0.3">
      <c r="H343" s="5" t="s">
        <v>434</v>
      </c>
      <c r="I343" s="39"/>
      <c r="J343" s="18"/>
      <c r="L343" s="44">
        <f>Table13456781011121314151617181920212223242526272830313233[[#This Row],[الدولار]]+(Table13456781011121314151617181920212223242526272830313233[[#This Row],[اللبناني]]/90)</f>
        <v>0</v>
      </c>
      <c r="M343" s="6"/>
    </row>
    <row r="344" spans="8:13" s="11" customFormat="1" x14ac:dyDescent="0.3">
      <c r="H344" s="5" t="s">
        <v>434</v>
      </c>
      <c r="I344" s="39"/>
      <c r="J344" s="18"/>
      <c r="L344" s="44">
        <f>Table13456781011121314151617181920212223242526272830313233[[#This Row],[الدولار]]+(Table13456781011121314151617181920212223242526272830313233[[#This Row],[اللبناني]]/90)</f>
        <v>0</v>
      </c>
      <c r="M344" s="6"/>
    </row>
    <row r="345" spans="8:13" s="11" customFormat="1" x14ac:dyDescent="0.3">
      <c r="H345" s="5" t="s">
        <v>434</v>
      </c>
      <c r="I345" s="39"/>
      <c r="J345" s="18"/>
      <c r="L345" s="44">
        <f>Table13456781011121314151617181920212223242526272830313233[[#This Row],[الدولار]]+(Table13456781011121314151617181920212223242526272830313233[[#This Row],[اللبناني]]/90)</f>
        <v>0</v>
      </c>
      <c r="M345" s="6"/>
    </row>
    <row r="346" spans="8:13" s="11" customFormat="1" x14ac:dyDescent="0.3">
      <c r="H346" s="5" t="s">
        <v>434</v>
      </c>
      <c r="I346" s="39"/>
      <c r="J346" s="18"/>
      <c r="L346" s="44">
        <f>Table13456781011121314151617181920212223242526272830313233[[#This Row],[الدولار]]+(Table13456781011121314151617181920212223242526272830313233[[#This Row],[اللبناني]]/90)</f>
        <v>0</v>
      </c>
      <c r="M346" s="6"/>
    </row>
    <row r="347" spans="8:13" s="11" customFormat="1" x14ac:dyDescent="0.3">
      <c r="H347" s="5" t="s">
        <v>434</v>
      </c>
      <c r="I347" s="39"/>
      <c r="J347" s="18"/>
      <c r="L347" s="44">
        <f>Table13456781011121314151617181920212223242526272830313233[[#This Row],[الدولار]]+(Table13456781011121314151617181920212223242526272830313233[[#This Row],[اللبناني]]/90)</f>
        <v>0</v>
      </c>
      <c r="M347" s="6"/>
    </row>
    <row r="348" spans="8:13" s="11" customFormat="1" x14ac:dyDescent="0.3">
      <c r="H348" s="5" t="s">
        <v>434</v>
      </c>
      <c r="I348" s="39"/>
      <c r="J348" s="18"/>
      <c r="L348" s="44">
        <f>Table13456781011121314151617181920212223242526272830313233[[#This Row],[الدولار]]+(Table13456781011121314151617181920212223242526272830313233[[#This Row],[اللبناني]]/90)</f>
        <v>0</v>
      </c>
      <c r="M348" s="6"/>
    </row>
    <row r="349" spans="8:13" s="11" customFormat="1" x14ac:dyDescent="0.3">
      <c r="H349" s="5" t="s">
        <v>434</v>
      </c>
      <c r="I349" s="39"/>
      <c r="J349" s="18"/>
      <c r="L349" s="44">
        <f>Table13456781011121314151617181920212223242526272830313233[[#This Row],[الدولار]]+(Table13456781011121314151617181920212223242526272830313233[[#This Row],[اللبناني]]/90)</f>
        <v>0</v>
      </c>
      <c r="M349" s="6"/>
    </row>
    <row r="350" spans="8:13" s="11" customFormat="1" x14ac:dyDescent="0.3">
      <c r="H350" s="5" t="s">
        <v>434</v>
      </c>
      <c r="I350" s="39"/>
      <c r="J350" s="18"/>
      <c r="L350" s="44">
        <f>Table13456781011121314151617181920212223242526272830313233[[#This Row],[الدولار]]+(Table13456781011121314151617181920212223242526272830313233[[#This Row],[اللبناني]]/90)</f>
        <v>0</v>
      </c>
      <c r="M350" s="6"/>
    </row>
    <row r="351" spans="8:13" s="11" customFormat="1" x14ac:dyDescent="0.3">
      <c r="H351" s="5" t="s">
        <v>434</v>
      </c>
      <c r="I351" s="39"/>
      <c r="J351" s="18"/>
      <c r="L351" s="44">
        <f>Table13456781011121314151617181920212223242526272830313233[[#This Row],[الدولار]]+(Table13456781011121314151617181920212223242526272830313233[[#This Row],[اللبناني]]/90)</f>
        <v>0</v>
      </c>
      <c r="M351" s="6"/>
    </row>
    <row r="352" spans="8:13" s="11" customFormat="1" x14ac:dyDescent="0.3">
      <c r="H352" s="5" t="s">
        <v>434</v>
      </c>
      <c r="I352" s="39"/>
      <c r="J352" s="18"/>
      <c r="L352" s="44">
        <f>Table13456781011121314151617181920212223242526272830313233[[#This Row],[الدولار]]+(Table13456781011121314151617181920212223242526272830313233[[#This Row],[اللبناني]]/90)</f>
        <v>0</v>
      </c>
      <c r="M352" s="6"/>
    </row>
    <row r="353" spans="8:13" s="11" customFormat="1" x14ac:dyDescent="0.3">
      <c r="H353" s="5" t="s">
        <v>434</v>
      </c>
      <c r="I353" s="39"/>
      <c r="J353" s="18"/>
      <c r="L353" s="44">
        <f>Table13456781011121314151617181920212223242526272830313233[[#This Row],[الدولار]]+(Table13456781011121314151617181920212223242526272830313233[[#This Row],[اللبناني]]/90)</f>
        <v>0</v>
      </c>
      <c r="M353" s="6"/>
    </row>
    <row r="354" spans="8:13" s="11" customFormat="1" x14ac:dyDescent="0.3">
      <c r="H354" s="5" t="s">
        <v>434</v>
      </c>
      <c r="I354" s="39"/>
      <c r="J354" s="18"/>
      <c r="L354" s="44">
        <f>Table13456781011121314151617181920212223242526272830313233[[#This Row],[الدولار]]+(Table13456781011121314151617181920212223242526272830313233[[#This Row],[اللبناني]]/90)</f>
        <v>0</v>
      </c>
      <c r="M354" s="6"/>
    </row>
    <row r="355" spans="8:13" s="11" customFormat="1" x14ac:dyDescent="0.3">
      <c r="H355" s="5" t="s">
        <v>434</v>
      </c>
      <c r="I355" s="39"/>
      <c r="J355" s="18"/>
      <c r="L355" s="44">
        <f>Table13456781011121314151617181920212223242526272830313233[[#This Row],[الدولار]]+(Table13456781011121314151617181920212223242526272830313233[[#This Row],[اللبناني]]/90)</f>
        <v>0</v>
      </c>
      <c r="M355" s="6"/>
    </row>
    <row r="356" spans="8:13" s="11" customFormat="1" x14ac:dyDescent="0.3">
      <c r="H356" s="5" t="s">
        <v>434</v>
      </c>
      <c r="I356" s="39"/>
      <c r="J356" s="18"/>
      <c r="L356" s="44">
        <f>Table13456781011121314151617181920212223242526272830313233[[#This Row],[الدولار]]+(Table13456781011121314151617181920212223242526272830313233[[#This Row],[اللبناني]]/90)</f>
        <v>0</v>
      </c>
      <c r="M356" s="6"/>
    </row>
    <row r="357" spans="8:13" s="11" customFormat="1" x14ac:dyDescent="0.3">
      <c r="H357" s="5" t="s">
        <v>434</v>
      </c>
      <c r="I357" s="39"/>
      <c r="J357" s="18"/>
      <c r="L357" s="44">
        <f>Table13456781011121314151617181920212223242526272830313233[[#This Row],[الدولار]]+(Table13456781011121314151617181920212223242526272830313233[[#This Row],[اللبناني]]/90)</f>
        <v>0</v>
      </c>
      <c r="M357" s="6"/>
    </row>
    <row r="358" spans="8:13" s="11" customFormat="1" x14ac:dyDescent="0.3">
      <c r="H358" s="5" t="s">
        <v>434</v>
      </c>
      <c r="I358" s="39"/>
      <c r="J358" s="18"/>
      <c r="L358" s="44">
        <f>Table13456781011121314151617181920212223242526272830313233[[#This Row],[الدولار]]+(Table13456781011121314151617181920212223242526272830313233[[#This Row],[اللبناني]]/90)</f>
        <v>0</v>
      </c>
      <c r="M358" s="6"/>
    </row>
    <row r="359" spans="8:13" s="11" customFormat="1" x14ac:dyDescent="0.3">
      <c r="H359" s="5" t="s">
        <v>434</v>
      </c>
      <c r="I359" s="39"/>
      <c r="J359" s="18"/>
      <c r="L359" s="44">
        <f>Table13456781011121314151617181920212223242526272830313233[[#This Row],[الدولار]]+(Table13456781011121314151617181920212223242526272830313233[[#This Row],[اللبناني]]/90)</f>
        <v>0</v>
      </c>
      <c r="M359" s="6"/>
    </row>
    <row r="360" spans="8:13" s="11" customFormat="1" x14ac:dyDescent="0.3">
      <c r="H360" s="5" t="s">
        <v>434</v>
      </c>
      <c r="I360" s="39"/>
      <c r="J360" s="18"/>
      <c r="L360" s="44">
        <f>Table13456781011121314151617181920212223242526272830313233[[#This Row],[الدولار]]+(Table13456781011121314151617181920212223242526272830313233[[#This Row],[اللبناني]]/90)</f>
        <v>0</v>
      </c>
      <c r="M360" s="6"/>
    </row>
    <row r="361" spans="8:13" s="11" customFormat="1" x14ac:dyDescent="0.3">
      <c r="H361" s="5" t="s">
        <v>434</v>
      </c>
      <c r="I361" s="39"/>
      <c r="J361" s="18"/>
      <c r="L361" s="44">
        <f>Table13456781011121314151617181920212223242526272830313233[[#This Row],[الدولار]]+(Table13456781011121314151617181920212223242526272830313233[[#This Row],[اللبناني]]/90)</f>
        <v>0</v>
      </c>
      <c r="M361" s="6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.3" footer="0.3"/>
  <pageSetup paperSize="9" scale="65" fitToHeight="0" orientation="portrait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38E96-016D-47BC-8A0A-B36A7FFBD306}">
  <dimension ref="A1:H34"/>
  <sheetViews>
    <sheetView rightToLeft="1" zoomScale="220" zoomScaleNormal="220" workbookViewId="0">
      <pane ySplit="2" topLeftCell="A7" activePane="bottomLeft" state="frozen"/>
      <selection pane="bottomLeft" activeCell="C8" sqref="C8"/>
    </sheetView>
  </sheetViews>
  <sheetFormatPr defaultRowHeight="14.4" x14ac:dyDescent="0.3"/>
  <cols>
    <col min="1" max="1" width="21.5546875" bestFit="1" customWidth="1"/>
    <col min="2" max="3" width="6.88671875" bestFit="1" customWidth="1"/>
    <col min="4" max="4" width="7.5546875" bestFit="1" customWidth="1"/>
    <col min="5" max="5" width="11.77734375" bestFit="1" customWidth="1"/>
  </cols>
  <sheetData>
    <row r="1" spans="1:8" x14ac:dyDescent="0.3">
      <c r="A1" s="57" t="s">
        <v>1</v>
      </c>
      <c r="B1" s="48">
        <f ca="1">SUM(B3:B32)</f>
        <v>30496.611111111113</v>
      </c>
      <c r="C1" s="48">
        <f ca="1">SUM(C3:C32)</f>
        <v>-3499.2222222222222</v>
      </c>
      <c r="D1" s="48">
        <f ca="1">SUM(D3:D32)</f>
        <v>-27198.777777777777</v>
      </c>
      <c r="E1" s="55">
        <f ca="1">IF(B1=0,"",C1/B1)*-1</f>
        <v>0.11474134648840763</v>
      </c>
    </row>
    <row r="2" spans="1:8" x14ac:dyDescent="0.3">
      <c r="A2" s="56" t="s">
        <v>437</v>
      </c>
      <c r="B2" s="56" t="s">
        <v>434</v>
      </c>
      <c r="C2" s="56" t="s">
        <v>435</v>
      </c>
      <c r="D2" s="56" t="s">
        <v>436</v>
      </c>
      <c r="E2" s="56" t="s">
        <v>513</v>
      </c>
    </row>
    <row r="3" spans="1:8" x14ac:dyDescent="0.3">
      <c r="A3" s="58">
        <v>46113</v>
      </c>
      <c r="B3" s="47">
        <f ca="1">IFERROR(SUMIFS(INDIRECT("'"&amp;TEXT(A3,"DD-MM")&amp;"'!L:L"),INDIRECT("'"&amp;TEXT(A3,"DD-MM")&amp;"'!H:H"),$B$2),"")</f>
        <v>790.33333333333314</v>
      </c>
      <c r="C3" s="47">
        <f ca="1">IFERROR(SUMIFS(INDIRECT("'"&amp;TEXT(A3,"DD-MM")&amp;"'!L:L"),INDIRECT("'"&amp;TEXT(A3,"DD-MM")&amp;"'!H:H"),$C$2),"")</f>
        <v>-1484.4444444444443</v>
      </c>
      <c r="D3" s="47">
        <f ca="1">IFERROR(SUMIFS(INDIRECT("'"&amp;TEXT(A3,"DD-MM")&amp;"'!L:L"),INDIRECT("'"&amp;TEXT(A3,"DD-MM")&amp;"'!H:H"),$D$2),"")</f>
        <v>-713.88888888888891</v>
      </c>
      <c r="E3" s="55">
        <f ca="1">IF(B3=0,"",C3/B3)*-1</f>
        <v>1.8782510895543374</v>
      </c>
    </row>
    <row r="4" spans="1:8" x14ac:dyDescent="0.3">
      <c r="A4" s="58">
        <v>46114</v>
      </c>
      <c r="B4" s="47">
        <f ca="1">IFERROR(SUMIFS(INDIRECT("'"&amp;TEXT(A4,"DD-MM")&amp;"'!L:L"),INDIRECT("'"&amp;TEXT(A4,"DD-MM")&amp;"'!H:H"),$B$2),"")</f>
        <v>6230.7222222222226</v>
      </c>
      <c r="C4" s="47">
        <f ca="1">IFERROR(SUMIFS(INDIRECT("'"&amp;TEXT(A4,"DD-MM")&amp;"'!L:L"),INDIRECT("'"&amp;TEXT(A4,"DD-MM")&amp;"'!H:H"),$C$2),"")</f>
        <v>-7.2222222222222232</v>
      </c>
      <c r="D4" s="47">
        <f ca="1">IFERROR(SUMIFS(INDIRECT("'"&amp;TEXT(A4,"DD-MM")&amp;"'!L:L"),INDIRECT("'"&amp;TEXT(A4,"DD-MM")&amp;"'!H:H"),$D$2),"")</f>
        <v>-5877.7777777777783</v>
      </c>
      <c r="E4" s="55">
        <f t="shared" ref="E4:E6" ca="1" si="0">IFERROR(IF(B4=0,"",C4/B4)*-1,"")</f>
        <v>1.1591308302051663E-3</v>
      </c>
    </row>
    <row r="5" spans="1:8" x14ac:dyDescent="0.3">
      <c r="A5" s="58">
        <v>46115</v>
      </c>
      <c r="B5" s="47">
        <f ca="1">IFERROR(SUMIFS(INDIRECT("'"&amp;TEXT(A5,"DD-MM")&amp;"'!L:L"),INDIRECT("'"&amp;TEXT(A5,"DD-MM")&amp;"'!H:H"),$B$2),"")</f>
        <v>2525.6111111111109</v>
      </c>
      <c r="C5" s="47">
        <f ca="1">IFERROR(SUMIFS(INDIRECT("'"&amp;TEXT(A5,"DD-MM")&amp;"'!L:L"),INDIRECT("'"&amp;TEXT(A5,"DD-MM")&amp;"'!H:H"),$C$2),"")</f>
        <v>-42.222222222222221</v>
      </c>
      <c r="D5" s="47">
        <f ca="1">IFERROR(SUMIFS(INDIRECT("'"&amp;TEXT(A5,"DD-MM")&amp;"'!L:L"),INDIRECT("'"&amp;TEXT(A5,"DD-MM")&amp;"'!H:H"),$D$2),"")</f>
        <v>-2402</v>
      </c>
      <c r="E5" s="55">
        <f t="shared" ca="1" si="0"/>
        <v>1.6717626097094214E-2</v>
      </c>
    </row>
    <row r="6" spans="1:8" x14ac:dyDescent="0.3">
      <c r="A6" s="58">
        <v>46116</v>
      </c>
      <c r="B6" s="47">
        <f t="shared" ref="B6:B32" ca="1" si="1">IFERROR(SUMIFS(INDIRECT("'"&amp;TEXT(A6,"DD-MM")&amp;"'!L:L"),INDIRECT("'"&amp;TEXT(A6,"DD-MM")&amp;"'!H:H"),$B$2),"")</f>
        <v>5398.9444444444453</v>
      </c>
      <c r="C6" s="47">
        <f t="shared" ref="C6:C32" ca="1" si="2">IFERROR(SUMIFS(INDIRECT("'"&amp;TEXT(A6,"DD-MM")&amp;"'!L:L"),INDIRECT("'"&amp;TEXT(A6,"DD-MM")&amp;"'!H:H"),$C$2),"")</f>
        <v>-1692</v>
      </c>
      <c r="D6" s="47">
        <f t="shared" ref="D6:D32" ca="1" si="3">IFERROR(SUMIFS(INDIRECT("'"&amp;TEXT(A6,"DD-MM")&amp;"'!L:L"),INDIRECT("'"&amp;TEXT(A6,"DD-MM")&amp;"'!H:H"),$D$2),"")</f>
        <v>-2648.6666666666661</v>
      </c>
      <c r="E6" s="55">
        <f t="shared" ca="1" si="0"/>
        <v>0.31339459359339783</v>
      </c>
      <c r="F6" s="48"/>
      <c r="G6" s="48"/>
      <c r="H6" s="55"/>
    </row>
    <row r="7" spans="1:8" x14ac:dyDescent="0.3">
      <c r="A7" s="59">
        <v>46117</v>
      </c>
      <c r="B7" s="60">
        <f t="shared" ca="1" si="1"/>
        <v>2000</v>
      </c>
      <c r="C7" s="60">
        <f t="shared" ca="1" si="2"/>
        <v>0</v>
      </c>
      <c r="D7" s="60">
        <f t="shared" ca="1" si="3"/>
        <v>-2000</v>
      </c>
      <c r="E7" s="61">
        <f ca="1">IFERROR(IF(B7=0,"",C7/B7)*-1,"")</f>
        <v>0</v>
      </c>
      <c r="F7" s="48">
        <f ca="1">SUM(B3:B7)</f>
        <v>16945.611111111109</v>
      </c>
      <c r="G7" s="48">
        <f ca="1">SUM(C3:C7)</f>
        <v>-3225.8888888888887</v>
      </c>
      <c r="H7" s="55">
        <f ca="1">IF(F7=0,"",G7/F7)*-1</f>
        <v>0.19036722061759684</v>
      </c>
    </row>
    <row r="8" spans="1:8" x14ac:dyDescent="0.3">
      <c r="A8" s="58">
        <v>46118</v>
      </c>
      <c r="B8" s="47">
        <f t="shared" ca="1" si="1"/>
        <v>1946.6666666666667</v>
      </c>
      <c r="C8" s="47">
        <f t="shared" ca="1" si="2"/>
        <v>-7.2222222222222232</v>
      </c>
      <c r="D8" s="47">
        <f t="shared" ca="1" si="3"/>
        <v>-252</v>
      </c>
      <c r="E8" s="55">
        <f t="shared" ref="E8:E13" ca="1" si="4">IFERROR(IF(B8=0,"",C8/B8)*-1,"")</f>
        <v>3.7100456621004568E-3</v>
      </c>
    </row>
    <row r="9" spans="1:8" x14ac:dyDescent="0.3">
      <c r="A9" s="58">
        <v>46119</v>
      </c>
      <c r="B9" s="47">
        <f t="shared" ca="1" si="1"/>
        <v>6921.1666666666688</v>
      </c>
      <c r="C9" s="47">
        <f t="shared" ca="1" si="2"/>
        <v>-100.55555555555556</v>
      </c>
      <c r="D9" s="47">
        <f t="shared" ca="1" si="3"/>
        <v>-3696.1111111111113</v>
      </c>
      <c r="E9" s="55">
        <f t="shared" ca="1" si="4"/>
        <v>1.4528700203080723E-2</v>
      </c>
    </row>
    <row r="10" spans="1:8" x14ac:dyDescent="0.3">
      <c r="A10" s="58">
        <v>46120</v>
      </c>
      <c r="B10" s="47">
        <f t="shared" ca="1" si="1"/>
        <v>3246.3888888888901</v>
      </c>
      <c r="C10" s="47">
        <f t="shared" ca="1" si="2"/>
        <v>-47.777777777777779</v>
      </c>
      <c r="D10" s="47">
        <f t="shared" ca="1" si="3"/>
        <v>-9326.1111111111113</v>
      </c>
      <c r="E10" s="55">
        <f t="shared" ca="1" si="4"/>
        <v>1.4717207153247192E-2</v>
      </c>
    </row>
    <row r="11" spans="1:8" x14ac:dyDescent="0.3">
      <c r="A11" s="58">
        <v>46121</v>
      </c>
      <c r="B11" s="47">
        <f t="shared" ca="1" si="1"/>
        <v>667.00000000000045</v>
      </c>
      <c r="C11" s="47">
        <f t="shared" ca="1" si="2"/>
        <v>-71.1111111111111</v>
      </c>
      <c r="D11" s="47">
        <f t="shared" ca="1" si="3"/>
        <v>-304.44444444444446</v>
      </c>
      <c r="E11" s="55">
        <f t="shared" ca="1" si="4"/>
        <v>0.10661335998667323</v>
      </c>
    </row>
    <row r="12" spans="1:8" x14ac:dyDescent="0.3">
      <c r="A12" s="58">
        <v>46122</v>
      </c>
      <c r="B12" s="47">
        <f t="shared" ca="1" si="1"/>
        <v>769.7777777777776</v>
      </c>
      <c r="C12" s="47">
        <f t="shared" ca="1" si="2"/>
        <v>-46.666666666666664</v>
      </c>
      <c r="D12" s="47">
        <f t="shared" ca="1" si="3"/>
        <v>22.222222222222221</v>
      </c>
      <c r="E12" s="55">
        <f t="shared" ca="1" si="4"/>
        <v>6.0623556581986156E-2</v>
      </c>
    </row>
    <row r="13" spans="1:8" x14ac:dyDescent="0.3">
      <c r="A13" s="58">
        <v>46123</v>
      </c>
      <c r="B13" s="47" t="str">
        <f t="shared" ca="1" si="1"/>
        <v/>
      </c>
      <c r="C13" s="47" t="str">
        <f t="shared" ca="1" si="2"/>
        <v/>
      </c>
      <c r="D13" s="47" t="str">
        <f t="shared" ca="1" si="3"/>
        <v/>
      </c>
      <c r="E13" s="55" t="str">
        <f t="shared" ca="1" si="4"/>
        <v/>
      </c>
      <c r="F13" s="48"/>
      <c r="G13" s="48"/>
      <c r="H13" s="55"/>
    </row>
    <row r="14" spans="1:8" x14ac:dyDescent="0.3">
      <c r="A14" s="59">
        <v>46124</v>
      </c>
      <c r="B14" s="60" t="str">
        <f t="shared" ca="1" si="1"/>
        <v/>
      </c>
      <c r="C14" s="60" t="str">
        <f t="shared" ca="1" si="2"/>
        <v/>
      </c>
      <c r="D14" s="60" t="str">
        <f t="shared" ca="1" si="3"/>
        <v/>
      </c>
      <c r="E14" s="62"/>
      <c r="F14" s="48">
        <f ca="1">SUM(B8:B14)</f>
        <v>13551.000000000004</v>
      </c>
      <c r="G14" s="48">
        <f ca="1">SUM(C8:C14)</f>
        <v>-273.33333333333337</v>
      </c>
      <c r="H14" s="55">
        <f ca="1">IF(F14=0,"",G14/F14)*-1</f>
        <v>2.0170713108503675E-2</v>
      </c>
    </row>
    <row r="15" spans="1:8" x14ac:dyDescent="0.3">
      <c r="A15" s="58">
        <v>46125</v>
      </c>
      <c r="B15" s="47" t="str">
        <f t="shared" ca="1" si="1"/>
        <v/>
      </c>
      <c r="C15" s="47" t="str">
        <f t="shared" ca="1" si="2"/>
        <v/>
      </c>
      <c r="D15" s="47" t="str">
        <f t="shared" ca="1" si="3"/>
        <v/>
      </c>
      <c r="E15" s="46"/>
    </row>
    <row r="16" spans="1:8" x14ac:dyDescent="0.3">
      <c r="A16" s="58">
        <v>46126</v>
      </c>
      <c r="B16" s="47" t="str">
        <f t="shared" ca="1" si="1"/>
        <v/>
      </c>
      <c r="C16" s="47" t="str">
        <f t="shared" ca="1" si="2"/>
        <v/>
      </c>
      <c r="D16" s="47" t="str">
        <f t="shared" ca="1" si="3"/>
        <v/>
      </c>
      <c r="E16" s="46"/>
    </row>
    <row r="17" spans="1:5" x14ac:dyDescent="0.3">
      <c r="A17" s="58">
        <v>46127</v>
      </c>
      <c r="B17" s="47" t="str">
        <f t="shared" ca="1" si="1"/>
        <v/>
      </c>
      <c r="C17" s="47" t="str">
        <f t="shared" ca="1" si="2"/>
        <v/>
      </c>
      <c r="D17" s="47" t="str">
        <f t="shared" ca="1" si="3"/>
        <v/>
      </c>
      <c r="E17" s="46"/>
    </row>
    <row r="18" spans="1:5" x14ac:dyDescent="0.3">
      <c r="A18" s="58">
        <v>46128</v>
      </c>
      <c r="B18" s="47" t="str">
        <f t="shared" ca="1" si="1"/>
        <v/>
      </c>
      <c r="C18" s="47" t="str">
        <f t="shared" ca="1" si="2"/>
        <v/>
      </c>
      <c r="D18" s="47" t="str">
        <f t="shared" ca="1" si="3"/>
        <v/>
      </c>
      <c r="E18" s="46"/>
    </row>
    <row r="19" spans="1:5" x14ac:dyDescent="0.3">
      <c r="A19" s="58">
        <v>46129</v>
      </c>
      <c r="B19" s="47" t="str">
        <f t="shared" ca="1" si="1"/>
        <v/>
      </c>
      <c r="C19" s="47" t="str">
        <f t="shared" ca="1" si="2"/>
        <v/>
      </c>
      <c r="D19" s="47" t="str">
        <f t="shared" ca="1" si="3"/>
        <v/>
      </c>
      <c r="E19" s="46"/>
    </row>
    <row r="20" spans="1:5" x14ac:dyDescent="0.3">
      <c r="A20" s="58">
        <v>46130</v>
      </c>
      <c r="B20" s="47" t="str">
        <f t="shared" ca="1" si="1"/>
        <v/>
      </c>
      <c r="C20" s="47" t="str">
        <f t="shared" ca="1" si="2"/>
        <v/>
      </c>
      <c r="D20" s="47" t="str">
        <f t="shared" ca="1" si="3"/>
        <v/>
      </c>
      <c r="E20" s="46"/>
    </row>
    <row r="21" spans="1:5" x14ac:dyDescent="0.3">
      <c r="A21" s="59">
        <v>46131</v>
      </c>
      <c r="B21" s="60" t="str">
        <f t="shared" ca="1" si="1"/>
        <v/>
      </c>
      <c r="C21" s="60" t="str">
        <f t="shared" ca="1" si="2"/>
        <v/>
      </c>
      <c r="D21" s="60" t="str">
        <f t="shared" ca="1" si="3"/>
        <v/>
      </c>
      <c r="E21" s="62"/>
    </row>
    <row r="22" spans="1:5" x14ac:dyDescent="0.3">
      <c r="A22" s="58">
        <v>46132</v>
      </c>
      <c r="B22" s="47" t="str">
        <f t="shared" ca="1" si="1"/>
        <v/>
      </c>
      <c r="C22" s="47" t="str">
        <f t="shared" ca="1" si="2"/>
        <v/>
      </c>
      <c r="D22" s="47" t="str">
        <f t="shared" ca="1" si="3"/>
        <v/>
      </c>
      <c r="E22" s="46"/>
    </row>
    <row r="23" spans="1:5" x14ac:dyDescent="0.3">
      <c r="A23" s="58">
        <v>46133</v>
      </c>
      <c r="B23" s="47" t="str">
        <f t="shared" ca="1" si="1"/>
        <v/>
      </c>
      <c r="C23" s="47" t="str">
        <f t="shared" ca="1" si="2"/>
        <v/>
      </c>
      <c r="D23" s="47" t="str">
        <f t="shared" ca="1" si="3"/>
        <v/>
      </c>
      <c r="E23" s="46"/>
    </row>
    <row r="24" spans="1:5" x14ac:dyDescent="0.3">
      <c r="A24" s="58">
        <v>46134</v>
      </c>
      <c r="B24" s="47" t="str">
        <f t="shared" ca="1" si="1"/>
        <v/>
      </c>
      <c r="C24" s="47" t="str">
        <f t="shared" ca="1" si="2"/>
        <v/>
      </c>
      <c r="D24" s="47" t="str">
        <f t="shared" ca="1" si="3"/>
        <v/>
      </c>
      <c r="E24" s="46"/>
    </row>
    <row r="25" spans="1:5" x14ac:dyDescent="0.3">
      <c r="A25" s="58">
        <v>46135</v>
      </c>
      <c r="B25" s="47" t="str">
        <f t="shared" ca="1" si="1"/>
        <v/>
      </c>
      <c r="C25" s="47" t="str">
        <f t="shared" ca="1" si="2"/>
        <v/>
      </c>
      <c r="D25" s="47" t="str">
        <f t="shared" ca="1" si="3"/>
        <v/>
      </c>
      <c r="E25" s="46"/>
    </row>
    <row r="26" spans="1:5" x14ac:dyDescent="0.3">
      <c r="A26" s="58">
        <v>46136</v>
      </c>
      <c r="B26" s="47" t="str">
        <f t="shared" ca="1" si="1"/>
        <v/>
      </c>
      <c r="C26" s="47" t="str">
        <f t="shared" ca="1" si="2"/>
        <v/>
      </c>
      <c r="D26" s="47" t="str">
        <f t="shared" ca="1" si="3"/>
        <v/>
      </c>
      <c r="E26" s="46"/>
    </row>
    <row r="27" spans="1:5" x14ac:dyDescent="0.3">
      <c r="A27" s="58">
        <v>46137</v>
      </c>
      <c r="B27" s="47" t="str">
        <f t="shared" ca="1" si="1"/>
        <v/>
      </c>
      <c r="C27" s="47" t="str">
        <f t="shared" ca="1" si="2"/>
        <v/>
      </c>
      <c r="D27" s="47" t="str">
        <f t="shared" ca="1" si="3"/>
        <v/>
      </c>
      <c r="E27" s="46"/>
    </row>
    <row r="28" spans="1:5" x14ac:dyDescent="0.3">
      <c r="A28" s="59">
        <v>46138</v>
      </c>
      <c r="B28" s="60" t="str">
        <f t="shared" ca="1" si="1"/>
        <v/>
      </c>
      <c r="C28" s="60" t="str">
        <f t="shared" ca="1" si="2"/>
        <v/>
      </c>
      <c r="D28" s="60" t="str">
        <f t="shared" ca="1" si="3"/>
        <v/>
      </c>
      <c r="E28" s="62"/>
    </row>
    <row r="29" spans="1:5" x14ac:dyDescent="0.3">
      <c r="A29" s="58">
        <v>46139</v>
      </c>
      <c r="B29" s="47" t="str">
        <f t="shared" ca="1" si="1"/>
        <v/>
      </c>
      <c r="C29" s="47" t="str">
        <f t="shared" ca="1" si="2"/>
        <v/>
      </c>
      <c r="D29" s="47" t="str">
        <f t="shared" ca="1" si="3"/>
        <v/>
      </c>
      <c r="E29" s="46"/>
    </row>
    <row r="30" spans="1:5" x14ac:dyDescent="0.3">
      <c r="A30" s="58">
        <v>46140</v>
      </c>
      <c r="B30" s="47" t="str">
        <f t="shared" ca="1" si="1"/>
        <v/>
      </c>
      <c r="C30" s="47" t="str">
        <f t="shared" ca="1" si="2"/>
        <v/>
      </c>
      <c r="D30" s="47" t="str">
        <f t="shared" ca="1" si="3"/>
        <v/>
      </c>
      <c r="E30" s="46"/>
    </row>
    <row r="31" spans="1:5" x14ac:dyDescent="0.3">
      <c r="A31" s="58">
        <v>46141</v>
      </c>
      <c r="B31" s="47" t="str">
        <f t="shared" ca="1" si="1"/>
        <v/>
      </c>
      <c r="C31" s="47" t="str">
        <f t="shared" ca="1" si="2"/>
        <v/>
      </c>
      <c r="D31" s="47" t="str">
        <f t="shared" ca="1" si="3"/>
        <v/>
      </c>
      <c r="E31" s="46"/>
    </row>
    <row r="32" spans="1:5" x14ac:dyDescent="0.3">
      <c r="A32" s="58">
        <v>46142</v>
      </c>
      <c r="B32" s="47" t="str">
        <f t="shared" ca="1" si="1"/>
        <v/>
      </c>
      <c r="C32" s="47" t="str">
        <f t="shared" ca="1" si="2"/>
        <v/>
      </c>
      <c r="D32" s="47" t="str">
        <f t="shared" ca="1" si="3"/>
        <v/>
      </c>
      <c r="E32" s="46"/>
    </row>
    <row r="33" spans="1:1" x14ac:dyDescent="0.3">
      <c r="A33" s="45"/>
    </row>
    <row r="34" spans="1:1" x14ac:dyDescent="0.3">
      <c r="A34" s="45"/>
    </row>
  </sheetData>
  <conditionalFormatting sqref="E1:E1048576">
    <cfRule type="cellIs" dxfId="2" priority="3" operator="lessThan">
      <formula>0</formula>
    </cfRule>
  </conditionalFormatting>
  <conditionalFormatting sqref="H6:H7">
    <cfRule type="cellIs" dxfId="1" priority="2" operator="lessThan">
      <formula>0</formula>
    </cfRule>
  </conditionalFormatting>
  <conditionalFormatting sqref="H13:H14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الصندوق</vt:lpstr>
      <vt:lpstr>5-3</vt:lpstr>
      <vt:lpstr>6-3</vt:lpstr>
      <vt:lpstr>7-3</vt:lpstr>
      <vt:lpstr>9-3</vt:lpstr>
      <vt:lpstr>10-3</vt:lpstr>
      <vt:lpstr>11-3</vt:lpstr>
      <vt:lpstr>12-3</vt:lpstr>
      <vt:lpstr>13-3</vt:lpstr>
      <vt:lpstr>14-3</vt:lpstr>
      <vt:lpstr>16-03</vt:lpstr>
      <vt:lpstr>17-03</vt:lpstr>
      <vt:lpstr>18-03</vt:lpstr>
      <vt:lpstr>19-03</vt:lpstr>
      <vt:lpstr>23-03</vt:lpstr>
      <vt:lpstr>24-03</vt:lpstr>
      <vt:lpstr>25-03</vt:lpstr>
      <vt:lpstr>26-03</vt:lpstr>
      <vt:lpstr>27-03</vt:lpstr>
      <vt:lpstr>28-03</vt:lpstr>
      <vt:lpstr>30-03</vt:lpstr>
      <vt:lpstr>31-03</vt:lpstr>
      <vt:lpstr>01-04</vt:lpstr>
      <vt:lpstr>02-04</vt:lpstr>
      <vt:lpstr>03-04</vt:lpstr>
      <vt:lpstr>04-04</vt:lpstr>
      <vt:lpstr>05-04</vt:lpstr>
      <vt:lpstr>06-04</vt:lpstr>
      <vt:lpstr>07-04</vt:lpstr>
      <vt:lpstr>08-04</vt:lpstr>
      <vt:lpstr>09-04</vt:lpstr>
      <vt:lpstr>10-04</vt:lpstr>
      <vt:lpstr>ملخص شهر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Dabbous Basta</dc:creator>
  <cp:lastModifiedBy>Dabbous Basta</cp:lastModifiedBy>
  <cp:lastPrinted>2026-04-04T08:53:42Z</cp:lastPrinted>
  <dcterms:created xsi:type="dcterms:W3CDTF">2015-06-05T18:17:20Z</dcterms:created>
  <dcterms:modified xsi:type="dcterms:W3CDTF">2026-04-10T14:35:48Z</dcterms:modified>
</cp:coreProperties>
</file>